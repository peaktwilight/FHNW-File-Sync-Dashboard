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6515" windowHeight="12585"/>
  </bookViews>
  <sheets>
    <sheet name="Start" sheetId="5" r:id="rId1"/>
    <sheet name="Planung 0" sheetId="6" r:id="rId2"/>
    <sheet name="Planung" sheetId="3" r:id="rId3"/>
    <sheet name="INTL" sheetId="8" r:id="rId4"/>
    <sheet name="Kalenderwoche" sheetId="7" r:id="rId5"/>
    <sheet name="Struktur" sheetId="2" r:id="rId6"/>
  </sheets>
  <definedNames>
    <definedName name="_xlnm._FilterDatabase" localSheetId="2" hidden="1">Planung!$A$3:$H$28</definedName>
    <definedName name="_xlnm._FilterDatabase" localSheetId="1" hidden="1">'Planung 0'!$A$3:$H$28</definedName>
    <definedName name="Anpassen">Struktur!$D$10:$D$16</definedName>
    <definedName name="Anpassungen">Struktur!$D$2:$D$4</definedName>
    <definedName name="Ausrollen">Struktur!$G$2:$G$6</definedName>
    <definedName name="Konzept">Struktur!$B$2:$B$4</definedName>
    <definedName name="Konzeption">Struktur!$B$10:$B$12</definedName>
    <definedName name="Office">Struktur!$B$1:$G$1</definedName>
    <definedName name="Projektfreie_Tage">Struktur!$I$3:$I$23</definedName>
    <definedName name="Rollout">Struktur!$F$10:$F$14</definedName>
    <definedName name="Schulung">Struktur!$E$10:$E$17</definedName>
    <definedName name="Testen">Struktur!$C$10:$C$16</definedName>
    <definedName name="Tests">Struktur!$C$2:$C$6</definedName>
    <definedName name="Training">Struktur!$E$2:$E$7</definedName>
    <definedName name="Vorlagen">Struktur!$F$2:$F$7</definedName>
    <definedName name="Windows">Struktur!$B$9:$F$9</definedName>
  </definedNames>
  <calcPr calcId="144525"/>
</workbook>
</file>

<file path=xl/calcChain.xml><?xml version="1.0" encoding="utf-8"?>
<calcChain xmlns="http://schemas.openxmlformats.org/spreadsheetml/2006/main">
  <c r="H13" i="8" l="1"/>
  <c r="H14" i="8"/>
  <c r="H15" i="8"/>
  <c r="H16" i="8"/>
  <c r="H17" i="8"/>
  <c r="H12" i="8"/>
  <c r="H4" i="8"/>
  <c r="H5" i="8"/>
  <c r="H6" i="8"/>
  <c r="H7" i="8"/>
  <c r="H8" i="8"/>
  <c r="H3" i="8"/>
  <c r="F17" i="8"/>
  <c r="F16" i="8"/>
  <c r="F15" i="8"/>
  <c r="F14" i="8"/>
  <c r="F13" i="8"/>
  <c r="F12" i="8"/>
  <c r="F8" i="8"/>
  <c r="F7" i="8"/>
  <c r="F6" i="8"/>
  <c r="F5" i="8"/>
  <c r="F4" i="8"/>
  <c r="F3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" i="7"/>
  <c r="E24" i="3" l="1"/>
  <c r="E25" i="3"/>
  <c r="E26" i="3"/>
  <c r="E27" i="3"/>
  <c r="E28" i="3"/>
  <c r="E23" i="3"/>
  <c r="F7" i="3" l="1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G4" i="3"/>
  <c r="E5" i="3" s="1"/>
  <c r="G5" i="3" l="1"/>
  <c r="F5" i="3" s="1"/>
  <c r="F4" i="3"/>
  <c r="E6" i="3" l="1"/>
  <c r="G6" i="3" l="1"/>
  <c r="F6" i="3"/>
</calcChain>
</file>

<file path=xl/sharedStrings.xml><?xml version="1.0" encoding="utf-8"?>
<sst xmlns="http://schemas.openxmlformats.org/spreadsheetml/2006/main" count="349" uniqueCount="76">
  <si>
    <t>Konzept</t>
  </si>
  <si>
    <t>Training</t>
  </si>
  <si>
    <t>Tests</t>
  </si>
  <si>
    <t>Support 1</t>
  </si>
  <si>
    <t>Support 2</t>
  </si>
  <si>
    <t>Multiplikatoren 1</t>
  </si>
  <si>
    <t>Multiplikatoren 2</t>
  </si>
  <si>
    <t>Multiplikatoren 3</t>
  </si>
  <si>
    <t>Anpassungen</t>
  </si>
  <si>
    <t>Rollout</t>
  </si>
  <si>
    <t>Vorlagen</t>
  </si>
  <si>
    <t>Word</t>
  </si>
  <si>
    <t>PowerPoint</t>
  </si>
  <si>
    <t>Office-Design</t>
  </si>
  <si>
    <t>Excel</t>
  </si>
  <si>
    <t>Access</t>
  </si>
  <si>
    <t>OneNote</t>
  </si>
  <si>
    <t>Bereich 1</t>
  </si>
  <si>
    <t>Bereich 2</t>
  </si>
  <si>
    <t>Bereich 3</t>
  </si>
  <si>
    <t>Bereich 4</t>
  </si>
  <si>
    <t>Schnittstellen</t>
  </si>
  <si>
    <t>Excel VBA</t>
  </si>
  <si>
    <t>Acces VBA</t>
  </si>
  <si>
    <t>Hardware</t>
  </si>
  <si>
    <t>Netz</t>
  </si>
  <si>
    <t>Bereich 5</t>
  </si>
  <si>
    <t>Entwurf</t>
  </si>
  <si>
    <t>Überarbeitung</t>
  </si>
  <si>
    <t>Entscheidung</t>
  </si>
  <si>
    <t>Anwendungen 1</t>
  </si>
  <si>
    <t>Anwendungen 2</t>
  </si>
  <si>
    <t>Anwendungen 3</t>
  </si>
  <si>
    <t>Anwendungen 4</t>
  </si>
  <si>
    <t>Hardware 1</t>
  </si>
  <si>
    <t>Hardware 2</t>
  </si>
  <si>
    <t>Hardware 3</t>
  </si>
  <si>
    <t>Admin 1</t>
  </si>
  <si>
    <t>Admin 2</t>
  </si>
  <si>
    <t>Anwender</t>
  </si>
  <si>
    <t>Konzeption</t>
  </si>
  <si>
    <t>Testen</t>
  </si>
  <si>
    <t>Anpassen</t>
  </si>
  <si>
    <t>Schulung</t>
  </si>
  <si>
    <t>Ausrollen</t>
  </si>
  <si>
    <t>Projekt</t>
  </si>
  <si>
    <t>Phase</t>
  </si>
  <si>
    <t>Paket</t>
  </si>
  <si>
    <t>Office</t>
  </si>
  <si>
    <t>Windows</t>
  </si>
  <si>
    <t>Verantwortlich</t>
  </si>
  <si>
    <t>Beginn</t>
  </si>
  <si>
    <t>Ende</t>
  </si>
  <si>
    <t>Dauer</t>
  </si>
  <si>
    <t>Arbeitstage</t>
  </si>
  <si>
    <t>Projektarbeit mit Excel 2007 und 2010 steuern:</t>
  </si>
  <si>
    <t>Access VBA</t>
  </si>
  <si>
    <t>Excel-Makros</t>
  </si>
  <si>
    <t>Access-Makros</t>
  </si>
  <si>
    <t>Baumann</t>
  </si>
  <si>
    <t>Kramer</t>
  </si>
  <si>
    <t>Roller</t>
  </si>
  <si>
    <t>Ballus</t>
  </si>
  <si>
    <t>Lorenz</t>
  </si>
  <si>
    <t>Deffinger</t>
  </si>
  <si>
    <t>Gürtler</t>
  </si>
  <si>
    <t>TEIL 2</t>
  </si>
  <si>
    <t>Dauer, Termine und Meilensteine flexibel berechnen</t>
  </si>
  <si>
    <t>Projektfreie Tage</t>
  </si>
  <si>
    <t>Datum</t>
  </si>
  <si>
    <t>KW (alt)</t>
  </si>
  <si>
    <t>KW (neu)</t>
  </si>
  <si>
    <t xml:space="preserve"> =KALENDERWOCHE(B2;2)</t>
  </si>
  <si>
    <t xml:space="preserve"> =KALENDERWOCHE(E2;21)</t>
  </si>
  <si>
    <t>Mit Freitag</t>
  </si>
  <si>
    <t>Ohne Freitag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</si>
</sst>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d* dd/mm/yyyy"/>
    <numFmt numFmtId="165" formatCode="0\ &quot;AT&quot;"/>
    <numFmt numFmtId="166" formatCode="0\ &quot;KT&quot;"/>
  </numFmts>
  <fonts count="1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C00000"/>
      <name val="Candara"/>
      <family val="2"/>
    </font>
    <font>
      <sz val="16"/>
      <color theme="1"/>
      <name val="Candara"/>
      <family val="2"/>
    </font>
    <font>
      <b/>
      <sz val="16"/>
      <color rgb="FFC00000"/>
      <name val="Candara"/>
      <family val="2"/>
    </font>
    <font>
      <b/>
      <sz val="20"/>
      <color rgb="FFC00000"/>
      <name val="Candara"/>
      <family val="2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5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3" borderId="0" xfId="0" applyFont="1" applyFill="1" applyAlignment="1">
      <alignment horizontal="left" indent="1"/>
    </xf>
    <xf numFmtId="0" fontId="2" fillId="5" borderId="1" xfId="0" applyFont="1" applyFill="1" applyBorder="1" applyAlignment="1">
      <alignment horizontal="left" indent="1"/>
    </xf>
    <xf numFmtId="0" fontId="2" fillId="3" borderId="2" xfId="0" applyFont="1" applyFill="1" applyBorder="1" applyAlignment="1">
      <alignment horizontal="left" indent="1"/>
    </xf>
    <xf numFmtId="0" fontId="2" fillId="3" borderId="3" xfId="0" applyFont="1" applyFill="1" applyBorder="1" applyAlignment="1">
      <alignment horizontal="left" indent="1"/>
    </xf>
    <xf numFmtId="0" fontId="0" fillId="7" borderId="4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9" borderId="0" xfId="0" applyFill="1"/>
    <xf numFmtId="0" fontId="3" fillId="9" borderId="0" xfId="0" applyFont="1" applyFill="1"/>
    <xf numFmtId="0" fontId="4" fillId="9" borderId="0" xfId="0" applyFont="1" applyFill="1"/>
    <xf numFmtId="0" fontId="5" fillId="9" borderId="0" xfId="0" applyFont="1" applyFill="1"/>
    <xf numFmtId="0" fontId="6" fillId="9" borderId="0" xfId="0" applyFont="1" applyFill="1"/>
    <xf numFmtId="0" fontId="1" fillId="8" borderId="0" xfId="0" applyFont="1" applyFill="1" applyAlignment="1">
      <alignment horizontal="left" indent="1"/>
    </xf>
    <xf numFmtId="0" fontId="7" fillId="4" borderId="5" xfId="0" applyFont="1" applyFill="1" applyBorder="1"/>
    <xf numFmtId="0" fontId="7" fillId="2" borderId="4" xfId="0" applyFont="1" applyFill="1" applyBorder="1"/>
    <xf numFmtId="164" fontId="0" fillId="0" borderId="0" xfId="0" applyNumberFormat="1"/>
    <xf numFmtId="0" fontId="8" fillId="10" borderId="0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8" borderId="0" xfId="0" applyFont="1" applyFill="1" applyAlignment="1"/>
    <xf numFmtId="0" fontId="1" fillId="8" borderId="0" xfId="0" applyFont="1" applyFill="1" applyAlignment="1">
      <alignment horizontal="left"/>
    </xf>
    <xf numFmtId="165" fontId="0" fillId="0" borderId="0" xfId="0" applyNumberFormat="1" applyAlignment="1">
      <alignment horizontal="right" indent="3"/>
    </xf>
    <xf numFmtId="166" fontId="0" fillId="0" borderId="0" xfId="0" applyNumberFormat="1" applyAlignment="1">
      <alignment horizontal="right" indent="1"/>
    </xf>
    <xf numFmtId="0" fontId="0" fillId="0" borderId="0" xfId="0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4" borderId="0" xfId="0" applyFont="1" applyFill="1" applyAlignment="1">
      <alignment horizontal="left" indent="1"/>
    </xf>
    <xf numFmtId="0" fontId="12" fillId="4" borderId="0" xfId="0" applyFont="1" applyFill="1" applyAlignment="1">
      <alignment horizontal="center"/>
    </xf>
    <xf numFmtId="0" fontId="12" fillId="4" borderId="0" xfId="0" applyFont="1" applyFill="1" applyAlignment="1"/>
    <xf numFmtId="0" fontId="12" fillId="10" borderId="0" xfId="0" applyFont="1" applyFill="1" applyAlignment="1">
      <alignment horizontal="left" indent="1"/>
    </xf>
    <xf numFmtId="0" fontId="12" fillId="10" borderId="0" xfId="0" applyFont="1" applyFill="1" applyAlignment="1">
      <alignment horizontal="center"/>
    </xf>
    <xf numFmtId="0" fontId="12" fillId="10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28952</xdr:colOff>
      <xdr:row>0</xdr:row>
      <xdr:rowOff>19050</xdr:rowOff>
    </xdr:from>
    <xdr:to>
      <xdr:col>9</xdr:col>
      <xdr:colOff>0</xdr:colOff>
      <xdr:row>4</xdr:row>
      <xdr:rowOff>190383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952" y="19050"/>
          <a:ext cx="3019048" cy="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11907</xdr:colOff>
      <xdr:row>0</xdr:row>
      <xdr:rowOff>233361</xdr:rowOff>
    </xdr:from>
    <xdr:to>
      <xdr:col>8</xdr:col>
      <xdr:colOff>17860</xdr:colOff>
      <xdr:row>8</xdr:row>
      <xdr:rowOff>17859</xdr:rowOff>
    </xdr:to>
    <xdr:sp macro="" textlink="">
      <xdr:nvSpPr>
        <xdr:cNvPr id="2" name="Abgerundetes Rechteck 1"/>
        <xdr:cNvSpPr/>
      </xdr:nvSpPr>
      <xdr:spPr>
        <a:xfrm>
          <a:off x="7352110" y="423861"/>
          <a:ext cx="875109" cy="1356123"/>
        </a:xfrm>
        <a:prstGeom prst="roundRect">
          <a:avLst>
            <a:gd name="adj" fmla="val 2831"/>
          </a:avLst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</xdr:col>
      <xdr:colOff>11907</xdr:colOff>
      <xdr:row>9</xdr:row>
      <xdr:rowOff>233361</xdr:rowOff>
    </xdr:from>
    <xdr:to>
      <xdr:col>8</xdr:col>
      <xdr:colOff>17860</xdr:colOff>
      <xdr:row>17</xdr:row>
      <xdr:rowOff>17859</xdr:rowOff>
    </xdr:to>
    <xdr:sp macro="" textlink="">
      <xdr:nvSpPr>
        <xdr:cNvPr id="3" name="Abgerundetes Rechteck 2"/>
        <xdr:cNvSpPr/>
      </xdr:nvSpPr>
      <xdr:spPr>
        <a:xfrm>
          <a:off x="7352110" y="2376486"/>
          <a:ext cx="875109" cy="1356123"/>
        </a:xfrm>
        <a:prstGeom prst="roundRect">
          <a:avLst>
            <a:gd name="adj" fmla="val 2831"/>
          </a:avLst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85725</xdr:rowOff>
    </xdr:from>
    <xdr:to>
      <xdr:col>6</xdr:col>
      <xdr:colOff>1676399</xdr:colOff>
      <xdr:row>17</xdr:row>
      <xdr:rowOff>17319</xdr:rowOff>
    </xdr:to>
    <xdr:sp macro="" textlink="">
      <xdr:nvSpPr>
        <xdr:cNvPr id="2" name="Abgerundetes Rechteck 1"/>
        <xdr:cNvSpPr/>
      </xdr:nvSpPr>
      <xdr:spPr>
        <a:xfrm>
          <a:off x="3455842" y="85725"/>
          <a:ext cx="3078307" cy="3299980"/>
        </a:xfrm>
        <a:prstGeom prst="roundRect">
          <a:avLst>
            <a:gd name="adj" fmla="val 2735"/>
          </a:avLst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238125</xdr:colOff>
      <xdr:row>0</xdr:row>
      <xdr:rowOff>85725</xdr:rowOff>
    </xdr:from>
    <xdr:to>
      <xdr:col>3</xdr:col>
      <xdr:colOff>1609725</xdr:colOff>
      <xdr:row>17</xdr:row>
      <xdr:rowOff>17319</xdr:rowOff>
    </xdr:to>
    <xdr:sp macro="" textlink="">
      <xdr:nvSpPr>
        <xdr:cNvPr id="3" name="Abgerundetes Rechteck 2"/>
        <xdr:cNvSpPr/>
      </xdr:nvSpPr>
      <xdr:spPr>
        <a:xfrm>
          <a:off x="238125" y="85725"/>
          <a:ext cx="3034145" cy="3299980"/>
        </a:xfrm>
        <a:prstGeom prst="roundRect">
          <a:avLst>
            <a:gd name="adj" fmla="val 2831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showRowColHeaders="0" tabSelected="1" workbookViewId="0">
      <selection activeCell="G2" sqref="G2"/>
    </sheetView>
  </sheetViews>
  <sheetFormatPr baseColWidth="10" defaultColWidth="0" defaultRowHeight="15" zeroHeight="1" x14ac:dyDescent="0.25"/>
  <cols>
    <col min="1" max="9" width="11.42578125" customWidth="1"/>
    <col min="10" max="16384" width="11.42578125" hidden="1"/>
  </cols>
  <sheetData>
    <row r="1" spans="1:9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5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9" ht="26.25" x14ac:dyDescent="0.4">
      <c r="A12" s="11"/>
      <c r="B12" s="15" t="s">
        <v>55</v>
      </c>
      <c r="C12" s="11"/>
      <c r="D12" s="11"/>
      <c r="E12" s="11"/>
      <c r="F12" s="11"/>
      <c r="G12" s="11"/>
      <c r="H12" s="11"/>
      <c r="I12" s="11"/>
    </row>
    <row r="13" spans="1:9" ht="21" x14ac:dyDescent="0.35">
      <c r="A13" s="11"/>
      <c r="B13" s="13"/>
      <c r="C13" s="11"/>
      <c r="D13" s="11"/>
      <c r="E13" s="11"/>
      <c r="F13" s="11"/>
      <c r="G13" s="11"/>
      <c r="H13" s="11"/>
      <c r="I13" s="11"/>
    </row>
    <row r="14" spans="1:9" ht="23.25" x14ac:dyDescent="0.35">
      <c r="A14" s="11"/>
      <c r="B14" s="12" t="s">
        <v>66</v>
      </c>
      <c r="C14" s="11"/>
      <c r="D14" s="11"/>
      <c r="E14" s="11"/>
      <c r="F14" s="11"/>
      <c r="G14" s="11"/>
      <c r="H14" s="11"/>
      <c r="I14" s="11"/>
    </row>
    <row r="15" spans="1:9" ht="21" x14ac:dyDescent="0.35">
      <c r="A15" s="11"/>
      <c r="B15" s="14"/>
      <c r="C15" s="11"/>
      <c r="D15" s="11"/>
      <c r="E15" s="11"/>
      <c r="F15" s="11"/>
      <c r="G15" s="11"/>
      <c r="H15" s="11"/>
      <c r="I15" s="11"/>
    </row>
    <row r="16" spans="1:9" ht="26.25" x14ac:dyDescent="0.4">
      <c r="A16" s="11"/>
      <c r="B16" s="15" t="s">
        <v>67</v>
      </c>
      <c r="C16" s="11"/>
      <c r="D16" s="11"/>
      <c r="E16" s="11"/>
      <c r="F16" s="11"/>
      <c r="G16" s="11"/>
      <c r="H16" s="11"/>
      <c r="I16" s="11"/>
    </row>
    <row r="17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spans="1:9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spans="1:9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zoomScale="130" zoomScaleNormal="130" workbookViewId="0"/>
  </sheetViews>
  <sheetFormatPr baseColWidth="10" defaultRowHeight="15" x14ac:dyDescent="0.25"/>
  <cols>
    <col min="2" max="2" width="14.5703125" customWidth="1"/>
    <col min="3" max="3" width="18.28515625" customWidth="1"/>
    <col min="4" max="4" width="17.140625" customWidth="1"/>
    <col min="5" max="5" width="13.7109375" customWidth="1"/>
    <col min="6" max="6" width="8.28515625" customWidth="1"/>
    <col min="7" max="7" width="13.7109375" customWidth="1"/>
    <col min="8" max="8" width="13" customWidth="1"/>
  </cols>
  <sheetData>
    <row r="3" spans="1:8" x14ac:dyDescent="0.25">
      <c r="A3" s="16" t="s">
        <v>45</v>
      </c>
      <c r="B3" s="16" t="s">
        <v>46</v>
      </c>
      <c r="C3" s="16" t="s">
        <v>47</v>
      </c>
      <c r="D3" s="16" t="s">
        <v>50</v>
      </c>
      <c r="E3" s="16" t="s">
        <v>51</v>
      </c>
      <c r="F3" s="23" t="s">
        <v>53</v>
      </c>
      <c r="G3" s="16" t="s">
        <v>52</v>
      </c>
      <c r="H3" s="22" t="s">
        <v>54</v>
      </c>
    </row>
    <row r="4" spans="1:8" x14ac:dyDescent="0.25">
      <c r="A4" s="10" t="s">
        <v>48</v>
      </c>
      <c r="B4" s="10" t="s">
        <v>0</v>
      </c>
      <c r="C4" s="10" t="s">
        <v>27</v>
      </c>
      <c r="D4" s="10" t="s">
        <v>62</v>
      </c>
      <c r="E4" s="19">
        <v>40547</v>
      </c>
      <c r="F4" s="25"/>
      <c r="G4" s="19"/>
      <c r="H4" s="24">
        <v>14</v>
      </c>
    </row>
    <row r="5" spans="1:8" x14ac:dyDescent="0.25">
      <c r="A5" s="10" t="s">
        <v>48</v>
      </c>
      <c r="B5" s="10" t="s">
        <v>0</v>
      </c>
      <c r="C5" s="10" t="s">
        <v>28</v>
      </c>
      <c r="D5" s="10" t="s">
        <v>62</v>
      </c>
      <c r="E5" s="19"/>
      <c r="F5" s="25"/>
      <c r="G5" s="19"/>
      <c r="H5" s="24">
        <v>10</v>
      </c>
    </row>
    <row r="6" spans="1:8" x14ac:dyDescent="0.25">
      <c r="A6" s="10" t="s">
        <v>48</v>
      </c>
      <c r="B6" s="10" t="s">
        <v>0</v>
      </c>
      <c r="C6" s="10" t="s">
        <v>29</v>
      </c>
      <c r="D6" s="10" t="s">
        <v>62</v>
      </c>
      <c r="E6" s="19"/>
      <c r="F6" s="25"/>
      <c r="G6" s="19"/>
      <c r="H6" s="24">
        <v>1</v>
      </c>
    </row>
    <row r="7" spans="1:8" x14ac:dyDescent="0.25">
      <c r="A7" s="10" t="s">
        <v>48</v>
      </c>
      <c r="B7" s="10" t="s">
        <v>2</v>
      </c>
      <c r="C7" s="10" t="s">
        <v>21</v>
      </c>
      <c r="D7" s="10" t="s">
        <v>61</v>
      </c>
      <c r="E7" s="19"/>
      <c r="F7" s="25"/>
      <c r="G7" s="19"/>
      <c r="H7" s="24"/>
    </row>
    <row r="8" spans="1:8" x14ac:dyDescent="0.25">
      <c r="A8" s="10" t="s">
        <v>48</v>
      </c>
      <c r="B8" s="10" t="s">
        <v>10</v>
      </c>
      <c r="C8" s="10" t="s">
        <v>13</v>
      </c>
      <c r="D8" s="10" t="s">
        <v>63</v>
      </c>
      <c r="E8" s="19"/>
      <c r="F8" s="25"/>
      <c r="G8" s="19"/>
      <c r="H8" s="24"/>
    </row>
    <row r="9" spans="1:8" x14ac:dyDescent="0.25">
      <c r="A9" s="10" t="s">
        <v>49</v>
      </c>
      <c r="B9" s="10" t="s">
        <v>40</v>
      </c>
      <c r="C9" s="10" t="s">
        <v>27</v>
      </c>
      <c r="D9" s="10" t="s">
        <v>65</v>
      </c>
      <c r="E9" s="19"/>
      <c r="F9" s="25"/>
      <c r="G9" s="19"/>
      <c r="H9" s="24"/>
    </row>
    <row r="10" spans="1:8" x14ac:dyDescent="0.25">
      <c r="A10" s="10" t="s">
        <v>48</v>
      </c>
      <c r="B10" s="10" t="s">
        <v>8</v>
      </c>
      <c r="C10" s="10" t="s">
        <v>22</v>
      </c>
      <c r="D10" s="10" t="s">
        <v>64</v>
      </c>
      <c r="E10" s="19"/>
      <c r="F10" s="25"/>
      <c r="G10" s="19"/>
      <c r="H10" s="24"/>
    </row>
    <row r="11" spans="1:8" x14ac:dyDescent="0.25">
      <c r="A11" s="10" t="s">
        <v>48</v>
      </c>
      <c r="B11" s="10" t="s">
        <v>8</v>
      </c>
      <c r="C11" s="10" t="s">
        <v>23</v>
      </c>
      <c r="D11" s="10" t="s">
        <v>64</v>
      </c>
      <c r="E11" s="19"/>
      <c r="F11" s="25"/>
      <c r="G11" s="19"/>
      <c r="H11" s="24"/>
    </row>
    <row r="12" spans="1:8" x14ac:dyDescent="0.25">
      <c r="A12" s="10" t="s">
        <v>48</v>
      </c>
      <c r="B12" s="10" t="s">
        <v>10</v>
      </c>
      <c r="C12" s="10" t="s">
        <v>12</v>
      </c>
      <c r="D12" s="10" t="s">
        <v>63</v>
      </c>
      <c r="E12" s="19"/>
      <c r="F12" s="25"/>
      <c r="G12" s="19"/>
      <c r="H12" s="24"/>
    </row>
    <row r="13" spans="1:8" x14ac:dyDescent="0.25">
      <c r="A13" s="10" t="s">
        <v>48</v>
      </c>
      <c r="B13" s="10" t="s">
        <v>10</v>
      </c>
      <c r="C13" s="10" t="s">
        <v>11</v>
      </c>
      <c r="D13" s="10" t="s">
        <v>63</v>
      </c>
      <c r="E13" s="19"/>
      <c r="F13" s="25"/>
      <c r="G13" s="19"/>
      <c r="H13" s="24"/>
    </row>
    <row r="14" spans="1:8" x14ac:dyDescent="0.25">
      <c r="A14" s="10" t="s">
        <v>49</v>
      </c>
      <c r="B14" s="10" t="s">
        <v>40</v>
      </c>
      <c r="C14" s="10" t="s">
        <v>28</v>
      </c>
      <c r="D14" s="10" t="s">
        <v>65</v>
      </c>
      <c r="E14" s="19"/>
      <c r="F14" s="25"/>
      <c r="G14" s="19"/>
      <c r="H14" s="24"/>
    </row>
    <row r="15" spans="1:8" x14ac:dyDescent="0.25">
      <c r="A15" s="10" t="s">
        <v>48</v>
      </c>
      <c r="B15" s="10" t="s">
        <v>2</v>
      </c>
      <c r="C15" s="10" t="s">
        <v>22</v>
      </c>
      <c r="D15" s="10" t="s">
        <v>61</v>
      </c>
      <c r="E15" s="19"/>
      <c r="F15" s="25"/>
      <c r="G15" s="19"/>
      <c r="H15" s="24"/>
    </row>
    <row r="16" spans="1:8" x14ac:dyDescent="0.25">
      <c r="A16" s="10" t="s">
        <v>49</v>
      </c>
      <c r="B16" s="10" t="s">
        <v>40</v>
      </c>
      <c r="C16" s="10" t="s">
        <v>29</v>
      </c>
      <c r="D16" s="10" t="s">
        <v>65</v>
      </c>
      <c r="E16" s="19"/>
      <c r="F16" s="25"/>
      <c r="G16" s="19"/>
      <c r="H16" s="24"/>
    </row>
    <row r="17" spans="1:8" x14ac:dyDescent="0.25">
      <c r="A17" s="10" t="s">
        <v>48</v>
      </c>
      <c r="B17" s="10" t="s">
        <v>2</v>
      </c>
      <c r="C17" s="10" t="s">
        <v>23</v>
      </c>
      <c r="D17" s="10" t="s">
        <v>61</v>
      </c>
      <c r="E17" s="19"/>
      <c r="F17" s="25"/>
      <c r="G17" s="19"/>
      <c r="H17" s="24"/>
    </row>
    <row r="18" spans="1:8" x14ac:dyDescent="0.25">
      <c r="A18" s="10" t="s">
        <v>48</v>
      </c>
      <c r="B18" s="10" t="s">
        <v>10</v>
      </c>
      <c r="C18" s="10" t="s">
        <v>11</v>
      </c>
      <c r="D18" s="10" t="s">
        <v>63</v>
      </c>
      <c r="E18" s="19"/>
      <c r="F18" s="25"/>
      <c r="G18" s="19"/>
      <c r="H18" s="24"/>
    </row>
    <row r="19" spans="1:8" x14ac:dyDescent="0.25">
      <c r="A19" s="10" t="s">
        <v>48</v>
      </c>
      <c r="B19" s="10" t="s">
        <v>2</v>
      </c>
      <c r="C19" s="10" t="s">
        <v>24</v>
      </c>
      <c r="D19" s="10" t="s">
        <v>61</v>
      </c>
      <c r="E19" s="19"/>
      <c r="F19" s="25"/>
      <c r="G19" s="19"/>
      <c r="H19" s="24"/>
    </row>
    <row r="20" spans="1:8" x14ac:dyDescent="0.25">
      <c r="A20" s="10" t="s">
        <v>48</v>
      </c>
      <c r="B20" s="10" t="s">
        <v>10</v>
      </c>
      <c r="C20" s="10" t="s">
        <v>14</v>
      </c>
      <c r="D20" s="10" t="s">
        <v>63</v>
      </c>
      <c r="E20" s="19"/>
      <c r="F20" s="25"/>
      <c r="G20" s="19"/>
      <c r="H20" s="24"/>
    </row>
    <row r="21" spans="1:8" x14ac:dyDescent="0.25">
      <c r="A21" s="10" t="s">
        <v>48</v>
      </c>
      <c r="B21" s="10" t="s">
        <v>10</v>
      </c>
      <c r="C21" s="10" t="s">
        <v>15</v>
      </c>
      <c r="D21" s="10" t="s">
        <v>63</v>
      </c>
      <c r="E21" s="19"/>
      <c r="F21" s="25"/>
      <c r="G21" s="19"/>
      <c r="H21" s="24"/>
    </row>
    <row r="22" spans="1:8" x14ac:dyDescent="0.25">
      <c r="A22" s="10" t="s">
        <v>48</v>
      </c>
      <c r="B22" s="10" t="s">
        <v>10</v>
      </c>
      <c r="C22" s="10" t="s">
        <v>16</v>
      </c>
      <c r="D22" s="10" t="s">
        <v>63</v>
      </c>
      <c r="E22" s="19"/>
      <c r="F22" s="25"/>
      <c r="G22" s="19"/>
      <c r="H22" s="24"/>
    </row>
    <row r="23" spans="1:8" x14ac:dyDescent="0.25">
      <c r="A23" s="10" t="s">
        <v>48</v>
      </c>
      <c r="B23" s="10" t="s">
        <v>1</v>
      </c>
      <c r="C23" s="10" t="s">
        <v>3</v>
      </c>
      <c r="D23" s="10" t="s">
        <v>59</v>
      </c>
      <c r="E23" s="19"/>
      <c r="F23" s="25"/>
      <c r="G23" s="19"/>
      <c r="H23" s="24">
        <v>5</v>
      </c>
    </row>
    <row r="24" spans="1:8" x14ac:dyDescent="0.25">
      <c r="A24" s="10" t="s">
        <v>48</v>
      </c>
      <c r="B24" s="10" t="s">
        <v>1</v>
      </c>
      <c r="C24" s="10" t="s">
        <v>4</v>
      </c>
      <c r="D24" s="10" t="s">
        <v>59</v>
      </c>
      <c r="E24" s="19"/>
      <c r="F24" s="25"/>
      <c r="G24" s="19"/>
      <c r="H24" s="24">
        <v>5</v>
      </c>
    </row>
    <row r="25" spans="1:8" x14ac:dyDescent="0.25">
      <c r="A25" s="10" t="s">
        <v>48</v>
      </c>
      <c r="B25" s="10" t="s">
        <v>1</v>
      </c>
      <c r="C25" s="10" t="s">
        <v>5</v>
      </c>
      <c r="D25" s="10" t="s">
        <v>59</v>
      </c>
      <c r="E25" s="19"/>
      <c r="F25" s="25"/>
      <c r="G25" s="19"/>
      <c r="H25" s="24">
        <v>3</v>
      </c>
    </row>
    <row r="26" spans="1:8" x14ac:dyDescent="0.25">
      <c r="A26" s="10" t="s">
        <v>48</v>
      </c>
      <c r="B26" s="10" t="s">
        <v>1</v>
      </c>
      <c r="C26" s="10" t="s">
        <v>6</v>
      </c>
      <c r="D26" s="10" t="s">
        <v>59</v>
      </c>
      <c r="E26" s="19"/>
      <c r="F26" s="25"/>
      <c r="G26" s="19"/>
      <c r="H26" s="24">
        <v>3</v>
      </c>
    </row>
    <row r="27" spans="1:8" x14ac:dyDescent="0.25">
      <c r="A27" s="10" t="s">
        <v>48</v>
      </c>
      <c r="B27" s="10" t="s">
        <v>1</v>
      </c>
      <c r="C27" s="10" t="s">
        <v>7</v>
      </c>
      <c r="D27" s="10" t="s">
        <v>59</v>
      </c>
      <c r="E27" s="19"/>
      <c r="F27" s="25"/>
      <c r="G27" s="19"/>
      <c r="H27" s="24">
        <v>3</v>
      </c>
    </row>
    <row r="28" spans="1:8" x14ac:dyDescent="0.25">
      <c r="A28" s="10" t="s">
        <v>48</v>
      </c>
      <c r="B28" s="10" t="s">
        <v>1</v>
      </c>
      <c r="C28" s="10" t="s">
        <v>39</v>
      </c>
      <c r="D28" s="10" t="s">
        <v>60</v>
      </c>
      <c r="E28" s="19"/>
      <c r="F28" s="25"/>
      <c r="G28" s="19"/>
      <c r="H28" s="24">
        <v>15</v>
      </c>
    </row>
  </sheetData>
  <autoFilter ref="A3:H28"/>
  <dataValidations count="2">
    <dataValidation type="list" allowBlank="1" showInputMessage="1" showErrorMessage="1" sqref="B4:C29">
      <formula1>INDIRECT(A4)</formula1>
    </dataValidation>
    <dataValidation type="list" allowBlank="1" showInputMessage="1" showErrorMessage="1" sqref="A4:A29">
      <formula1>"Office,Windows"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zoomScale="130" zoomScaleNormal="130" workbookViewId="0">
      <pane ySplit="3" topLeftCell="A4" activePane="bottomLeft" state="frozen"/>
      <selection pane="bottomLeft"/>
    </sheetView>
  </sheetViews>
  <sheetFormatPr baseColWidth="10" defaultRowHeight="15" x14ac:dyDescent="0.25"/>
  <cols>
    <col min="2" max="2" width="14.5703125" customWidth="1"/>
    <col min="3" max="3" width="18.28515625" customWidth="1"/>
    <col min="4" max="4" width="18" customWidth="1"/>
    <col min="5" max="5" width="14.28515625" customWidth="1"/>
    <col min="6" max="6" width="8.28515625" customWidth="1"/>
    <col min="7" max="7" width="13.7109375" customWidth="1"/>
    <col min="8" max="8" width="13" customWidth="1"/>
  </cols>
  <sheetData>
    <row r="3" spans="1:8" x14ac:dyDescent="0.25">
      <c r="A3" s="16" t="s">
        <v>45</v>
      </c>
      <c r="B3" s="16" t="s">
        <v>46</v>
      </c>
      <c r="C3" s="16" t="s">
        <v>47</v>
      </c>
      <c r="D3" s="16" t="s">
        <v>50</v>
      </c>
      <c r="E3" s="16" t="s">
        <v>51</v>
      </c>
      <c r="F3" s="23" t="s">
        <v>53</v>
      </c>
      <c r="G3" s="16" t="s">
        <v>52</v>
      </c>
      <c r="H3" s="22" t="s">
        <v>54</v>
      </c>
    </row>
    <row r="4" spans="1:8" x14ac:dyDescent="0.25">
      <c r="A4" s="10" t="s">
        <v>48</v>
      </c>
      <c r="B4" s="10" t="s">
        <v>0</v>
      </c>
      <c r="C4" s="10" t="s">
        <v>27</v>
      </c>
      <c r="D4" s="10" t="s">
        <v>62</v>
      </c>
      <c r="E4" s="19">
        <v>40547</v>
      </c>
      <c r="F4" s="25">
        <f>IF(AND(ISNUMBER(E4),ISNUMBER(G4)),G4-E4+1,"")</f>
        <v>18</v>
      </c>
      <c r="G4" s="19">
        <f>WORKDAY(E4,H4-1,Projektfreie_Tage)</f>
        <v>40564</v>
      </c>
      <c r="H4" s="24">
        <v>14</v>
      </c>
    </row>
    <row r="5" spans="1:8" x14ac:dyDescent="0.25">
      <c r="A5" s="10" t="s">
        <v>48</v>
      </c>
      <c r="B5" s="10" t="s">
        <v>0</v>
      </c>
      <c r="C5" s="10" t="s">
        <v>28</v>
      </c>
      <c r="D5" s="10" t="s">
        <v>62</v>
      </c>
      <c r="E5" s="19">
        <f>WORKDAY(G4,1,Projektfreie_Tage)</f>
        <v>40567</v>
      </c>
      <c r="F5" s="25">
        <f t="shared" ref="F5:F28" si="0">IF(AND(ISNUMBER(E5),ISNUMBER(G5)),G5-E5+1,"")</f>
        <v>12</v>
      </c>
      <c r="G5" s="19">
        <f>WORKDAY(E5,H5-1,Projektfreie_Tage)</f>
        <v>40578</v>
      </c>
      <c r="H5" s="24">
        <v>10</v>
      </c>
    </row>
    <row r="6" spans="1:8" x14ac:dyDescent="0.25">
      <c r="A6" s="10" t="s">
        <v>48</v>
      </c>
      <c r="B6" s="10" t="s">
        <v>0</v>
      </c>
      <c r="C6" s="10" t="s">
        <v>29</v>
      </c>
      <c r="D6" s="10" t="s">
        <v>62</v>
      </c>
      <c r="E6" s="19">
        <f>WORKDAY(G5,20,Projektfreie_Tage)</f>
        <v>40606</v>
      </c>
      <c r="F6" s="25">
        <f t="shared" si="0"/>
        <v>1</v>
      </c>
      <c r="G6" s="19">
        <f>WORKDAY(E6,H6-1,Projektfreie_Tage)</f>
        <v>40606</v>
      </c>
      <c r="H6" s="24">
        <v>1</v>
      </c>
    </row>
    <row r="7" spans="1:8" x14ac:dyDescent="0.25">
      <c r="A7" s="10" t="s">
        <v>48</v>
      </c>
      <c r="B7" s="10" t="s">
        <v>2</v>
      </c>
      <c r="C7" s="10" t="s">
        <v>21</v>
      </c>
      <c r="D7" s="10" t="s">
        <v>61</v>
      </c>
      <c r="E7" s="19"/>
      <c r="F7" s="25" t="str">
        <f t="shared" si="0"/>
        <v/>
      </c>
      <c r="G7" s="19"/>
      <c r="H7" s="24"/>
    </row>
    <row r="8" spans="1:8" x14ac:dyDescent="0.25">
      <c r="A8" s="10" t="s">
        <v>48</v>
      </c>
      <c r="B8" s="10" t="s">
        <v>10</v>
      </c>
      <c r="C8" s="10" t="s">
        <v>13</v>
      </c>
      <c r="D8" s="10" t="s">
        <v>63</v>
      </c>
      <c r="E8" s="19"/>
      <c r="F8" s="25" t="str">
        <f t="shared" si="0"/>
        <v/>
      </c>
      <c r="G8" s="19"/>
      <c r="H8" s="24"/>
    </row>
    <row r="9" spans="1:8" x14ac:dyDescent="0.25">
      <c r="A9" s="10" t="s">
        <v>49</v>
      </c>
      <c r="B9" s="10" t="s">
        <v>40</v>
      </c>
      <c r="C9" s="10" t="s">
        <v>27</v>
      </c>
      <c r="D9" s="10" t="s">
        <v>65</v>
      </c>
      <c r="E9" s="19"/>
      <c r="F9" s="25" t="str">
        <f t="shared" si="0"/>
        <v/>
      </c>
      <c r="G9" s="19"/>
      <c r="H9" s="24"/>
    </row>
    <row r="10" spans="1:8" x14ac:dyDescent="0.25">
      <c r="A10" s="10" t="s">
        <v>48</v>
      </c>
      <c r="B10" s="10" t="s">
        <v>8</v>
      </c>
      <c r="C10" s="10" t="s">
        <v>22</v>
      </c>
      <c r="D10" s="10" t="s">
        <v>64</v>
      </c>
      <c r="E10" s="19"/>
      <c r="F10" s="25" t="str">
        <f t="shared" si="0"/>
        <v/>
      </c>
      <c r="G10" s="19"/>
      <c r="H10" s="24"/>
    </row>
    <row r="11" spans="1:8" x14ac:dyDescent="0.25">
      <c r="A11" s="10" t="s">
        <v>48</v>
      </c>
      <c r="B11" s="10" t="s">
        <v>8</v>
      </c>
      <c r="C11" s="10" t="s">
        <v>23</v>
      </c>
      <c r="D11" s="10" t="s">
        <v>64</v>
      </c>
      <c r="E11" s="19"/>
      <c r="F11" s="25" t="str">
        <f t="shared" si="0"/>
        <v/>
      </c>
      <c r="G11" s="19"/>
      <c r="H11" s="24"/>
    </row>
    <row r="12" spans="1:8" x14ac:dyDescent="0.25">
      <c r="A12" s="10" t="s">
        <v>48</v>
      </c>
      <c r="B12" s="10" t="s">
        <v>10</v>
      </c>
      <c r="C12" s="10" t="s">
        <v>12</v>
      </c>
      <c r="D12" s="10" t="s">
        <v>63</v>
      </c>
      <c r="E12" s="19"/>
      <c r="F12" s="25" t="str">
        <f t="shared" si="0"/>
        <v/>
      </c>
      <c r="G12" s="19"/>
      <c r="H12" s="24"/>
    </row>
    <row r="13" spans="1:8" x14ac:dyDescent="0.25">
      <c r="A13" s="10" t="s">
        <v>48</v>
      </c>
      <c r="B13" s="10" t="s">
        <v>10</v>
      </c>
      <c r="C13" s="10" t="s">
        <v>11</v>
      </c>
      <c r="D13" s="10" t="s">
        <v>63</v>
      </c>
      <c r="E13" s="19"/>
      <c r="F13" s="25" t="str">
        <f t="shared" si="0"/>
        <v/>
      </c>
      <c r="G13" s="19"/>
      <c r="H13" s="24"/>
    </row>
    <row r="14" spans="1:8" x14ac:dyDescent="0.25">
      <c r="A14" s="10" t="s">
        <v>49</v>
      </c>
      <c r="B14" s="10" t="s">
        <v>40</v>
      </c>
      <c r="C14" s="10" t="s">
        <v>28</v>
      </c>
      <c r="D14" s="10" t="s">
        <v>65</v>
      </c>
      <c r="E14" s="19"/>
      <c r="F14" s="25" t="str">
        <f t="shared" si="0"/>
        <v/>
      </c>
      <c r="G14" s="19"/>
      <c r="H14" s="24"/>
    </row>
    <row r="15" spans="1:8" x14ac:dyDescent="0.25">
      <c r="A15" s="10" t="s">
        <v>48</v>
      </c>
      <c r="B15" s="10" t="s">
        <v>2</v>
      </c>
      <c r="C15" s="10" t="s">
        <v>22</v>
      </c>
      <c r="D15" s="10" t="s">
        <v>61</v>
      </c>
      <c r="E15" s="19"/>
      <c r="F15" s="25" t="str">
        <f t="shared" si="0"/>
        <v/>
      </c>
      <c r="G15" s="19"/>
      <c r="H15" s="24"/>
    </row>
    <row r="16" spans="1:8" x14ac:dyDescent="0.25">
      <c r="A16" s="10" t="s">
        <v>49</v>
      </c>
      <c r="B16" s="10" t="s">
        <v>40</v>
      </c>
      <c r="C16" s="10" t="s">
        <v>29</v>
      </c>
      <c r="D16" s="10" t="s">
        <v>65</v>
      </c>
      <c r="E16" s="19"/>
      <c r="F16" s="25" t="str">
        <f t="shared" si="0"/>
        <v/>
      </c>
      <c r="G16" s="19"/>
      <c r="H16" s="24"/>
    </row>
    <row r="17" spans="1:8" x14ac:dyDescent="0.25">
      <c r="A17" s="10" t="s">
        <v>48</v>
      </c>
      <c r="B17" s="10" t="s">
        <v>2</v>
      </c>
      <c r="C17" s="10" t="s">
        <v>23</v>
      </c>
      <c r="D17" s="10" t="s">
        <v>61</v>
      </c>
      <c r="E17" s="19"/>
      <c r="F17" s="25" t="str">
        <f t="shared" si="0"/>
        <v/>
      </c>
      <c r="G17" s="19"/>
      <c r="H17" s="24"/>
    </row>
    <row r="18" spans="1:8" x14ac:dyDescent="0.25">
      <c r="A18" s="10" t="s">
        <v>48</v>
      </c>
      <c r="B18" s="10" t="s">
        <v>10</v>
      </c>
      <c r="C18" s="10" t="s">
        <v>11</v>
      </c>
      <c r="D18" s="10" t="s">
        <v>63</v>
      </c>
      <c r="E18" s="19"/>
      <c r="F18" s="25" t="str">
        <f t="shared" si="0"/>
        <v/>
      </c>
      <c r="G18" s="19"/>
      <c r="H18" s="24"/>
    </row>
    <row r="19" spans="1:8" x14ac:dyDescent="0.25">
      <c r="A19" s="10" t="s">
        <v>48</v>
      </c>
      <c r="B19" s="10" t="s">
        <v>2</v>
      </c>
      <c r="C19" s="10" t="s">
        <v>24</v>
      </c>
      <c r="D19" s="10" t="s">
        <v>61</v>
      </c>
      <c r="E19" s="19"/>
      <c r="F19" s="25" t="str">
        <f t="shared" si="0"/>
        <v/>
      </c>
      <c r="G19" s="19"/>
      <c r="H19" s="24"/>
    </row>
    <row r="20" spans="1:8" x14ac:dyDescent="0.25">
      <c r="A20" s="10" t="s">
        <v>48</v>
      </c>
      <c r="B20" s="10" t="s">
        <v>10</v>
      </c>
      <c r="C20" s="10" t="s">
        <v>14</v>
      </c>
      <c r="D20" s="10" t="s">
        <v>63</v>
      </c>
      <c r="E20" s="19"/>
      <c r="F20" s="25" t="str">
        <f t="shared" si="0"/>
        <v/>
      </c>
      <c r="G20" s="19"/>
      <c r="H20" s="24"/>
    </row>
    <row r="21" spans="1:8" x14ac:dyDescent="0.25">
      <c r="A21" s="10" t="s">
        <v>48</v>
      </c>
      <c r="B21" s="10" t="s">
        <v>10</v>
      </c>
      <c r="C21" s="10" t="s">
        <v>15</v>
      </c>
      <c r="D21" s="10" t="s">
        <v>63</v>
      </c>
      <c r="E21" s="19"/>
      <c r="F21" s="25" t="str">
        <f t="shared" si="0"/>
        <v/>
      </c>
      <c r="G21" s="19"/>
      <c r="H21" s="24"/>
    </row>
    <row r="22" spans="1:8" x14ac:dyDescent="0.25">
      <c r="A22" s="10" t="s">
        <v>48</v>
      </c>
      <c r="B22" s="10" t="s">
        <v>10</v>
      </c>
      <c r="C22" s="10" t="s">
        <v>16</v>
      </c>
      <c r="D22" s="10" t="s">
        <v>63</v>
      </c>
      <c r="E22" s="19"/>
      <c r="F22" s="25" t="str">
        <f t="shared" si="0"/>
        <v/>
      </c>
      <c r="G22" s="19"/>
      <c r="H22" s="24"/>
    </row>
    <row r="23" spans="1:8" x14ac:dyDescent="0.25">
      <c r="A23" s="10" t="s">
        <v>48</v>
      </c>
      <c r="B23" s="10" t="s">
        <v>1</v>
      </c>
      <c r="C23" s="10" t="s">
        <v>3</v>
      </c>
      <c r="D23" s="10" t="s">
        <v>59</v>
      </c>
      <c r="E23" s="19">
        <f t="shared" ref="E23:E28" si="1">WORKDAY(G23,-H23+1,Projektfreie_Tage)</f>
        <v>40637</v>
      </c>
      <c r="F23" s="25">
        <f t="shared" si="0"/>
        <v>5</v>
      </c>
      <c r="G23" s="19">
        <v>40641</v>
      </c>
      <c r="H23" s="24">
        <v>5</v>
      </c>
    </row>
    <row r="24" spans="1:8" x14ac:dyDescent="0.25">
      <c r="A24" s="10" t="s">
        <v>48</v>
      </c>
      <c r="B24" s="10" t="s">
        <v>1</v>
      </c>
      <c r="C24" s="10" t="s">
        <v>4</v>
      </c>
      <c r="D24" s="10" t="s">
        <v>59</v>
      </c>
      <c r="E24" s="19">
        <f t="shared" si="1"/>
        <v>40644</v>
      </c>
      <c r="F24" s="25">
        <f t="shared" si="0"/>
        <v>5</v>
      </c>
      <c r="G24" s="19">
        <v>40648</v>
      </c>
      <c r="H24" s="24">
        <v>5</v>
      </c>
    </row>
    <row r="25" spans="1:8" x14ac:dyDescent="0.25">
      <c r="A25" s="10" t="s">
        <v>48</v>
      </c>
      <c r="B25" s="10" t="s">
        <v>1</v>
      </c>
      <c r="C25" s="10" t="s">
        <v>5</v>
      </c>
      <c r="D25" s="10" t="s">
        <v>59</v>
      </c>
      <c r="E25" s="19">
        <f t="shared" si="1"/>
        <v>40659</v>
      </c>
      <c r="F25" s="25">
        <f t="shared" si="0"/>
        <v>3</v>
      </c>
      <c r="G25" s="19">
        <v>40661</v>
      </c>
      <c r="H25" s="24">
        <v>3</v>
      </c>
    </row>
    <row r="26" spans="1:8" x14ac:dyDescent="0.25">
      <c r="A26" s="10" t="s">
        <v>48</v>
      </c>
      <c r="B26" s="10" t="s">
        <v>1</v>
      </c>
      <c r="C26" s="10" t="s">
        <v>6</v>
      </c>
      <c r="D26" s="10" t="s">
        <v>59</v>
      </c>
      <c r="E26" s="19">
        <f t="shared" si="1"/>
        <v>40665</v>
      </c>
      <c r="F26" s="25">
        <f t="shared" si="0"/>
        <v>3</v>
      </c>
      <c r="G26" s="19">
        <v>40667</v>
      </c>
      <c r="H26" s="24">
        <v>3</v>
      </c>
    </row>
    <row r="27" spans="1:8" x14ac:dyDescent="0.25">
      <c r="A27" s="10" t="s">
        <v>48</v>
      </c>
      <c r="B27" s="10" t="s">
        <v>1</v>
      </c>
      <c r="C27" s="10" t="s">
        <v>7</v>
      </c>
      <c r="D27" s="10" t="s">
        <v>59</v>
      </c>
      <c r="E27" s="19">
        <f t="shared" si="1"/>
        <v>40673</v>
      </c>
      <c r="F27" s="25">
        <f t="shared" si="0"/>
        <v>3</v>
      </c>
      <c r="G27" s="19">
        <v>40675</v>
      </c>
      <c r="H27" s="24">
        <v>3</v>
      </c>
    </row>
    <row r="28" spans="1:8" x14ac:dyDescent="0.25">
      <c r="A28" s="10" t="s">
        <v>48</v>
      </c>
      <c r="B28" s="10" t="s">
        <v>1</v>
      </c>
      <c r="C28" s="10" t="s">
        <v>39</v>
      </c>
      <c r="D28" s="10" t="s">
        <v>60</v>
      </c>
      <c r="E28" s="19">
        <f t="shared" si="1"/>
        <v>40710</v>
      </c>
      <c r="F28" s="25">
        <f t="shared" si="0"/>
        <v>22</v>
      </c>
      <c r="G28" s="19">
        <v>40731</v>
      </c>
      <c r="H28" s="24">
        <v>15</v>
      </c>
    </row>
  </sheetData>
  <autoFilter ref="A3:H28"/>
  <dataValidations count="2">
    <dataValidation type="list" allowBlank="1" showInputMessage="1" showErrorMessage="1" sqref="A4:A29">
      <formula1>"Office,Windows"</formula1>
    </dataValidation>
    <dataValidation type="list" allowBlank="1" showInputMessage="1" showErrorMessage="1" sqref="B4:C29">
      <formula1>INDIRECT(A4)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showGridLines="0" zoomScale="130" zoomScaleNormal="130" workbookViewId="0"/>
  </sheetViews>
  <sheetFormatPr baseColWidth="10" defaultRowHeight="15" x14ac:dyDescent="0.25"/>
  <cols>
    <col min="1" max="1" width="1.7109375" customWidth="1"/>
    <col min="3" max="3" width="14.5703125" customWidth="1"/>
    <col min="4" max="4" width="18.28515625" customWidth="1"/>
    <col min="5" max="5" width="14.28515625" customWidth="1"/>
    <col min="6" max="6" width="8.28515625" customWidth="1"/>
    <col min="7" max="7" width="13.7109375" customWidth="1"/>
    <col min="8" max="8" width="13" customWidth="1"/>
  </cols>
  <sheetData>
    <row r="1" spans="2:8" ht="18.75" x14ac:dyDescent="0.3">
      <c r="B1" s="31" t="s">
        <v>74</v>
      </c>
    </row>
    <row r="2" spans="2:8" x14ac:dyDescent="0.25">
      <c r="B2" s="36" t="s">
        <v>45</v>
      </c>
      <c r="C2" s="36" t="s">
        <v>46</v>
      </c>
      <c r="D2" s="36" t="s">
        <v>47</v>
      </c>
      <c r="E2" s="37" t="s">
        <v>51</v>
      </c>
      <c r="F2" s="37" t="s">
        <v>53</v>
      </c>
      <c r="G2" s="37" t="s">
        <v>52</v>
      </c>
      <c r="H2" s="38" t="s">
        <v>54</v>
      </c>
    </row>
    <row r="3" spans="2:8" x14ac:dyDescent="0.25">
      <c r="B3" s="10" t="s">
        <v>48</v>
      </c>
      <c r="C3" s="10" t="s">
        <v>1</v>
      </c>
      <c r="D3" s="10" t="s">
        <v>3</v>
      </c>
      <c r="E3" s="19">
        <v>40637</v>
      </c>
      <c r="F3" s="25">
        <f t="shared" ref="F3:F8" si="0">IF(AND(ISNUMBER(E3),ISNUMBER(G3)),G3-E3+1,"")</f>
        <v>5</v>
      </c>
      <c r="G3" s="19">
        <v>40641</v>
      </c>
      <c r="H3" s="24">
        <f t="shared" ref="H3:H8" si="1">NETWORKDAYS(E3,G3,Projektfreie_Tage)</f>
        <v>5</v>
      </c>
    </row>
    <row r="4" spans="2:8" x14ac:dyDescent="0.25">
      <c r="B4" s="10" t="s">
        <v>48</v>
      </c>
      <c r="C4" s="10" t="s">
        <v>1</v>
      </c>
      <c r="D4" s="10" t="s">
        <v>4</v>
      </c>
      <c r="E4" s="19">
        <v>40644</v>
      </c>
      <c r="F4" s="25">
        <f t="shared" si="0"/>
        <v>5</v>
      </c>
      <c r="G4" s="19">
        <v>40648</v>
      </c>
      <c r="H4" s="24">
        <f t="shared" si="1"/>
        <v>5</v>
      </c>
    </row>
    <row r="5" spans="2:8" x14ac:dyDescent="0.25">
      <c r="B5" s="10" t="s">
        <v>48</v>
      </c>
      <c r="C5" s="10" t="s">
        <v>1</v>
      </c>
      <c r="D5" s="10" t="s">
        <v>5</v>
      </c>
      <c r="E5" s="19">
        <v>40659</v>
      </c>
      <c r="F5" s="25">
        <f t="shared" si="0"/>
        <v>3</v>
      </c>
      <c r="G5" s="19">
        <v>40661</v>
      </c>
      <c r="H5" s="24">
        <f t="shared" si="1"/>
        <v>3</v>
      </c>
    </row>
    <row r="6" spans="2:8" x14ac:dyDescent="0.25">
      <c r="B6" s="10" t="s">
        <v>48</v>
      </c>
      <c r="C6" s="10" t="s">
        <v>1</v>
      </c>
      <c r="D6" s="10" t="s">
        <v>6</v>
      </c>
      <c r="E6" s="19">
        <v>40665</v>
      </c>
      <c r="F6" s="25">
        <f t="shared" si="0"/>
        <v>3</v>
      </c>
      <c r="G6" s="19">
        <v>40667</v>
      </c>
      <c r="H6" s="24">
        <f t="shared" si="1"/>
        <v>3</v>
      </c>
    </row>
    <row r="7" spans="2:8" x14ac:dyDescent="0.25">
      <c r="B7" s="10" t="s">
        <v>48</v>
      </c>
      <c r="C7" s="10" t="s">
        <v>1</v>
      </c>
      <c r="D7" s="10" t="s">
        <v>7</v>
      </c>
      <c r="E7" s="19">
        <v>40673</v>
      </c>
      <c r="F7" s="25">
        <f t="shared" si="0"/>
        <v>3</v>
      </c>
      <c r="G7" s="19">
        <v>40675</v>
      </c>
      <c r="H7" s="24">
        <f t="shared" si="1"/>
        <v>3</v>
      </c>
    </row>
    <row r="8" spans="2:8" x14ac:dyDescent="0.25">
      <c r="B8" s="10" t="s">
        <v>48</v>
      </c>
      <c r="C8" s="10" t="s">
        <v>1</v>
      </c>
      <c r="D8" s="10" t="s">
        <v>39</v>
      </c>
      <c r="E8" s="19">
        <v>40710</v>
      </c>
      <c r="F8" s="25">
        <f t="shared" si="0"/>
        <v>22</v>
      </c>
      <c r="G8" s="19">
        <v>40731</v>
      </c>
      <c r="H8" s="24">
        <f t="shared" si="1"/>
        <v>15</v>
      </c>
    </row>
    <row r="10" spans="2:8" ht="18.75" x14ac:dyDescent="0.3">
      <c r="B10" s="32" t="s">
        <v>75</v>
      </c>
    </row>
    <row r="11" spans="2:8" x14ac:dyDescent="0.25">
      <c r="B11" s="33" t="s">
        <v>45</v>
      </c>
      <c r="C11" s="33" t="s">
        <v>46</v>
      </c>
      <c r="D11" s="33" t="s">
        <v>47</v>
      </c>
      <c r="E11" s="34" t="s">
        <v>51</v>
      </c>
      <c r="F11" s="34" t="s">
        <v>53</v>
      </c>
      <c r="G11" s="34" t="s">
        <v>52</v>
      </c>
      <c r="H11" s="35" t="s">
        <v>54</v>
      </c>
    </row>
    <row r="12" spans="2:8" x14ac:dyDescent="0.25">
      <c r="B12" s="10" t="s">
        <v>48</v>
      </c>
      <c r="C12" s="10" t="s">
        <v>1</v>
      </c>
      <c r="D12" s="10" t="s">
        <v>3</v>
      </c>
      <c r="E12" s="19">
        <v>40637</v>
      </c>
      <c r="F12" s="25">
        <f t="shared" ref="F12:F17" si="2">IF(AND(ISNUMBER(E12),ISNUMBER(G12)),G12-E12+1,"")</f>
        <v>5</v>
      </c>
      <c r="G12" s="19">
        <v>40641</v>
      </c>
      <c r="H12" s="24">
        <f t="shared" ref="H12:H17" si="3">NETWORKDAYS.INTL(E12,G12,"0000111",Projektfreie_Tage)</f>
        <v>4</v>
      </c>
    </row>
    <row r="13" spans="2:8" x14ac:dyDescent="0.25">
      <c r="B13" s="10" t="s">
        <v>48</v>
      </c>
      <c r="C13" s="10" t="s">
        <v>1</v>
      </c>
      <c r="D13" s="10" t="s">
        <v>4</v>
      </c>
      <c r="E13" s="19">
        <v>40644</v>
      </c>
      <c r="F13" s="25">
        <f t="shared" si="2"/>
        <v>5</v>
      </c>
      <c r="G13" s="19">
        <v>40648</v>
      </c>
      <c r="H13" s="24">
        <f t="shared" si="3"/>
        <v>4</v>
      </c>
    </row>
    <row r="14" spans="2:8" x14ac:dyDescent="0.25">
      <c r="B14" s="10" t="s">
        <v>48</v>
      </c>
      <c r="C14" s="10" t="s">
        <v>1</v>
      </c>
      <c r="D14" s="10" t="s">
        <v>5</v>
      </c>
      <c r="E14" s="19">
        <v>40659</v>
      </c>
      <c r="F14" s="25">
        <f t="shared" si="2"/>
        <v>3</v>
      </c>
      <c r="G14" s="19">
        <v>40661</v>
      </c>
      <c r="H14" s="24">
        <f t="shared" si="3"/>
        <v>3</v>
      </c>
    </row>
    <row r="15" spans="2:8" x14ac:dyDescent="0.25">
      <c r="B15" s="10" t="s">
        <v>48</v>
      </c>
      <c r="C15" s="10" t="s">
        <v>1</v>
      </c>
      <c r="D15" s="10" t="s">
        <v>6</v>
      </c>
      <c r="E15" s="19">
        <v>40665</v>
      </c>
      <c r="F15" s="25">
        <f t="shared" si="2"/>
        <v>3</v>
      </c>
      <c r="G15" s="19">
        <v>40667</v>
      </c>
      <c r="H15" s="24">
        <f t="shared" si="3"/>
        <v>3</v>
      </c>
    </row>
    <row r="16" spans="2:8" x14ac:dyDescent="0.25">
      <c r="B16" s="10" t="s">
        <v>48</v>
      </c>
      <c r="C16" s="10" t="s">
        <v>1</v>
      </c>
      <c r="D16" s="10" t="s">
        <v>7</v>
      </c>
      <c r="E16" s="19">
        <v>40673</v>
      </c>
      <c r="F16" s="25">
        <f t="shared" si="2"/>
        <v>3</v>
      </c>
      <c r="G16" s="19">
        <v>40675</v>
      </c>
      <c r="H16" s="24">
        <f t="shared" si="3"/>
        <v>3</v>
      </c>
    </row>
    <row r="17" spans="2:8" x14ac:dyDescent="0.25">
      <c r="B17" s="10" t="s">
        <v>48</v>
      </c>
      <c r="C17" s="10" t="s">
        <v>1</v>
      </c>
      <c r="D17" s="10" t="s">
        <v>39</v>
      </c>
      <c r="E17" s="19">
        <v>40710</v>
      </c>
      <c r="F17" s="25">
        <f t="shared" si="2"/>
        <v>22</v>
      </c>
      <c r="G17" s="19">
        <v>40731</v>
      </c>
      <c r="H17" s="24">
        <f t="shared" si="3"/>
        <v>12</v>
      </c>
    </row>
  </sheetData>
  <dataValidations count="2">
    <dataValidation type="list" allowBlank="1" showInputMessage="1" showErrorMessage="1" sqref="C3:D8 C12:D17">
      <formula1>INDIRECT(B3)</formula1>
    </dataValidation>
    <dataValidation type="list" allowBlank="1" showInputMessage="1" showErrorMessage="1" sqref="B3:B8 B12:B17">
      <formula1>"Office,Windows"</formula1>
    </dataValidation>
  </dataValidation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2"/>
  <sheetViews>
    <sheetView showGridLines="0" zoomScale="110" zoomScaleNormal="110" workbookViewId="0"/>
  </sheetViews>
  <sheetFormatPr baseColWidth="10" defaultRowHeight="15" x14ac:dyDescent="0.25"/>
  <cols>
    <col min="1" max="1" width="3.7109375" customWidth="1"/>
    <col min="3" max="3" width="9.7109375" customWidth="1"/>
    <col min="4" max="4" width="26.7109375" customWidth="1"/>
    <col min="6" max="6" width="9.7109375" customWidth="1"/>
    <col min="7" max="7" width="26.7109375" customWidth="1"/>
  </cols>
  <sheetData>
    <row r="1" spans="2:7" ht="25.5" customHeight="1" x14ac:dyDescent="0.25">
      <c r="B1" s="29" t="s">
        <v>69</v>
      </c>
      <c r="C1" s="29" t="s">
        <v>70</v>
      </c>
      <c r="E1" s="28" t="s">
        <v>69</v>
      </c>
      <c r="F1" s="28" t="s">
        <v>71</v>
      </c>
    </row>
    <row r="2" spans="2:7" x14ac:dyDescent="0.25">
      <c r="B2" s="21">
        <v>40544</v>
      </c>
      <c r="C2" s="26">
        <f>WEEKNUM(B2,2)</f>
        <v>1</v>
      </c>
      <c r="D2" s="27" t="s">
        <v>72</v>
      </c>
      <c r="E2" s="21">
        <v>40544</v>
      </c>
      <c r="F2" s="26">
        <f>WEEKNUM(E2,21)</f>
        <v>52</v>
      </c>
      <c r="G2" s="30" t="s">
        <v>73</v>
      </c>
    </row>
    <row r="3" spans="2:7" x14ac:dyDescent="0.25">
      <c r="B3" s="21">
        <v>40545</v>
      </c>
      <c r="C3" s="26">
        <f t="shared" ref="C3:C17" si="0">WEEKNUM(B3,2)</f>
        <v>1</v>
      </c>
      <c r="E3" s="21">
        <v>40545</v>
      </c>
      <c r="F3" s="26">
        <f t="shared" ref="F3:F17" si="1">WEEKNUM(E3,21)</f>
        <v>52</v>
      </c>
    </row>
    <row r="4" spans="2:7" x14ac:dyDescent="0.25">
      <c r="B4" s="21">
        <v>40546</v>
      </c>
      <c r="C4" s="26">
        <f t="shared" si="0"/>
        <v>2</v>
      </c>
      <c r="E4" s="21">
        <v>40546</v>
      </c>
      <c r="F4" s="26">
        <f t="shared" si="1"/>
        <v>1</v>
      </c>
    </row>
    <row r="5" spans="2:7" x14ac:dyDescent="0.25">
      <c r="B5" s="21">
        <v>40547</v>
      </c>
      <c r="C5" s="26">
        <f t="shared" si="0"/>
        <v>2</v>
      </c>
      <c r="E5" s="21">
        <v>40547</v>
      </c>
      <c r="F5" s="26">
        <f t="shared" si="1"/>
        <v>1</v>
      </c>
    </row>
    <row r="6" spans="2:7" x14ac:dyDescent="0.25">
      <c r="B6" s="21">
        <v>40548</v>
      </c>
      <c r="C6" s="26">
        <f t="shared" si="0"/>
        <v>2</v>
      </c>
      <c r="E6" s="21">
        <v>40548</v>
      </c>
      <c r="F6" s="26">
        <f t="shared" si="1"/>
        <v>1</v>
      </c>
    </row>
    <row r="7" spans="2:7" x14ac:dyDescent="0.25">
      <c r="B7" s="21">
        <v>40549</v>
      </c>
      <c r="C7" s="26">
        <f t="shared" si="0"/>
        <v>2</v>
      </c>
      <c r="E7" s="21">
        <v>40549</v>
      </c>
      <c r="F7" s="26">
        <f t="shared" si="1"/>
        <v>1</v>
      </c>
    </row>
    <row r="8" spans="2:7" x14ac:dyDescent="0.25">
      <c r="B8" s="21">
        <v>40550</v>
      </c>
      <c r="C8" s="26">
        <f t="shared" si="0"/>
        <v>2</v>
      </c>
      <c r="E8" s="21">
        <v>40550</v>
      </c>
      <c r="F8" s="26">
        <f t="shared" si="1"/>
        <v>1</v>
      </c>
    </row>
    <row r="9" spans="2:7" x14ac:dyDescent="0.25">
      <c r="B9" s="21">
        <v>40551</v>
      </c>
      <c r="C9" s="26">
        <f t="shared" si="0"/>
        <v>2</v>
      </c>
      <c r="E9" s="21">
        <v>40551</v>
      </c>
      <c r="F9" s="26">
        <f t="shared" si="1"/>
        <v>1</v>
      </c>
    </row>
    <row r="10" spans="2:7" x14ac:dyDescent="0.25">
      <c r="B10" s="21">
        <v>40552</v>
      </c>
      <c r="C10" s="26">
        <f t="shared" si="0"/>
        <v>2</v>
      </c>
      <c r="E10" s="21">
        <v>40552</v>
      </c>
      <c r="F10" s="26">
        <f t="shared" si="1"/>
        <v>1</v>
      </c>
    </row>
    <row r="11" spans="2:7" x14ac:dyDescent="0.25">
      <c r="B11" s="21">
        <v>40553</v>
      </c>
      <c r="C11" s="26">
        <f t="shared" si="0"/>
        <v>3</v>
      </c>
      <c r="E11" s="21">
        <v>40553</v>
      </c>
      <c r="F11" s="26">
        <f t="shared" si="1"/>
        <v>2</v>
      </c>
    </row>
    <row r="12" spans="2:7" x14ac:dyDescent="0.25">
      <c r="B12" s="21">
        <v>40554</v>
      </c>
      <c r="C12" s="26">
        <f t="shared" si="0"/>
        <v>3</v>
      </c>
      <c r="E12" s="21">
        <v>40554</v>
      </c>
      <c r="F12" s="26">
        <f t="shared" si="1"/>
        <v>2</v>
      </c>
    </row>
    <row r="13" spans="2:7" x14ac:dyDescent="0.25">
      <c r="B13" s="21">
        <v>40555</v>
      </c>
      <c r="C13" s="26">
        <f t="shared" si="0"/>
        <v>3</v>
      </c>
      <c r="E13" s="21">
        <v>40555</v>
      </c>
      <c r="F13" s="26">
        <f t="shared" si="1"/>
        <v>2</v>
      </c>
    </row>
    <row r="14" spans="2:7" x14ac:dyDescent="0.25">
      <c r="B14" s="21">
        <v>40556</v>
      </c>
      <c r="C14" s="26">
        <f t="shared" si="0"/>
        <v>3</v>
      </c>
      <c r="E14" s="21">
        <v>40556</v>
      </c>
      <c r="F14" s="26">
        <f t="shared" si="1"/>
        <v>2</v>
      </c>
    </row>
    <row r="15" spans="2:7" x14ac:dyDescent="0.25">
      <c r="B15" s="21">
        <v>40557</v>
      </c>
      <c r="C15" s="26">
        <f t="shared" si="0"/>
        <v>3</v>
      </c>
      <c r="E15" s="21">
        <v>40557</v>
      </c>
      <c r="F15" s="26">
        <f t="shared" si="1"/>
        <v>2</v>
      </c>
    </row>
    <row r="16" spans="2:7" x14ac:dyDescent="0.25">
      <c r="B16" s="21">
        <v>40558</v>
      </c>
      <c r="C16" s="26">
        <f t="shared" si="0"/>
        <v>3</v>
      </c>
      <c r="E16" s="21">
        <v>40558</v>
      </c>
      <c r="F16" s="26">
        <f t="shared" si="1"/>
        <v>2</v>
      </c>
    </row>
    <row r="17" spans="2:6" x14ac:dyDescent="0.25">
      <c r="B17" s="21">
        <v>40559</v>
      </c>
      <c r="C17" s="26">
        <f t="shared" si="0"/>
        <v>3</v>
      </c>
      <c r="E17" s="21">
        <v>40559</v>
      </c>
      <c r="F17" s="26">
        <f t="shared" si="1"/>
        <v>2</v>
      </c>
    </row>
    <row r="18" spans="2:6" x14ac:dyDescent="0.25">
      <c r="B18" s="21"/>
      <c r="C18" s="26"/>
      <c r="E18" s="21"/>
      <c r="F18" s="26"/>
    </row>
    <row r="19" spans="2:6" x14ac:dyDescent="0.25">
      <c r="B19" s="21"/>
      <c r="C19" s="26"/>
      <c r="E19" s="21"/>
      <c r="F19" s="26"/>
    </row>
    <row r="20" spans="2:6" x14ac:dyDescent="0.25">
      <c r="B20" s="21"/>
      <c r="C20" s="26"/>
      <c r="E20" s="21"/>
      <c r="F20" s="26"/>
    </row>
    <row r="21" spans="2:6" x14ac:dyDescent="0.25">
      <c r="B21" s="21"/>
      <c r="C21" s="26"/>
      <c r="E21" s="21"/>
      <c r="F21" s="26"/>
    </row>
    <row r="22" spans="2:6" x14ac:dyDescent="0.25">
      <c r="B22" s="21"/>
      <c r="C22" s="26"/>
      <c r="E22" s="21"/>
      <c r="F22" s="26"/>
    </row>
    <row r="23" spans="2:6" x14ac:dyDescent="0.25">
      <c r="B23" s="21"/>
      <c r="C23" s="26"/>
      <c r="E23" s="21"/>
      <c r="F23" s="26"/>
    </row>
    <row r="24" spans="2:6" x14ac:dyDescent="0.25">
      <c r="B24" s="21"/>
      <c r="C24" s="26"/>
      <c r="E24" s="21"/>
      <c r="F24" s="26"/>
    </row>
    <row r="25" spans="2:6" x14ac:dyDescent="0.25">
      <c r="B25" s="21"/>
      <c r="C25" s="26"/>
      <c r="E25" s="21"/>
      <c r="F25" s="26"/>
    </row>
    <row r="26" spans="2:6" x14ac:dyDescent="0.25">
      <c r="B26" s="21"/>
      <c r="C26" s="26"/>
      <c r="E26" s="21"/>
      <c r="F26" s="26"/>
    </row>
    <row r="27" spans="2:6" x14ac:dyDescent="0.25">
      <c r="B27" s="21"/>
      <c r="C27" s="26"/>
      <c r="E27" s="21"/>
      <c r="F27" s="26"/>
    </row>
    <row r="28" spans="2:6" x14ac:dyDescent="0.25">
      <c r="B28" s="21"/>
      <c r="C28" s="26"/>
      <c r="E28" s="21"/>
      <c r="F28" s="26"/>
    </row>
    <row r="29" spans="2:6" x14ac:dyDescent="0.25">
      <c r="B29" s="21"/>
      <c r="C29" s="26"/>
      <c r="E29" s="21"/>
      <c r="F29" s="26"/>
    </row>
    <row r="30" spans="2:6" x14ac:dyDescent="0.25">
      <c r="B30" s="21"/>
      <c r="C30" s="26"/>
      <c r="E30" s="21"/>
      <c r="F30" s="26"/>
    </row>
    <row r="31" spans="2:6" x14ac:dyDescent="0.25">
      <c r="B31" s="21"/>
      <c r="C31" s="26"/>
      <c r="E31" s="21"/>
      <c r="F31" s="26"/>
    </row>
    <row r="32" spans="2:6" x14ac:dyDescent="0.25">
      <c r="B32" s="21"/>
      <c r="C32" s="26"/>
      <c r="E32" s="21"/>
      <c r="F32" s="2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zoomScale="120" zoomScaleNormal="120" workbookViewId="0"/>
  </sheetViews>
  <sheetFormatPr baseColWidth="10" defaultRowHeight="15" x14ac:dyDescent="0.25"/>
  <cols>
    <col min="1" max="1" width="11.42578125" customWidth="1"/>
    <col min="2" max="2" width="14.28515625" customWidth="1"/>
    <col min="3" max="3" width="15.85546875" customWidth="1"/>
    <col min="4" max="4" width="15.5703125" customWidth="1"/>
    <col min="5" max="5" width="16.85546875" customWidth="1"/>
    <col min="6" max="6" width="12.85546875" bestFit="1" customWidth="1"/>
    <col min="7" max="7" width="12" customWidth="1"/>
    <col min="9" max="9" width="15.85546875" customWidth="1"/>
  </cols>
  <sheetData>
    <row r="1" spans="1:9" ht="18.75" x14ac:dyDescent="0.3">
      <c r="A1" s="17" t="s">
        <v>48</v>
      </c>
      <c r="B1" s="9" t="s">
        <v>0</v>
      </c>
      <c r="C1" s="9" t="s">
        <v>2</v>
      </c>
      <c r="D1" s="9" t="s">
        <v>8</v>
      </c>
      <c r="E1" s="9" t="s">
        <v>1</v>
      </c>
      <c r="F1" s="9" t="s">
        <v>10</v>
      </c>
      <c r="G1" s="9" t="s">
        <v>44</v>
      </c>
    </row>
    <row r="2" spans="1:9" x14ac:dyDescent="0.25">
      <c r="B2" s="5" t="s">
        <v>27</v>
      </c>
      <c r="C2" s="5" t="s">
        <v>21</v>
      </c>
      <c r="D2" s="2" t="s">
        <v>22</v>
      </c>
      <c r="E2" s="5" t="s">
        <v>3</v>
      </c>
      <c r="F2" s="5" t="s">
        <v>13</v>
      </c>
      <c r="G2" s="5" t="s">
        <v>17</v>
      </c>
      <c r="I2" s="20" t="s">
        <v>68</v>
      </c>
    </row>
    <row r="3" spans="1:9" x14ac:dyDescent="0.25">
      <c r="B3" s="5" t="s">
        <v>28</v>
      </c>
      <c r="C3" s="5" t="s">
        <v>57</v>
      </c>
      <c r="D3" s="2" t="s">
        <v>56</v>
      </c>
      <c r="E3" s="5" t="s">
        <v>4</v>
      </c>
      <c r="F3" s="5" t="s">
        <v>11</v>
      </c>
      <c r="G3" s="5" t="s">
        <v>18</v>
      </c>
      <c r="I3" s="21">
        <v>40544</v>
      </c>
    </row>
    <row r="4" spans="1:9" x14ac:dyDescent="0.25">
      <c r="B4" s="5" t="s">
        <v>29</v>
      </c>
      <c r="C4" s="5" t="s">
        <v>58</v>
      </c>
      <c r="D4" s="2" t="s">
        <v>21</v>
      </c>
      <c r="E4" s="5" t="s">
        <v>5</v>
      </c>
      <c r="F4" s="5" t="s">
        <v>12</v>
      </c>
      <c r="G4" s="5" t="s">
        <v>19</v>
      </c>
      <c r="I4" s="21">
        <v>40609</v>
      </c>
    </row>
    <row r="5" spans="1:9" x14ac:dyDescent="0.25">
      <c r="B5" s="3"/>
      <c r="C5" s="5" t="s">
        <v>24</v>
      </c>
      <c r="D5" s="3"/>
      <c r="E5" s="5" t="s">
        <v>6</v>
      </c>
      <c r="F5" s="5" t="s">
        <v>14</v>
      </c>
      <c r="G5" s="5" t="s">
        <v>20</v>
      </c>
      <c r="I5" s="21">
        <v>40610</v>
      </c>
    </row>
    <row r="6" spans="1:9" x14ac:dyDescent="0.25">
      <c r="B6" s="3"/>
      <c r="C6" s="5" t="s">
        <v>25</v>
      </c>
      <c r="D6" s="3"/>
      <c r="E6" s="5" t="s">
        <v>7</v>
      </c>
      <c r="F6" s="5" t="s">
        <v>15</v>
      </c>
      <c r="G6" s="5" t="s">
        <v>26</v>
      </c>
      <c r="I6" s="21">
        <v>40611</v>
      </c>
    </row>
    <row r="7" spans="1:9" x14ac:dyDescent="0.25">
      <c r="B7" s="3"/>
      <c r="C7" s="3"/>
      <c r="D7" s="3"/>
      <c r="E7" s="5" t="s">
        <v>39</v>
      </c>
      <c r="F7" s="5" t="s">
        <v>16</v>
      </c>
      <c r="G7" s="3"/>
      <c r="I7" s="21">
        <v>40655</v>
      </c>
    </row>
    <row r="8" spans="1:9" x14ac:dyDescent="0.25">
      <c r="B8" s="1"/>
      <c r="C8" s="1"/>
      <c r="D8" s="1"/>
      <c r="E8" s="1"/>
      <c r="F8" s="1"/>
      <c r="G8" s="1"/>
      <c r="I8" s="21">
        <v>40657</v>
      </c>
    </row>
    <row r="9" spans="1:9" ht="18.75" x14ac:dyDescent="0.3">
      <c r="A9" s="18" t="s">
        <v>49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9</v>
      </c>
      <c r="G9" s="1"/>
      <c r="I9" s="21">
        <v>40658</v>
      </c>
    </row>
    <row r="10" spans="1:9" x14ac:dyDescent="0.25">
      <c r="B10" s="6" t="s">
        <v>27</v>
      </c>
      <c r="C10" s="4" t="s">
        <v>30</v>
      </c>
      <c r="D10" s="7" t="s">
        <v>30</v>
      </c>
      <c r="E10" s="6" t="s">
        <v>3</v>
      </c>
      <c r="F10" s="6" t="s">
        <v>17</v>
      </c>
      <c r="G10" s="1"/>
      <c r="I10" s="21">
        <v>40664</v>
      </c>
    </row>
    <row r="11" spans="1:9" x14ac:dyDescent="0.25">
      <c r="B11" s="6" t="s">
        <v>28</v>
      </c>
      <c r="C11" s="4" t="s">
        <v>31</v>
      </c>
      <c r="D11" s="7" t="s">
        <v>31</v>
      </c>
      <c r="E11" s="6" t="s">
        <v>4</v>
      </c>
      <c r="F11" s="6" t="s">
        <v>18</v>
      </c>
      <c r="G11" s="1"/>
      <c r="I11" s="21">
        <v>40696</v>
      </c>
    </row>
    <row r="12" spans="1:9" x14ac:dyDescent="0.25">
      <c r="B12" s="6" t="s">
        <v>29</v>
      </c>
      <c r="C12" s="4" t="s">
        <v>32</v>
      </c>
      <c r="D12" s="7" t="s">
        <v>32</v>
      </c>
      <c r="E12" s="6" t="s">
        <v>37</v>
      </c>
      <c r="F12" s="6" t="s">
        <v>19</v>
      </c>
      <c r="G12" s="1"/>
      <c r="I12" s="21">
        <v>40707</v>
      </c>
    </row>
    <row r="13" spans="1:9" x14ac:dyDescent="0.25">
      <c r="B13" s="3"/>
      <c r="C13" s="4" t="s">
        <v>33</v>
      </c>
      <c r="D13" s="7" t="s">
        <v>33</v>
      </c>
      <c r="E13" s="6" t="s">
        <v>38</v>
      </c>
      <c r="F13" s="6" t="s">
        <v>20</v>
      </c>
      <c r="G13" s="1"/>
      <c r="I13" s="21">
        <v>40717</v>
      </c>
    </row>
    <row r="14" spans="1:9" x14ac:dyDescent="0.25">
      <c r="B14" s="3"/>
      <c r="C14" s="4" t="s">
        <v>34</v>
      </c>
      <c r="D14" s="7" t="s">
        <v>34</v>
      </c>
      <c r="E14" s="6" t="s">
        <v>5</v>
      </c>
      <c r="F14" s="6" t="s">
        <v>26</v>
      </c>
      <c r="G14" s="1"/>
      <c r="I14" s="21">
        <v>40770</v>
      </c>
    </row>
    <row r="15" spans="1:9" x14ac:dyDescent="0.25">
      <c r="B15" s="3"/>
      <c r="C15" s="4" t="s">
        <v>35</v>
      </c>
      <c r="D15" s="7" t="s">
        <v>35</v>
      </c>
      <c r="E15" s="6" t="s">
        <v>6</v>
      </c>
      <c r="F15" s="3"/>
      <c r="G15" s="1"/>
      <c r="I15" s="21">
        <v>40819</v>
      </c>
    </row>
    <row r="16" spans="1:9" x14ac:dyDescent="0.25">
      <c r="B16" s="3"/>
      <c r="C16" s="4" t="s">
        <v>36</v>
      </c>
      <c r="D16" s="7" t="s">
        <v>36</v>
      </c>
      <c r="E16" s="6" t="s">
        <v>7</v>
      </c>
      <c r="F16" s="3"/>
      <c r="G16" s="1"/>
      <c r="I16" s="21">
        <v>40847</v>
      </c>
    </row>
    <row r="17" spans="2:9" x14ac:dyDescent="0.25">
      <c r="B17" s="3"/>
      <c r="C17" s="3"/>
      <c r="D17" s="3"/>
      <c r="E17" s="6" t="s">
        <v>39</v>
      </c>
      <c r="F17" s="3"/>
      <c r="G17" s="1"/>
      <c r="I17" s="21">
        <v>40848</v>
      </c>
    </row>
    <row r="18" spans="2:9" x14ac:dyDescent="0.25">
      <c r="B18" s="1"/>
      <c r="C18" s="1"/>
      <c r="D18" s="1"/>
      <c r="E18" s="1"/>
      <c r="F18" s="1"/>
      <c r="G18" s="1"/>
      <c r="I18" s="21">
        <v>40860</v>
      </c>
    </row>
    <row r="19" spans="2:9" x14ac:dyDescent="0.25">
      <c r="B19" s="1"/>
      <c r="C19" s="1"/>
      <c r="D19" s="1"/>
      <c r="E19" s="1"/>
      <c r="F19" s="1"/>
      <c r="G19" s="1"/>
      <c r="I19" s="21">
        <v>40863</v>
      </c>
    </row>
    <row r="20" spans="2:9" x14ac:dyDescent="0.25">
      <c r="I20" s="21">
        <v>40867</v>
      </c>
    </row>
    <row r="21" spans="2:9" x14ac:dyDescent="0.25">
      <c r="I21" s="21">
        <v>40902</v>
      </c>
    </row>
    <row r="22" spans="2:9" x14ac:dyDescent="0.25">
      <c r="I22" s="21">
        <v>40903</v>
      </c>
    </row>
    <row r="23" spans="2:9" x14ac:dyDescent="0.25">
      <c r="I23" s="21">
        <v>40908</v>
      </c>
    </row>
  </sheetData>
  <sortState ref="I3:I23">
    <sortCondition ref="I1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14</vt:i4>
      </vt:variant>
    </vt:vector>
  </HeadingPairs>
  <TitlesOfParts>
    <vt:vector size="20" baseType="lpstr">
      <vt:lpstr>Start</vt:lpstr>
      <vt:lpstr>Planung 0</vt:lpstr>
      <vt:lpstr>Planung</vt:lpstr>
      <vt:lpstr>INTL</vt:lpstr>
      <vt:lpstr>Kalenderwoche</vt:lpstr>
      <vt:lpstr>Struktur</vt:lpstr>
      <vt:lpstr>Anpassen</vt:lpstr>
      <vt:lpstr>Anpassungen</vt:lpstr>
      <vt:lpstr>Ausrollen</vt:lpstr>
      <vt:lpstr>Konzept</vt:lpstr>
      <vt:lpstr>Konzeption</vt:lpstr>
      <vt:lpstr>Office</vt:lpstr>
      <vt:lpstr>Projektfreie_Tage</vt:lpstr>
      <vt:lpstr>Rollout</vt:lpstr>
      <vt:lpstr>Schulung</vt:lpstr>
      <vt:lpstr>Testen</vt:lpstr>
      <vt:lpstr>Tests</vt:lpstr>
      <vt:lpstr>Training</vt:lpstr>
      <vt:lpstr>Vorlagen</vt:lpstr>
      <vt:lpstr>Windows</vt:lpstr>
    </vt:vector>
  </TitlesOfParts>
  <Company>schiecke.biz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Projektarbeit mit Excel - Teil 1</dc:title>
  <dc:subject>Projekt Magazin</dc:subject>
  <dc:creator>Dieter Schiecke</dc:creator>
  <cp:lastModifiedBy>Dieter Schiecke</cp:lastModifiedBy>
  <dcterms:created xsi:type="dcterms:W3CDTF">2011-05-08T04:29:19Z</dcterms:created>
  <dcterms:modified xsi:type="dcterms:W3CDTF">2011-05-22T19:30:40Z</dcterms:modified>
</cp:coreProperties>
</file>