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DieseArbeitsmappe" defaultThemeVersion="124226"/>
  <bookViews>
    <workbookView xWindow="120" yWindow="135" windowWidth="20730" windowHeight="11760"/>
  </bookViews>
  <sheets>
    <sheet name="Into" sheetId="3" r:id="rId1"/>
    <sheet name="Report" sheetId="1" r:id="rId2"/>
    <sheet name="Data" sheetId="2" r:id="rId3"/>
  </sheets>
  <definedNames>
    <definedName name="BLopt">#REF!</definedName>
    <definedName name="BLpess">#REF!</definedName>
    <definedName name="BLreal">#REF!</definedName>
    <definedName name="CL_DueDate">#REF!</definedName>
    <definedName name="CL_reason_probability">#REF!</definedName>
    <definedName name="CL_reasonable_due_date">#REF!</definedName>
    <definedName name="CL_Start">#REF!</definedName>
    <definedName name="CL_V_opt">#REF!</definedName>
    <definedName name="CL_V_pess">#REF!</definedName>
    <definedName name="CL_V_real">#REF!</definedName>
    <definedName name="ClaudiaBLopt">#REF!</definedName>
    <definedName name="cStep">#REF!</definedName>
    <definedName name="_xlnm.Print_Area" localSheetId="1">Report!$A:$I</definedName>
    <definedName name="GY0LCC">Report!$V$5</definedName>
    <definedName name="GY0LLC">Report!$V$5</definedName>
    <definedName name="GY100LCC">Report!$W$5</definedName>
    <definedName name="table">Report!$A$35</definedName>
    <definedName name="YR0LCC">Report!$V$6</definedName>
    <definedName name="YR100LCC">Report!$W$6</definedName>
  </definedNames>
  <calcPr calcId="125725"/>
</workbook>
</file>

<file path=xl/calcChain.xml><?xml version="1.0" encoding="utf-8"?>
<calcChain xmlns="http://schemas.openxmlformats.org/spreadsheetml/2006/main">
  <c r="B37" i="1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89"/>
  <c r="B90"/>
  <c r="B91"/>
  <c r="B92"/>
  <c r="B93"/>
  <c r="B94"/>
  <c r="B95"/>
  <c r="B96"/>
  <c r="B97"/>
  <c r="B98"/>
  <c r="B99"/>
  <c r="B36"/>
  <c r="C2"/>
  <c r="F4" i="2"/>
  <c r="F5"/>
  <c r="F6"/>
  <c r="F7"/>
  <c r="F8"/>
  <c r="F10"/>
  <c r="F3"/>
  <c r="F9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2"/>
</calcChain>
</file>

<file path=xl/sharedStrings.xml><?xml version="1.0" encoding="utf-8"?>
<sst xmlns="http://schemas.openxmlformats.org/spreadsheetml/2006/main" count="57" uniqueCount="39">
  <si>
    <t>LCC</t>
  </si>
  <si>
    <t>BC</t>
  </si>
  <si>
    <t>Date</t>
  </si>
  <si>
    <t>Stream/Release</t>
  </si>
  <si>
    <t>Colour-Sheme</t>
  </si>
  <si>
    <t>green-yellow-line</t>
  </si>
  <si>
    <t>yellow-red-lne</t>
  </si>
  <si>
    <t>BC@0%LCC</t>
  </si>
  <si>
    <t>BC@100%LCC</t>
  </si>
  <si>
    <t>last Status</t>
  </si>
  <si>
    <t>%LCC</t>
  </si>
  <si>
    <t>%BC</t>
  </si>
  <si>
    <t>current Status</t>
  </si>
  <si>
    <t>most penetrating task</t>
  </si>
  <si>
    <t>bad</t>
  </si>
  <si>
    <t>good</t>
  </si>
  <si>
    <t>ca va</t>
  </si>
  <si>
    <t>none</t>
  </si>
  <si>
    <t>waiting on decision of pbb</t>
  </si>
  <si>
    <t>waiting on fire wall</t>
  </si>
  <si>
    <t>one to much</t>
  </si>
  <si>
    <t>no plan</t>
  </si>
  <si>
    <t>Report-X-Check</t>
  </si>
  <si>
    <t>Warning: Data missing!</t>
  </si>
  <si>
    <t>some kind good</t>
  </si>
  <si>
    <t>Report Date</t>
  </si>
  <si>
    <t>Stream</t>
  </si>
  <si>
    <t>(Release)</t>
  </si>
  <si>
    <t>just one dot</t>
  </si>
  <si>
    <t>first shot</t>
  </si>
  <si>
    <t>missing data</t>
  </si>
  <si>
    <t>Reliable Scrum Portfolio</t>
  </si>
  <si>
    <t xml:space="preserve"> Edition Projektmagazin</t>
  </si>
  <si>
    <t xml:space="preserve">     this excel file is protected by the creative commons license (CC BY-SA 3.0)</t>
  </si>
  <si>
    <t>http://creativecommons.org/licenses/by-sa/3.0/</t>
  </si>
  <si>
    <t xml:space="preserve">     do you have the current version of the excel file?</t>
  </si>
  <si>
    <t xml:space="preserve">    click on the table to enter data of the scrum stream</t>
  </si>
  <si>
    <t xml:space="preserve">      click on the diagram to look at the report</t>
  </si>
  <si>
    <t>http://reliable-scrum.de/P2V2.html</t>
  </si>
</sst>
</file>

<file path=xl/styles.xml><?xml version="1.0" encoding="utf-8"?>
<styleSheet xmlns="http://schemas.openxmlformats.org/spreadsheetml/2006/main">
  <numFmts count="1">
    <numFmt numFmtId="164" formatCode="dd/mm/yy"/>
  </numFmts>
  <fonts count="10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26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Times New Roman"/>
      <family val="1"/>
    </font>
    <font>
      <b/>
      <i/>
      <sz val="26"/>
      <color rgb="FF000000"/>
      <name val="Arial"/>
      <family val="2"/>
    </font>
    <font>
      <sz val="10"/>
      <color rgb="FF000000"/>
      <name val="Arial"/>
      <family val="2"/>
    </font>
    <font>
      <u/>
      <sz val="10"/>
      <color theme="10"/>
      <name val="Times New Roman"/>
      <family val="1"/>
    </font>
    <font>
      <u/>
      <sz val="10"/>
      <color theme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0" fontId="5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20">
    <xf numFmtId="0" fontId="0" fillId="0" borderId="0" xfId="0"/>
    <xf numFmtId="9" fontId="0" fillId="0" borderId="0" xfId="0" applyNumberFormat="1"/>
    <xf numFmtId="14" fontId="0" fillId="0" borderId="0" xfId="0" applyNumberFormat="1"/>
    <xf numFmtId="0" fontId="0" fillId="3" borderId="0" xfId="0" applyFill="1" applyAlignment="1">
      <alignment horizontal="left"/>
    </xf>
    <xf numFmtId="0" fontId="0" fillId="3" borderId="0" xfId="0" quotePrefix="1" applyFill="1" applyAlignment="1">
      <alignment horizontal="center"/>
    </xf>
    <xf numFmtId="0" fontId="0" fillId="3" borderId="0" xfId="0" applyFill="1"/>
    <xf numFmtId="0" fontId="1" fillId="2" borderId="0" xfId="0" applyFont="1" applyFill="1"/>
    <xf numFmtId="0" fontId="0" fillId="0" borderId="0" xfId="0" applyFill="1"/>
    <xf numFmtId="0" fontId="0" fillId="4" borderId="0" xfId="0" applyFill="1"/>
    <xf numFmtId="14" fontId="0" fillId="4" borderId="0" xfId="0" applyNumberFormat="1" applyFill="1"/>
    <xf numFmtId="9" fontId="0" fillId="4" borderId="0" xfId="0" applyNumberFormat="1" applyFill="1"/>
    <xf numFmtId="0" fontId="3" fillId="0" borderId="0" xfId="0" applyFont="1"/>
    <xf numFmtId="9" fontId="0" fillId="5" borderId="0" xfId="0" applyNumberFormat="1" applyFill="1" applyAlignment="1">
      <alignment horizontal="center"/>
    </xf>
    <xf numFmtId="0" fontId="1" fillId="0" borderId="0" xfId="0" applyFont="1" applyFill="1"/>
    <xf numFmtId="164" fontId="0" fillId="0" borderId="0" xfId="0" applyNumberFormat="1"/>
    <xf numFmtId="9" fontId="1" fillId="2" borderId="0" xfId="0" applyNumberFormat="1" applyFont="1" applyFill="1"/>
    <xf numFmtId="9" fontId="0" fillId="0" borderId="0" xfId="1" applyNumberFormat="1" applyFont="1"/>
    <xf numFmtId="0" fontId="6" fillId="6" borderId="0" xfId="2" applyFont="1" applyFill="1" applyBorder="1" applyAlignment="1">
      <alignment horizontal="left" vertical="top"/>
    </xf>
    <xf numFmtId="0" fontId="7" fillId="6" borderId="0" xfId="2" applyFont="1" applyFill="1" applyBorder="1" applyAlignment="1">
      <alignment horizontal="left" vertical="top"/>
    </xf>
    <xf numFmtId="0" fontId="9" fillId="6" borderId="0" xfId="3" applyFont="1" applyFill="1" applyBorder="1" applyAlignment="1" applyProtection="1">
      <alignment horizontal="left" vertical="top"/>
    </xf>
  </cellXfs>
  <cellStyles count="4">
    <cellStyle name="Hyperlink" xfId="3" builtinId="8"/>
    <cellStyle name="Prozent" xfId="1" builtinId="5"/>
    <cellStyle name="Standard" xfId="0" builtinId="0"/>
    <cellStyle name="Standard 2" xfId="2"/>
  </cellStyles>
  <dxfs count="4">
    <dxf>
      <font>
        <color theme="0"/>
      </font>
      <fill>
        <patternFill>
          <bgColor theme="1" tint="4.9989318521683403E-2"/>
        </patternFill>
      </fill>
    </dxf>
    <dxf>
      <fill>
        <patternFill>
          <bgColor rgb="FFFF6400"/>
        </patternFill>
      </fill>
    </dxf>
    <dxf>
      <fill>
        <patternFill>
          <bgColor rgb="FFFFFF99"/>
        </patternFill>
      </fill>
    </dxf>
    <dxf>
      <fill>
        <patternFill>
          <bgColor rgb="FF00CC00"/>
        </patternFill>
      </fill>
    </dxf>
  </dxfs>
  <tableStyles count="0" defaultTableStyle="TableStyleMedium9" defaultPivotStyle="PivotStyleLight16"/>
  <colors>
    <mruColors>
      <color rgb="FF00CC00"/>
      <color rgb="FFFFFF99"/>
      <color rgb="FFFF64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autoTitleDeleted val="1"/>
    <c:plotArea>
      <c:layout>
        <c:manualLayout>
          <c:layoutTarget val="inner"/>
          <c:xMode val="edge"/>
          <c:yMode val="edge"/>
          <c:x val="6.5030183727034119E-2"/>
          <c:y val="4.5595565614539146E-2"/>
          <c:w val="0.87298381452318707"/>
          <c:h val="0.8728081278996761"/>
        </c:manualLayout>
      </c:layout>
      <c:scatterChart>
        <c:scatterStyle val="lineMarker"/>
        <c:ser>
          <c:idx val="0"/>
          <c:order val="0"/>
          <c:tx>
            <c:strRef>
              <c:f>Report!$V$2</c:f>
              <c:strCache>
                <c:ptCount val="1"/>
              </c:strCache>
            </c:strRef>
          </c:tx>
          <c:spPr>
            <a:ln w="28575">
              <a:noFill/>
            </a:ln>
          </c:spPr>
          <c:yVal>
            <c:numRef>
              <c:f>Report!$W$2</c:f>
              <c:numCache>
                <c:formatCode>General</c:formatCode>
                <c:ptCount val="1"/>
              </c:numCache>
            </c:numRef>
          </c:yVal>
        </c:ser>
        <c:axId val="97066368"/>
        <c:axId val="97080448"/>
      </c:scatterChart>
      <c:valAx>
        <c:axId val="97066368"/>
        <c:scaling>
          <c:orientation val="minMax"/>
          <c:max val="1"/>
          <c:min val="0"/>
        </c:scaling>
        <c:axPos val="b"/>
        <c:numFmt formatCode="0%" sourceLinked="0"/>
        <c:tickLblPos val="nextTo"/>
        <c:crossAx val="97080448"/>
        <c:crosses val="autoZero"/>
        <c:crossBetween val="midCat"/>
        <c:majorUnit val="0.1"/>
      </c:valAx>
      <c:valAx>
        <c:axId val="97080448"/>
        <c:scaling>
          <c:orientation val="minMax"/>
          <c:max val="1"/>
          <c:min val="0"/>
        </c:scaling>
        <c:axPos val="l"/>
        <c:majorGridlines/>
        <c:numFmt formatCode="0%" sourceLinked="0"/>
        <c:tickLblPos val="nextTo"/>
        <c:crossAx val="97066368"/>
        <c:crosses val="autoZero"/>
        <c:crossBetween val="midCat"/>
        <c:majorUnit val="0.1"/>
      </c:valAx>
      <c:spPr>
        <a:noFill/>
      </c:spPr>
    </c:plotArea>
    <c:plotVisOnly val="1"/>
  </c:chart>
  <c:spPr>
    <a:noFill/>
  </c:spPr>
  <c:printSettings>
    <c:headerFooter/>
    <c:pageMargins b="0.78740157499999996" l="0.70000000000000062" r="0.70000000000000062" t="0.78740157499999996" header="0.30000000000000032" footer="0.30000000000000032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Report!A1"/><Relationship Id="rId3" Type="http://schemas.openxmlformats.org/officeDocument/2006/relationships/hyperlink" Target="https://www.projektmagazin.de/abo/id/WMueller" TargetMode="External"/><Relationship Id="rId7" Type="http://schemas.openxmlformats.org/officeDocument/2006/relationships/image" Target="../media/image4.png"/><Relationship Id="rId2" Type="http://schemas.openxmlformats.org/officeDocument/2006/relationships/image" Target="../media/image1.png"/><Relationship Id="rId1" Type="http://schemas.openxmlformats.org/officeDocument/2006/relationships/hyperlink" Target="http://creativecommons.org/licenses/by-sa/3.0/" TargetMode="External"/><Relationship Id="rId6" Type="http://schemas.openxmlformats.org/officeDocument/2006/relationships/hyperlink" Target="#Data!A1"/><Relationship Id="rId5" Type="http://schemas.openxmlformats.org/officeDocument/2006/relationships/image" Target="../media/image3.png"/><Relationship Id="rId4" Type="http://schemas.openxmlformats.org/officeDocument/2006/relationships/image" Target="../media/image2.jpeg"/><Relationship Id="rId9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hyperlink" Target="http://speed4projects.net" TargetMode="External"/><Relationship Id="rId1" Type="http://schemas.openxmlformats.org/officeDocument/2006/relationships/chart" Target="../charts/chart1.xml"/><Relationship Id="rId5" Type="http://schemas.openxmlformats.org/officeDocument/2006/relationships/image" Target="../media/image2.jpeg"/><Relationship Id="rId4" Type="http://schemas.openxmlformats.org/officeDocument/2006/relationships/hyperlink" Target="https://www.projektmagazin.de/abo/id/WMueller" TargetMode="Externa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projektmagazin.de/abo/id/WMueller" TargetMode="External"/><Relationship Id="rId2" Type="http://schemas.openxmlformats.org/officeDocument/2006/relationships/image" Target="../media/image6.png"/><Relationship Id="rId1" Type="http://schemas.openxmlformats.org/officeDocument/2006/relationships/hyperlink" Target="http://speed4projects.net" TargetMode="External"/><Relationship Id="rId4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209549</xdr:colOff>
      <xdr:row>22</xdr:row>
      <xdr:rowOff>57150</xdr:rowOff>
    </xdr:from>
    <xdr:to>
      <xdr:col>1</xdr:col>
      <xdr:colOff>632336</xdr:colOff>
      <xdr:row>24</xdr:row>
      <xdr:rowOff>123825</xdr:rowOff>
    </xdr:to>
    <xdr:pic>
      <xdr:nvPicPr>
        <xdr:cNvPr id="2" name="Picture 1" descr="by-s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09549" y="4067175"/>
          <a:ext cx="1108587" cy="390525"/>
        </a:xfrm>
        <a:prstGeom prst="rect">
          <a:avLst/>
        </a:prstGeom>
        <a:noFill/>
      </xdr:spPr>
    </xdr:pic>
    <xdr:clientData/>
  </xdr:twoCellAnchor>
  <xdr:twoCellAnchor editAs="oneCell">
    <xdr:from>
      <xdr:col>6</xdr:col>
      <xdr:colOff>253603</xdr:colOff>
      <xdr:row>0</xdr:row>
      <xdr:rowOff>66675</xdr:rowOff>
    </xdr:from>
    <xdr:to>
      <xdr:col>10</xdr:col>
      <xdr:colOff>28575</xdr:colOff>
      <xdr:row>1</xdr:row>
      <xdr:rowOff>95250</xdr:rowOff>
    </xdr:to>
    <xdr:pic>
      <xdr:nvPicPr>
        <xdr:cNvPr id="3" name="Grafik 2" descr="Logo_PM_4c_02.jp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4368403" y="66675"/>
          <a:ext cx="2518172" cy="447675"/>
        </a:xfrm>
        <a:prstGeom prst="rect">
          <a:avLst/>
        </a:prstGeom>
      </xdr:spPr>
    </xdr:pic>
    <xdr:clientData/>
  </xdr:twoCellAnchor>
  <xdr:twoCellAnchor editAs="oneCell">
    <xdr:from>
      <xdr:col>0</xdr:col>
      <xdr:colOff>200025</xdr:colOff>
      <xdr:row>27</xdr:row>
      <xdr:rowOff>28575</xdr:rowOff>
    </xdr:from>
    <xdr:to>
      <xdr:col>1</xdr:col>
      <xdr:colOff>623025</xdr:colOff>
      <xdr:row>29</xdr:row>
      <xdr:rowOff>102485</xdr:rowOff>
    </xdr:to>
    <xdr:pic>
      <xdr:nvPicPr>
        <xdr:cNvPr id="6" name="Grafik 5" descr="Current Version of Excel File.PNG"/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00025" y="4848225"/>
          <a:ext cx="1108800" cy="397760"/>
        </a:xfrm>
        <a:prstGeom prst="rect">
          <a:avLst/>
        </a:prstGeom>
      </xdr:spPr>
    </xdr:pic>
    <xdr:clientData/>
  </xdr:twoCellAnchor>
  <xdr:twoCellAnchor editAs="oneCell">
    <xdr:from>
      <xdr:col>0</xdr:col>
      <xdr:colOff>171450</xdr:colOff>
      <xdr:row>4</xdr:row>
      <xdr:rowOff>133350</xdr:rowOff>
    </xdr:from>
    <xdr:to>
      <xdr:col>4</xdr:col>
      <xdr:colOff>552450</xdr:colOff>
      <xdr:row>13</xdr:row>
      <xdr:rowOff>36544</xdr:rowOff>
    </xdr:to>
    <xdr:pic>
      <xdr:nvPicPr>
        <xdr:cNvPr id="7" name="Grafik 6" descr="Thumbnail Data.PNG">
          <a:hlinkClick xmlns:r="http://schemas.openxmlformats.org/officeDocument/2006/relationships" r:id="rId6"/>
        </xdr:cNvPr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71450" y="1228725"/>
          <a:ext cx="3429000" cy="136051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5</xdr:col>
      <xdr:colOff>352425</xdr:colOff>
      <xdr:row>4</xdr:row>
      <xdr:rowOff>133350</xdr:rowOff>
    </xdr:from>
    <xdr:to>
      <xdr:col>8</xdr:col>
      <xdr:colOff>517182</xdr:colOff>
      <xdr:row>18</xdr:row>
      <xdr:rowOff>0</xdr:rowOff>
    </xdr:to>
    <xdr:pic>
      <xdr:nvPicPr>
        <xdr:cNvPr id="8" name="Grafik 7" descr="Thumbnail Portfolio Report.PNG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4162425" y="1228725"/>
          <a:ext cx="2450757" cy="21336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2</xdr:row>
      <xdr:rowOff>114300</xdr:rowOff>
    </xdr:from>
    <xdr:to>
      <xdr:col>8</xdr:col>
      <xdr:colOff>2352675</xdr:colOff>
      <xdr:row>32</xdr:row>
      <xdr:rowOff>19050</xdr:rowOff>
    </xdr:to>
    <xdr:sp macro="" textlink="">
      <xdr:nvSpPr>
        <xdr:cNvPr id="9" name="Rechteck 8"/>
        <xdr:cNvSpPr/>
      </xdr:nvSpPr>
      <xdr:spPr>
        <a:xfrm>
          <a:off x="85725" y="733425"/>
          <a:ext cx="6400800" cy="561975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0</xdr:col>
      <xdr:colOff>516076</xdr:colOff>
      <xdr:row>9</xdr:row>
      <xdr:rowOff>34851</xdr:rowOff>
    </xdr:from>
    <xdr:to>
      <xdr:col>8</xdr:col>
      <xdr:colOff>1936759</xdr:colOff>
      <xdr:row>29</xdr:row>
      <xdr:rowOff>9157</xdr:rowOff>
    </xdr:to>
    <xdr:sp macro="" textlink="">
      <xdr:nvSpPr>
        <xdr:cNvPr id="40" name="Freihandform 39"/>
        <xdr:cNvSpPr/>
      </xdr:nvSpPr>
      <xdr:spPr>
        <a:xfrm>
          <a:off x="516076" y="1987476"/>
          <a:ext cx="5554533" cy="3784306"/>
        </a:xfrm>
        <a:custGeom>
          <a:avLst/>
          <a:gdLst/>
          <a:ahLst/>
          <a:cxnLst/>
          <a:rect l="0" t="0" r="0" b="0"/>
          <a:pathLst>
            <a:path w="5554533" h="3784306">
              <a:moveTo>
                <a:pt x="0" y="2365190"/>
              </a:moveTo>
              <a:lnTo>
                <a:pt x="5554532" y="0"/>
              </a:lnTo>
              <a:lnTo>
                <a:pt x="5554532" y="3784305"/>
              </a:lnTo>
              <a:lnTo>
                <a:pt x="0" y="3784305"/>
              </a:lnTo>
              <a:close/>
            </a:path>
          </a:pathLst>
        </a:custGeom>
        <a:solidFill>
          <a:srgbClr val="00D2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0</xdr:col>
      <xdr:colOff>516076</xdr:colOff>
      <xdr:row>6</xdr:row>
      <xdr:rowOff>133313</xdr:rowOff>
    </xdr:from>
    <xdr:to>
      <xdr:col>8</xdr:col>
      <xdr:colOff>1936759</xdr:colOff>
      <xdr:row>21</xdr:row>
      <xdr:rowOff>114042</xdr:rowOff>
    </xdr:to>
    <xdr:sp macro="" textlink="">
      <xdr:nvSpPr>
        <xdr:cNvPr id="39" name="Freihandform 38"/>
        <xdr:cNvSpPr/>
      </xdr:nvSpPr>
      <xdr:spPr>
        <a:xfrm>
          <a:off x="516076" y="1514438"/>
          <a:ext cx="5554533" cy="2838229"/>
        </a:xfrm>
        <a:custGeom>
          <a:avLst/>
          <a:gdLst/>
          <a:ahLst/>
          <a:cxnLst/>
          <a:rect l="0" t="0" r="0" b="0"/>
          <a:pathLst>
            <a:path w="5554533" h="2838229">
              <a:moveTo>
                <a:pt x="0" y="1892152"/>
              </a:moveTo>
              <a:lnTo>
                <a:pt x="5554532" y="0"/>
              </a:lnTo>
              <a:lnTo>
                <a:pt x="5554532" y="473038"/>
              </a:lnTo>
              <a:lnTo>
                <a:pt x="0" y="2838228"/>
              </a:lnTo>
              <a:close/>
            </a:path>
          </a:pathLst>
        </a:custGeom>
        <a:solidFill>
          <a:srgbClr val="FFFF9B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0</xdr:col>
      <xdr:colOff>516076</xdr:colOff>
      <xdr:row>4</xdr:row>
      <xdr:rowOff>41275</xdr:rowOff>
    </xdr:from>
    <xdr:to>
      <xdr:col>8</xdr:col>
      <xdr:colOff>1936759</xdr:colOff>
      <xdr:row>16</xdr:row>
      <xdr:rowOff>120466</xdr:rowOff>
    </xdr:to>
    <xdr:sp macro="" textlink="">
      <xdr:nvSpPr>
        <xdr:cNvPr id="38" name="Freihandform 37"/>
        <xdr:cNvSpPr/>
      </xdr:nvSpPr>
      <xdr:spPr>
        <a:xfrm>
          <a:off x="516076" y="1041400"/>
          <a:ext cx="5554533" cy="2365191"/>
        </a:xfrm>
        <a:custGeom>
          <a:avLst/>
          <a:gdLst/>
          <a:ahLst/>
          <a:cxnLst/>
          <a:rect l="0" t="0" r="0" b="0"/>
          <a:pathLst>
            <a:path w="5554533" h="2365191">
              <a:moveTo>
                <a:pt x="0" y="0"/>
              </a:moveTo>
              <a:lnTo>
                <a:pt x="5554532" y="0"/>
              </a:lnTo>
              <a:lnTo>
                <a:pt x="5554532" y="473038"/>
              </a:lnTo>
              <a:lnTo>
                <a:pt x="0" y="2365190"/>
              </a:lnTo>
              <a:close/>
            </a:path>
          </a:pathLst>
        </a:custGeom>
        <a:solidFill>
          <a:srgbClr val="FF64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0</xdr:col>
      <xdr:colOff>95251</xdr:colOff>
      <xdr:row>2</xdr:row>
      <xdr:rowOff>171449</xdr:rowOff>
    </xdr:from>
    <xdr:to>
      <xdr:col>8</xdr:col>
      <xdr:colOff>2324100</xdr:colOff>
      <xdr:row>31</xdr:row>
      <xdr:rowOff>66675</xdr:rowOff>
    </xdr:to>
    <xdr:graphicFrame macro="">
      <xdr:nvGraphicFramePr>
        <xdr:cNvPr id="4" name="Diagramm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8</xdr:col>
      <xdr:colOff>1326347</xdr:colOff>
      <xdr:row>0</xdr:row>
      <xdr:rowOff>19050</xdr:rowOff>
    </xdr:from>
    <xdr:to>
      <xdr:col>8</xdr:col>
      <xdr:colOff>2391447</xdr:colOff>
      <xdr:row>0</xdr:row>
      <xdr:rowOff>314325</xdr:rowOff>
    </xdr:to>
    <xdr:pic>
      <xdr:nvPicPr>
        <xdr:cNvPr id="19" name="Grafik 18" descr="Logo 3.1 505x104.PNG">
          <a:hlinkClick xmlns:r="http://schemas.openxmlformats.org/officeDocument/2006/relationships" r:id="rId2"/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5460197" y="19050"/>
          <a:ext cx="1065100" cy="295275"/>
        </a:xfrm>
        <a:prstGeom prst="rect">
          <a:avLst/>
        </a:prstGeom>
      </xdr:spPr>
    </xdr:pic>
    <xdr:clientData/>
  </xdr:twoCellAnchor>
  <xdr:twoCellAnchor editAs="oneCell">
    <xdr:from>
      <xdr:col>8</xdr:col>
      <xdr:colOff>1041796</xdr:colOff>
      <xdr:row>0</xdr:row>
      <xdr:rowOff>419100</xdr:rowOff>
    </xdr:from>
    <xdr:to>
      <xdr:col>8</xdr:col>
      <xdr:colOff>2381249</xdr:colOff>
      <xdr:row>2</xdr:row>
      <xdr:rowOff>38100</xdr:rowOff>
    </xdr:to>
    <xdr:pic>
      <xdr:nvPicPr>
        <xdr:cNvPr id="18" name="Grafik 17" descr="Logo_PM_4c_02.jp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5175646" y="419100"/>
          <a:ext cx="1339453" cy="238125"/>
        </a:xfrm>
        <a:prstGeom prst="rect">
          <a:avLst/>
        </a:prstGeom>
      </xdr:spPr>
    </xdr:pic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0.67723</cdr:x>
      <cdr:y>0.482</cdr:y>
    </cdr:from>
    <cdr:to>
      <cdr:x>0.76453</cdr:x>
      <cdr:y>0.56928</cdr:y>
    </cdr:to>
    <cdr:sp macro="" textlink="">
      <cdr:nvSpPr>
        <cdr:cNvPr id="92" name="Gerade Verbindung 91"/>
        <cdr:cNvSpPr/>
      </cdr:nvSpPr>
      <cdr:spPr>
        <a:xfrm xmlns:a="http://schemas.openxmlformats.org/drawingml/2006/main">
          <a:off x="4308998" y="2612305"/>
          <a:ext cx="555453" cy="473038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rgbClr val="000000"/>
          </a:solidFill>
          <a:headEnd type="none"/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e-DE"/>
        </a:p>
      </cdr:txBody>
    </cdr:sp>
  </cdr:relSizeAnchor>
  <cdr:relSizeAnchor xmlns:cdr="http://schemas.openxmlformats.org/drawingml/2006/chartDrawing">
    <cdr:from>
      <cdr:x>0.76453</cdr:x>
      <cdr:y>0.55288</cdr:y>
    </cdr:from>
    <cdr:to>
      <cdr:x>0.96413</cdr:x>
      <cdr:y>0.67004</cdr:y>
    </cdr:to>
    <cdr:sp macro="" textlink="">
      <cdr:nvSpPr>
        <cdr:cNvPr id="93" name="Textfeld 92"/>
        <cdr:cNvSpPr txBox="1"/>
      </cdr:nvSpPr>
      <cdr:spPr>
        <a:xfrm xmlns:a="http://schemas.openxmlformats.org/drawingml/2006/main">
          <a:off x="4864451" y="2996443"/>
          <a:ext cx="1270000" cy="635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de-DE" sz="1100"/>
            <a:t>good</a:t>
          </a:r>
        </a:p>
      </cdr:txBody>
    </cdr:sp>
  </cdr:relSizeAnchor>
  <cdr:relSizeAnchor xmlns:cdr="http://schemas.openxmlformats.org/drawingml/2006/chartDrawing">
    <cdr:from>
      <cdr:x>0.41533</cdr:x>
      <cdr:y>0.2638</cdr:y>
    </cdr:from>
    <cdr:to>
      <cdr:x>0.45898</cdr:x>
      <cdr:y>0.39472</cdr:y>
    </cdr:to>
    <cdr:sp macro="" textlink="">
      <cdr:nvSpPr>
        <cdr:cNvPr id="94" name="Gerade Verbindung 93"/>
        <cdr:cNvSpPr/>
      </cdr:nvSpPr>
      <cdr:spPr>
        <a:xfrm xmlns:a="http://schemas.openxmlformats.org/drawingml/2006/main" flipH="1" flipV="1">
          <a:off x="2642638" y="1429710"/>
          <a:ext cx="277726" cy="709557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rgbClr val="000000"/>
          </a:solidFill>
          <a:headEnd type="none"/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e-DE"/>
        </a:p>
      </cdr:txBody>
    </cdr:sp>
  </cdr:relSizeAnchor>
  <cdr:relSizeAnchor xmlns:cdr="http://schemas.openxmlformats.org/drawingml/2006/chartDrawing">
    <cdr:from>
      <cdr:x>0.41533</cdr:x>
      <cdr:y>0.24739</cdr:y>
    </cdr:from>
    <cdr:to>
      <cdr:x>0.61493</cdr:x>
      <cdr:y>0.36456</cdr:y>
    </cdr:to>
    <cdr:sp macro="" textlink="">
      <cdr:nvSpPr>
        <cdr:cNvPr id="95" name="Textfeld 94"/>
        <cdr:cNvSpPr txBox="1"/>
      </cdr:nvSpPr>
      <cdr:spPr>
        <a:xfrm xmlns:a="http://schemas.openxmlformats.org/drawingml/2006/main">
          <a:off x="2642638" y="1340810"/>
          <a:ext cx="1270000" cy="635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de-DE" sz="1100"/>
            <a:t>bad</a:t>
          </a:r>
        </a:p>
      </cdr:txBody>
    </cdr:sp>
  </cdr:relSizeAnchor>
  <cdr:relSizeAnchor xmlns:cdr="http://schemas.openxmlformats.org/drawingml/2006/chartDrawing">
    <cdr:from>
      <cdr:x>0.32803</cdr:x>
      <cdr:y>0.56928</cdr:y>
    </cdr:from>
    <cdr:to>
      <cdr:x>0.58993</cdr:x>
      <cdr:y>0.7002</cdr:y>
    </cdr:to>
    <cdr:sp macro="" textlink="">
      <cdr:nvSpPr>
        <cdr:cNvPr id="96" name="Gerade Verbindung 95"/>
        <cdr:cNvSpPr/>
      </cdr:nvSpPr>
      <cdr:spPr>
        <a:xfrm xmlns:a="http://schemas.openxmlformats.org/drawingml/2006/main" flipV="1">
          <a:off x="2087184" y="3085343"/>
          <a:ext cx="1666360" cy="709557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rgbClr val="000000"/>
          </a:solidFill>
          <a:headEnd type="none"/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e-DE"/>
        </a:p>
      </cdr:txBody>
    </cdr:sp>
  </cdr:relSizeAnchor>
  <cdr:relSizeAnchor xmlns:cdr="http://schemas.openxmlformats.org/drawingml/2006/chartDrawing">
    <cdr:from>
      <cdr:x>0.58993</cdr:x>
      <cdr:y>0.55288</cdr:y>
    </cdr:from>
    <cdr:to>
      <cdr:x>0.78953</cdr:x>
      <cdr:y>0.67004</cdr:y>
    </cdr:to>
    <cdr:sp macro="" textlink="">
      <cdr:nvSpPr>
        <cdr:cNvPr id="97" name="Textfeld 96"/>
        <cdr:cNvSpPr txBox="1"/>
      </cdr:nvSpPr>
      <cdr:spPr>
        <a:xfrm xmlns:a="http://schemas.openxmlformats.org/drawingml/2006/main">
          <a:off x="3753544" y="2996443"/>
          <a:ext cx="1270000" cy="635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de-DE" sz="1100"/>
            <a:t>ca va</a:t>
          </a:r>
        </a:p>
      </cdr:txBody>
    </cdr:sp>
  </cdr:relSizeAnchor>
  <cdr:relSizeAnchor xmlns:cdr="http://schemas.openxmlformats.org/drawingml/2006/chartDrawing">
    <cdr:from>
      <cdr:x>0.49864</cdr:x>
      <cdr:y>0.39003</cdr:y>
    </cdr:from>
    <cdr:to>
      <cdr:x>0.50662</cdr:x>
      <cdr:y>0.39941</cdr:y>
    </cdr:to>
    <cdr:sp macro="" textlink="">
      <cdr:nvSpPr>
        <cdr:cNvPr id="98" name="Gerade Verbindung 97"/>
        <cdr:cNvSpPr/>
      </cdr:nvSpPr>
      <cdr:spPr>
        <a:xfrm xmlns:a="http://schemas.openxmlformats.org/drawingml/2006/main">
          <a:off x="3172691" y="2113867"/>
          <a:ext cx="50800" cy="50800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rgbClr val="000000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e-DE"/>
        </a:p>
      </cdr:txBody>
    </cdr:sp>
  </cdr:relSizeAnchor>
  <cdr:relSizeAnchor xmlns:cdr="http://schemas.openxmlformats.org/drawingml/2006/chartDrawing">
    <cdr:from>
      <cdr:x>0.49864</cdr:x>
      <cdr:y>0.39003</cdr:y>
    </cdr:from>
    <cdr:to>
      <cdr:x>0.50662</cdr:x>
      <cdr:y>0.39941</cdr:y>
    </cdr:to>
    <cdr:sp macro="" textlink="">
      <cdr:nvSpPr>
        <cdr:cNvPr id="99" name="Gerade Verbindung 98"/>
        <cdr:cNvSpPr/>
      </cdr:nvSpPr>
      <cdr:spPr>
        <a:xfrm xmlns:a="http://schemas.openxmlformats.org/drawingml/2006/main" flipH="1">
          <a:off x="3172691" y="2113867"/>
          <a:ext cx="50800" cy="50800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rgbClr val="000000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e-DE"/>
        </a:p>
      </cdr:txBody>
    </cdr:sp>
  </cdr:relSizeAnchor>
  <cdr:relSizeAnchor xmlns:cdr="http://schemas.openxmlformats.org/drawingml/2006/chartDrawing">
    <cdr:from>
      <cdr:x>0.50263</cdr:x>
      <cdr:y>0.37832</cdr:y>
    </cdr:from>
    <cdr:to>
      <cdr:x>0.70223</cdr:x>
      <cdr:y>0.49548</cdr:y>
    </cdr:to>
    <cdr:sp macro="" textlink="">
      <cdr:nvSpPr>
        <cdr:cNvPr id="100" name="Textfeld 99"/>
        <cdr:cNvSpPr txBox="1"/>
      </cdr:nvSpPr>
      <cdr:spPr>
        <a:xfrm xmlns:a="http://schemas.openxmlformats.org/drawingml/2006/main">
          <a:off x="3198091" y="2050367"/>
          <a:ext cx="1270000" cy="635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de-DE" sz="1100"/>
            <a:t>just one dot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370276</xdr:colOff>
      <xdr:row>0</xdr:row>
      <xdr:rowOff>76200</xdr:rowOff>
    </xdr:from>
    <xdr:to>
      <xdr:col>9</xdr:col>
      <xdr:colOff>673376</xdr:colOff>
      <xdr:row>1</xdr:row>
      <xdr:rowOff>180975</xdr:rowOff>
    </xdr:to>
    <xdr:pic>
      <xdr:nvPicPr>
        <xdr:cNvPr id="2" name="Grafik 1" descr="Logo 3.1 505x104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962076" y="76200"/>
          <a:ext cx="1065100" cy="295275"/>
        </a:xfrm>
        <a:prstGeom prst="rect">
          <a:avLst/>
        </a:prstGeom>
      </xdr:spPr>
    </xdr:pic>
    <xdr:clientData/>
  </xdr:twoCellAnchor>
  <xdr:twoCellAnchor editAs="oneCell">
    <xdr:from>
      <xdr:col>8</xdr:col>
      <xdr:colOff>66675</xdr:colOff>
      <xdr:row>2</xdr:row>
      <xdr:rowOff>95250</xdr:rowOff>
    </xdr:from>
    <xdr:to>
      <xdr:col>9</xdr:col>
      <xdr:colOff>644128</xdr:colOff>
      <xdr:row>3</xdr:row>
      <xdr:rowOff>142875</xdr:rowOff>
    </xdr:to>
    <xdr:pic>
      <xdr:nvPicPr>
        <xdr:cNvPr id="3" name="Grafik 2" descr="Logo_PM_4c_02.jp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0658475" y="476250"/>
          <a:ext cx="1339453" cy="2381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://reliable-scrum.de/P1V3.html" TargetMode="External"/><Relationship Id="rId1" Type="http://schemas.openxmlformats.org/officeDocument/2006/relationships/hyperlink" Target="http://creativecommons.org/licenses/by-sa/3.0/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belle3"/>
  <dimension ref="A1:F29"/>
  <sheetViews>
    <sheetView tabSelected="1" workbookViewId="0">
      <selection activeCell="A32" sqref="A32"/>
    </sheetView>
  </sheetViews>
  <sheetFormatPr baseColWidth="10" defaultRowHeight="12.75"/>
  <cols>
    <col min="1" max="16384" width="11.42578125" style="18"/>
  </cols>
  <sheetData>
    <row r="1" spans="1:6" ht="33">
      <c r="A1" s="17" t="s">
        <v>31</v>
      </c>
    </row>
    <row r="2" spans="1:6">
      <c r="A2" s="18" t="s">
        <v>32</v>
      </c>
    </row>
    <row r="3" spans="1:6" ht="27.75" customHeight="1"/>
    <row r="4" spans="1:6">
      <c r="A4" s="18" t="s">
        <v>36</v>
      </c>
      <c r="F4" s="18" t="s">
        <v>37</v>
      </c>
    </row>
    <row r="22" spans="1:3">
      <c r="A22" s="18" t="s">
        <v>33</v>
      </c>
    </row>
    <row r="24" spans="1:3">
      <c r="C24" s="19" t="s">
        <v>34</v>
      </c>
    </row>
    <row r="27" spans="1:3">
      <c r="A27" s="18" t="s">
        <v>35</v>
      </c>
    </row>
    <row r="29" spans="1:3">
      <c r="C29" s="19" t="s">
        <v>38</v>
      </c>
    </row>
  </sheetData>
  <hyperlinks>
    <hyperlink ref="C24" r:id="rId1"/>
    <hyperlink ref="C29" r:id="rId2"/>
  </hyperlinks>
  <pageMargins left="0.7" right="0.7" top="0.78740157499999996" bottom="0.78740157499999996" header="0.3" footer="0.3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Tabelle1"/>
  <dimension ref="A1:X99"/>
  <sheetViews>
    <sheetView workbookViewId="0"/>
  </sheetViews>
  <sheetFormatPr baseColWidth="10" defaultRowHeight="15"/>
  <cols>
    <col min="1" max="1" width="18.7109375" customWidth="1"/>
    <col min="2" max="2" width="2.28515625" customWidth="1"/>
    <col min="3" max="3" width="8.42578125" customWidth="1"/>
    <col min="4" max="5" width="6.140625" style="1" customWidth="1"/>
    <col min="6" max="6" width="9.42578125" customWidth="1"/>
    <col min="7" max="8" width="5.42578125" style="1" customWidth="1"/>
    <col min="9" max="9" width="36.5703125" customWidth="1"/>
    <col min="10" max="17" width="36.7109375" customWidth="1"/>
    <col min="21" max="21" width="19.85546875" bestFit="1" customWidth="1"/>
    <col min="22" max="22" width="12.140625" bestFit="1" customWidth="1"/>
    <col min="23" max="23" width="12.85546875" bestFit="1" customWidth="1"/>
  </cols>
  <sheetData>
    <row r="1" spans="1:23" ht="33.75">
      <c r="A1" s="11" t="s">
        <v>31</v>
      </c>
      <c r="B1" s="11"/>
    </row>
    <row r="2" spans="1:23">
      <c r="A2" t="s">
        <v>25</v>
      </c>
      <c r="C2" s="14">
        <f ca="1">TODAY()</f>
        <v>41165</v>
      </c>
      <c r="U2" s="7"/>
    </row>
    <row r="4" spans="1:23">
      <c r="U4" s="3" t="s">
        <v>4</v>
      </c>
      <c r="V4" s="4" t="s">
        <v>7</v>
      </c>
      <c r="W4" s="4" t="s">
        <v>8</v>
      </c>
    </row>
    <row r="5" spans="1:23">
      <c r="U5" t="s">
        <v>5</v>
      </c>
      <c r="V5" s="12">
        <v>0.3</v>
      </c>
      <c r="W5" s="12">
        <v>0.8</v>
      </c>
    </row>
    <row r="6" spans="1:23">
      <c r="U6" t="s">
        <v>6</v>
      </c>
      <c r="V6" s="12">
        <v>0.5</v>
      </c>
      <c r="W6" s="12">
        <v>0.9</v>
      </c>
    </row>
    <row r="29" spans="21:22">
      <c r="U29" s="1"/>
      <c r="V29" s="1"/>
    </row>
    <row r="31" spans="21:22">
      <c r="V31" s="1"/>
    </row>
    <row r="32" spans="21:22">
      <c r="V32" s="1"/>
    </row>
    <row r="34" spans="1:24">
      <c r="A34" s="6" t="s">
        <v>26</v>
      </c>
      <c r="B34" s="6"/>
      <c r="C34" s="6" t="s">
        <v>9</v>
      </c>
      <c r="D34" s="15"/>
      <c r="E34" s="15"/>
      <c r="F34" s="6" t="s">
        <v>12</v>
      </c>
      <c r="G34" s="15"/>
      <c r="H34" s="15"/>
      <c r="I34" s="6"/>
      <c r="J34" s="13"/>
      <c r="K34" s="13"/>
      <c r="L34" s="13"/>
      <c r="M34" s="13"/>
      <c r="N34" s="13"/>
      <c r="O34" s="13"/>
      <c r="P34" s="13"/>
      <c r="Q34" s="13"/>
      <c r="R34" s="7"/>
      <c r="S34" s="7"/>
      <c r="T34" s="7"/>
      <c r="U34" s="7"/>
      <c r="V34" s="7"/>
      <c r="W34" s="7"/>
      <c r="X34" s="7"/>
    </row>
    <row r="35" spans="1:24">
      <c r="A35" s="6" t="s">
        <v>27</v>
      </c>
      <c r="B35" s="6"/>
      <c r="C35" s="6" t="s">
        <v>2</v>
      </c>
      <c r="D35" s="15" t="s">
        <v>10</v>
      </c>
      <c r="E35" s="15" t="s">
        <v>11</v>
      </c>
      <c r="F35" s="6" t="s">
        <v>2</v>
      </c>
      <c r="G35" s="15" t="s">
        <v>10</v>
      </c>
      <c r="H35" s="15" t="s">
        <v>11</v>
      </c>
      <c r="I35" s="6" t="s">
        <v>13</v>
      </c>
      <c r="J35" s="13"/>
      <c r="K35" s="13"/>
      <c r="L35" s="13"/>
      <c r="M35" s="13"/>
      <c r="N35" s="13"/>
      <c r="O35" s="13"/>
      <c r="P35" s="13"/>
      <c r="Q35" s="13"/>
      <c r="R35" s="7"/>
      <c r="S35" s="7"/>
      <c r="T35" s="7"/>
      <c r="U35" s="7"/>
      <c r="V35" s="7"/>
      <c r="W35" s="7"/>
      <c r="X35" s="7"/>
    </row>
    <row r="36" spans="1:24">
      <c r="A36" t="s">
        <v>15</v>
      </c>
      <c r="B36" s="2" t="str">
        <f t="shared" ref="B36:B67" si="0">IF(A36="","",IF(H36="","?",IF(H36&gt;YR0LCC+G36*(YR100LCC-YR0LCC),"r",IF(H36&gt;GY0LCC+G36*(GY100LCC-GY0LCC),"y","g"))))</f>
        <v>g</v>
      </c>
      <c r="C36" s="14">
        <v>41030</v>
      </c>
      <c r="D36" s="1">
        <v>0.7</v>
      </c>
      <c r="E36" s="1">
        <v>0.5</v>
      </c>
      <c r="F36" s="14">
        <v>41044</v>
      </c>
      <c r="G36" s="16">
        <v>0.8</v>
      </c>
      <c r="H36" s="16">
        <v>0.4</v>
      </c>
      <c r="I36" t="s">
        <v>17</v>
      </c>
    </row>
    <row r="37" spans="1:24">
      <c r="A37" t="s">
        <v>14</v>
      </c>
      <c r="B37" s="2" t="str">
        <f t="shared" si="0"/>
        <v>r</v>
      </c>
      <c r="C37" s="14">
        <v>41030</v>
      </c>
      <c r="D37" s="1">
        <v>0.45</v>
      </c>
      <c r="E37" s="1">
        <v>0.6</v>
      </c>
      <c r="F37" s="14">
        <v>41045</v>
      </c>
      <c r="G37" s="16">
        <v>0.4</v>
      </c>
      <c r="H37" s="16">
        <v>0.75</v>
      </c>
      <c r="I37" t="s">
        <v>18</v>
      </c>
    </row>
    <row r="38" spans="1:24">
      <c r="A38" t="s">
        <v>16</v>
      </c>
      <c r="B38" s="2" t="str">
        <f t="shared" si="0"/>
        <v>g</v>
      </c>
      <c r="C38" s="14">
        <v>41031</v>
      </c>
      <c r="D38" s="1">
        <v>0.3</v>
      </c>
      <c r="E38" s="1">
        <v>0.25</v>
      </c>
      <c r="F38" s="14">
        <v>41039</v>
      </c>
      <c r="G38" s="16">
        <v>0.6</v>
      </c>
      <c r="H38" s="16">
        <v>0.4</v>
      </c>
      <c r="I38" t="s">
        <v>19</v>
      </c>
    </row>
    <row r="39" spans="1:24">
      <c r="A39" t="s">
        <v>30</v>
      </c>
      <c r="B39" s="2" t="str">
        <f t="shared" si="0"/>
        <v>?</v>
      </c>
      <c r="C39" s="14">
        <v>2</v>
      </c>
      <c r="F39" s="14">
        <v>2</v>
      </c>
      <c r="G39" s="16"/>
      <c r="H39" s="16"/>
      <c r="I39" t="s">
        <v>23</v>
      </c>
    </row>
    <row r="40" spans="1:24">
      <c r="A40" t="s">
        <v>28</v>
      </c>
      <c r="B40" s="2" t="str">
        <f t="shared" si="0"/>
        <v>y</v>
      </c>
      <c r="C40" s="14">
        <v>2</v>
      </c>
      <c r="F40" s="14">
        <v>41048</v>
      </c>
      <c r="G40" s="16">
        <v>0.5</v>
      </c>
      <c r="H40" s="16">
        <v>0.6</v>
      </c>
      <c r="I40" t="s">
        <v>29</v>
      </c>
    </row>
    <row r="41" spans="1:24">
      <c r="B41" s="2" t="str">
        <f t="shared" si="0"/>
        <v/>
      </c>
      <c r="G41" s="16"/>
      <c r="H41" s="16"/>
    </row>
    <row r="42" spans="1:24">
      <c r="B42" s="2" t="str">
        <f t="shared" si="0"/>
        <v/>
      </c>
      <c r="G42" s="16"/>
      <c r="H42" s="16"/>
    </row>
    <row r="43" spans="1:24">
      <c r="B43" s="2" t="str">
        <f t="shared" si="0"/>
        <v/>
      </c>
      <c r="G43" s="16"/>
      <c r="H43" s="16"/>
    </row>
    <row r="44" spans="1:24">
      <c r="B44" s="2" t="str">
        <f t="shared" si="0"/>
        <v/>
      </c>
      <c r="G44" s="16"/>
      <c r="H44" s="16"/>
    </row>
    <row r="45" spans="1:24">
      <c r="B45" s="2" t="str">
        <f t="shared" si="0"/>
        <v/>
      </c>
      <c r="G45" s="16"/>
      <c r="H45" s="16"/>
    </row>
    <row r="46" spans="1:24">
      <c r="B46" s="2" t="str">
        <f t="shared" si="0"/>
        <v/>
      </c>
      <c r="G46" s="16"/>
      <c r="H46" s="16"/>
    </row>
    <row r="47" spans="1:24">
      <c r="B47" s="2" t="str">
        <f t="shared" si="0"/>
        <v/>
      </c>
      <c r="G47" s="16"/>
      <c r="H47" s="16"/>
    </row>
    <row r="48" spans="1:24">
      <c r="B48" s="2" t="str">
        <f t="shared" si="0"/>
        <v/>
      </c>
      <c r="G48" s="16"/>
      <c r="H48" s="16"/>
    </row>
    <row r="49" spans="2:8">
      <c r="B49" s="2" t="str">
        <f t="shared" si="0"/>
        <v/>
      </c>
      <c r="G49" s="16"/>
      <c r="H49" s="16"/>
    </row>
    <row r="50" spans="2:8">
      <c r="B50" s="2" t="str">
        <f t="shared" si="0"/>
        <v/>
      </c>
      <c r="G50" s="16"/>
      <c r="H50" s="16"/>
    </row>
    <row r="51" spans="2:8">
      <c r="B51" s="2" t="str">
        <f t="shared" si="0"/>
        <v/>
      </c>
      <c r="G51" s="16"/>
      <c r="H51" s="16"/>
    </row>
    <row r="52" spans="2:8">
      <c r="B52" s="2" t="str">
        <f t="shared" si="0"/>
        <v/>
      </c>
      <c r="G52" s="16"/>
      <c r="H52" s="16"/>
    </row>
    <row r="53" spans="2:8">
      <c r="B53" s="2" t="str">
        <f t="shared" si="0"/>
        <v/>
      </c>
      <c r="G53" s="16"/>
      <c r="H53" s="16"/>
    </row>
    <row r="54" spans="2:8">
      <c r="B54" s="2" t="str">
        <f t="shared" si="0"/>
        <v/>
      </c>
      <c r="G54" s="16"/>
      <c r="H54" s="16"/>
    </row>
    <row r="55" spans="2:8">
      <c r="B55" s="2" t="str">
        <f t="shared" si="0"/>
        <v/>
      </c>
      <c r="G55" s="16"/>
      <c r="H55" s="16"/>
    </row>
    <row r="56" spans="2:8">
      <c r="B56" s="2" t="str">
        <f t="shared" si="0"/>
        <v/>
      </c>
      <c r="G56" s="16"/>
      <c r="H56" s="16"/>
    </row>
    <row r="57" spans="2:8">
      <c r="B57" s="2" t="str">
        <f t="shared" si="0"/>
        <v/>
      </c>
      <c r="G57" s="16"/>
      <c r="H57" s="16"/>
    </row>
    <row r="58" spans="2:8">
      <c r="B58" s="2" t="str">
        <f t="shared" si="0"/>
        <v/>
      </c>
      <c r="G58" s="16"/>
      <c r="H58" s="16"/>
    </row>
    <row r="59" spans="2:8">
      <c r="B59" s="2" t="str">
        <f t="shared" si="0"/>
        <v/>
      </c>
      <c r="G59" s="16"/>
      <c r="H59" s="16"/>
    </row>
    <row r="60" spans="2:8">
      <c r="B60" s="2" t="str">
        <f t="shared" si="0"/>
        <v/>
      </c>
      <c r="G60" s="16"/>
      <c r="H60" s="16"/>
    </row>
    <row r="61" spans="2:8">
      <c r="B61" s="2" t="str">
        <f t="shared" si="0"/>
        <v/>
      </c>
      <c r="G61" s="16"/>
      <c r="H61" s="16"/>
    </row>
    <row r="62" spans="2:8">
      <c r="B62" s="2" t="str">
        <f t="shared" si="0"/>
        <v/>
      </c>
      <c r="G62" s="16"/>
      <c r="H62" s="16"/>
    </row>
    <row r="63" spans="2:8">
      <c r="B63" s="2" t="str">
        <f t="shared" si="0"/>
        <v/>
      </c>
      <c r="G63" s="16"/>
      <c r="H63" s="16"/>
    </row>
    <row r="64" spans="2:8">
      <c r="B64" s="2" t="str">
        <f t="shared" si="0"/>
        <v/>
      </c>
      <c r="G64" s="16"/>
      <c r="H64" s="16"/>
    </row>
    <row r="65" spans="2:8">
      <c r="B65" s="2" t="str">
        <f t="shared" si="0"/>
        <v/>
      </c>
      <c r="G65" s="16"/>
      <c r="H65" s="16"/>
    </row>
    <row r="66" spans="2:8">
      <c r="B66" s="2" t="str">
        <f t="shared" si="0"/>
        <v/>
      </c>
      <c r="G66" s="16"/>
      <c r="H66" s="16"/>
    </row>
    <row r="67" spans="2:8">
      <c r="B67" s="2" t="str">
        <f t="shared" si="0"/>
        <v/>
      </c>
      <c r="G67" s="16"/>
      <c r="H67" s="16"/>
    </row>
    <row r="68" spans="2:8">
      <c r="B68" s="2" t="str">
        <f t="shared" ref="B68:B99" si="1">IF(A68="","",IF(H68="","?",IF(H68&gt;YR0LCC+G68*(YR100LCC-YR0LCC),"r",IF(H68&gt;GY0LCC+G68*(GY100LCC-GY0LCC),"y","g"))))</f>
        <v/>
      </c>
      <c r="G68" s="16"/>
      <c r="H68" s="16"/>
    </row>
    <row r="69" spans="2:8">
      <c r="B69" s="2" t="str">
        <f t="shared" si="1"/>
        <v/>
      </c>
      <c r="G69" s="16"/>
      <c r="H69" s="16"/>
    </row>
    <row r="70" spans="2:8">
      <c r="B70" s="2" t="str">
        <f t="shared" si="1"/>
        <v/>
      </c>
      <c r="G70" s="16"/>
      <c r="H70" s="16"/>
    </row>
    <row r="71" spans="2:8">
      <c r="B71" s="2" t="str">
        <f t="shared" si="1"/>
        <v/>
      </c>
      <c r="G71" s="16"/>
      <c r="H71" s="16"/>
    </row>
    <row r="72" spans="2:8">
      <c r="B72" s="2" t="str">
        <f t="shared" si="1"/>
        <v/>
      </c>
      <c r="G72" s="16"/>
      <c r="H72" s="16"/>
    </row>
    <row r="73" spans="2:8">
      <c r="B73" s="2" t="str">
        <f t="shared" si="1"/>
        <v/>
      </c>
      <c r="G73" s="16"/>
      <c r="H73" s="16"/>
    </row>
    <row r="74" spans="2:8">
      <c r="B74" s="2" t="str">
        <f t="shared" si="1"/>
        <v/>
      </c>
      <c r="G74" s="16"/>
      <c r="H74" s="16"/>
    </row>
    <row r="75" spans="2:8">
      <c r="B75" s="2" t="str">
        <f t="shared" si="1"/>
        <v/>
      </c>
      <c r="G75" s="16"/>
      <c r="H75" s="16"/>
    </row>
    <row r="76" spans="2:8">
      <c r="B76" s="2" t="str">
        <f t="shared" si="1"/>
        <v/>
      </c>
      <c r="G76" s="16"/>
      <c r="H76" s="16"/>
    </row>
    <row r="77" spans="2:8">
      <c r="B77" s="2" t="str">
        <f t="shared" si="1"/>
        <v/>
      </c>
      <c r="G77" s="16"/>
      <c r="H77" s="16"/>
    </row>
    <row r="78" spans="2:8">
      <c r="B78" s="2" t="str">
        <f t="shared" si="1"/>
        <v/>
      </c>
      <c r="G78" s="16"/>
      <c r="H78" s="16"/>
    </row>
    <row r="79" spans="2:8">
      <c r="B79" s="2" t="str">
        <f t="shared" si="1"/>
        <v/>
      </c>
      <c r="G79" s="16"/>
      <c r="H79" s="16"/>
    </row>
    <row r="80" spans="2:8">
      <c r="B80" s="2" t="str">
        <f t="shared" si="1"/>
        <v/>
      </c>
      <c r="G80" s="16"/>
      <c r="H80" s="16"/>
    </row>
    <row r="81" spans="2:8">
      <c r="B81" s="2" t="str">
        <f t="shared" si="1"/>
        <v/>
      </c>
      <c r="G81" s="16"/>
      <c r="H81" s="16"/>
    </row>
    <row r="82" spans="2:8">
      <c r="B82" s="2" t="str">
        <f t="shared" si="1"/>
        <v/>
      </c>
      <c r="G82" s="16"/>
      <c r="H82" s="16"/>
    </row>
    <row r="83" spans="2:8">
      <c r="B83" s="2" t="str">
        <f t="shared" si="1"/>
        <v/>
      </c>
      <c r="G83" s="16"/>
      <c r="H83" s="16"/>
    </row>
    <row r="84" spans="2:8">
      <c r="B84" s="2" t="str">
        <f t="shared" si="1"/>
        <v/>
      </c>
      <c r="G84" s="16"/>
      <c r="H84" s="16"/>
    </row>
    <row r="85" spans="2:8">
      <c r="B85" s="2" t="str">
        <f t="shared" si="1"/>
        <v/>
      </c>
      <c r="G85" s="16"/>
      <c r="H85" s="16"/>
    </row>
    <row r="86" spans="2:8">
      <c r="B86" s="2" t="str">
        <f t="shared" si="1"/>
        <v/>
      </c>
      <c r="G86" s="16"/>
      <c r="H86" s="16"/>
    </row>
    <row r="87" spans="2:8">
      <c r="B87" s="2" t="str">
        <f t="shared" si="1"/>
        <v/>
      </c>
      <c r="G87" s="16"/>
      <c r="H87" s="16"/>
    </row>
    <row r="88" spans="2:8">
      <c r="B88" s="2" t="str">
        <f t="shared" si="1"/>
        <v/>
      </c>
      <c r="G88" s="16"/>
      <c r="H88" s="16"/>
    </row>
    <row r="89" spans="2:8">
      <c r="B89" s="2" t="str">
        <f t="shared" si="1"/>
        <v/>
      </c>
      <c r="G89" s="16"/>
      <c r="H89" s="16"/>
    </row>
    <row r="90" spans="2:8">
      <c r="B90" s="2" t="str">
        <f t="shared" si="1"/>
        <v/>
      </c>
      <c r="G90" s="16"/>
      <c r="H90" s="16"/>
    </row>
    <row r="91" spans="2:8">
      <c r="B91" s="2" t="str">
        <f t="shared" si="1"/>
        <v/>
      </c>
      <c r="G91" s="16"/>
      <c r="H91" s="16"/>
    </row>
    <row r="92" spans="2:8">
      <c r="B92" s="2" t="str">
        <f t="shared" si="1"/>
        <v/>
      </c>
      <c r="G92" s="16"/>
      <c r="H92" s="16"/>
    </row>
    <row r="93" spans="2:8">
      <c r="B93" s="2" t="str">
        <f t="shared" si="1"/>
        <v/>
      </c>
      <c r="G93" s="16"/>
      <c r="H93" s="16"/>
    </row>
    <row r="94" spans="2:8">
      <c r="B94" s="2" t="str">
        <f t="shared" si="1"/>
        <v/>
      </c>
      <c r="G94" s="16"/>
      <c r="H94" s="16"/>
    </row>
    <row r="95" spans="2:8">
      <c r="B95" s="2" t="str">
        <f t="shared" si="1"/>
        <v/>
      </c>
      <c r="G95" s="16"/>
      <c r="H95" s="16"/>
    </row>
    <row r="96" spans="2:8">
      <c r="B96" s="2" t="str">
        <f t="shared" si="1"/>
        <v/>
      </c>
      <c r="G96" s="16"/>
      <c r="H96" s="16"/>
    </row>
    <row r="97" spans="2:8">
      <c r="B97" s="2" t="str">
        <f t="shared" si="1"/>
        <v/>
      </c>
      <c r="G97" s="16"/>
      <c r="H97" s="16"/>
    </row>
    <row r="98" spans="2:8">
      <c r="B98" s="2" t="str">
        <f t="shared" si="1"/>
        <v/>
      </c>
      <c r="G98" s="16"/>
      <c r="H98" s="16"/>
    </row>
    <row r="99" spans="2:8">
      <c r="B99" s="2" t="str">
        <f t="shared" si="1"/>
        <v/>
      </c>
      <c r="G99" s="16"/>
      <c r="H99" s="16"/>
    </row>
  </sheetData>
  <conditionalFormatting sqref="B1:B1048576">
    <cfRule type="cellIs" dxfId="3" priority="2" operator="equal">
      <formula>"g"</formula>
    </cfRule>
    <cfRule type="cellIs" dxfId="2" priority="3" operator="equal">
      <formula>"y"</formula>
    </cfRule>
    <cfRule type="cellIs" dxfId="1" priority="4" operator="equal">
      <formula>"r"</formula>
    </cfRule>
    <cfRule type="cellIs" dxfId="0" priority="1" operator="equal">
      <formula>"?"</formula>
    </cfRule>
  </conditionalFormatting>
  <pageMargins left="0.23622047244094491" right="0.23622047244094491" top="0.74803149606299213" bottom="0.74803149606299213" header="0.31496062992125984" footer="0.31496062992125984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2"/>
  <dimension ref="A1:F49"/>
  <sheetViews>
    <sheetView workbookViewId="0"/>
  </sheetViews>
  <sheetFormatPr baseColWidth="10" defaultRowHeight="15"/>
  <cols>
    <col min="1" max="1" width="41.7109375" customWidth="1"/>
    <col min="5" max="5" width="38.5703125" customWidth="1"/>
    <col min="6" max="6" width="30.140625" bestFit="1" customWidth="1"/>
    <col min="7" max="7" width="2.7109375" customWidth="1"/>
  </cols>
  <sheetData>
    <row r="1" spans="1:6">
      <c r="A1" s="6" t="s">
        <v>3</v>
      </c>
      <c r="B1" s="6" t="s">
        <v>2</v>
      </c>
      <c r="C1" s="6" t="s">
        <v>0</v>
      </c>
      <c r="D1" s="6" t="s">
        <v>1</v>
      </c>
      <c r="E1" s="6" t="s">
        <v>13</v>
      </c>
      <c r="F1" s="6" t="s">
        <v>22</v>
      </c>
    </row>
    <row r="2" spans="1:6">
      <c r="A2" s="8" t="s">
        <v>14</v>
      </c>
      <c r="B2" s="9">
        <v>41000</v>
      </c>
      <c r="C2" s="10">
        <v>0.7</v>
      </c>
      <c r="D2" s="10">
        <v>0.6</v>
      </c>
      <c r="E2" s="8"/>
      <c r="F2" s="5" t="str">
        <f>IF(A2="","",IF(ISNA(VLOOKUP(A2,Report!A:A,1,FALSE)),"Warning: Not included in report!",""))</f>
        <v/>
      </c>
    </row>
    <row r="3" spans="1:6">
      <c r="A3" s="8" t="s">
        <v>14</v>
      </c>
      <c r="B3" s="9">
        <v>41030</v>
      </c>
      <c r="C3" s="10">
        <v>0.45</v>
      </c>
      <c r="D3" s="10">
        <v>0.6</v>
      </c>
      <c r="E3" s="8" t="s">
        <v>24</v>
      </c>
      <c r="F3" s="5" t="str">
        <f>IF(A3="","",IF(ISNA(VLOOKUP(A3,Report!A:A,1,FALSE)),"Warning: Not included in report!",""))</f>
        <v/>
      </c>
    </row>
    <row r="4" spans="1:6">
      <c r="A4" s="8" t="s">
        <v>14</v>
      </c>
      <c r="B4" s="9">
        <v>41045</v>
      </c>
      <c r="C4" s="10">
        <v>0.4</v>
      </c>
      <c r="D4" s="10">
        <v>0.75</v>
      </c>
      <c r="E4" s="8" t="s">
        <v>18</v>
      </c>
      <c r="F4" s="5" t="str">
        <f>IF(A4="","",IF(ISNA(VLOOKUP(A4,Report!A:A,1,FALSE)),"Warning: Not included in report!",""))</f>
        <v/>
      </c>
    </row>
    <row r="5" spans="1:6">
      <c r="A5" s="8" t="s">
        <v>16</v>
      </c>
      <c r="B5" s="9">
        <v>41031</v>
      </c>
      <c r="C5" s="10">
        <v>0.3</v>
      </c>
      <c r="D5" s="10">
        <v>0.25</v>
      </c>
      <c r="E5" s="8"/>
      <c r="F5" s="5" t="str">
        <f>IF(A5="","",IF(ISNA(VLOOKUP(A5,Report!A:A,1,FALSE)),"Warning: Not included in report!",""))</f>
        <v/>
      </c>
    </row>
    <row r="6" spans="1:6">
      <c r="A6" s="8" t="s">
        <v>16</v>
      </c>
      <c r="B6" s="9">
        <v>41039</v>
      </c>
      <c r="C6" s="10">
        <v>0.6</v>
      </c>
      <c r="D6" s="10">
        <v>0.4</v>
      </c>
      <c r="E6" s="8" t="s">
        <v>19</v>
      </c>
      <c r="F6" s="5" t="str">
        <f>IF(A6="","",IF(ISNA(VLOOKUP(A6,Report!A:A,1,FALSE)),"Warning: Not included in report!",""))</f>
        <v/>
      </c>
    </row>
    <row r="7" spans="1:6">
      <c r="A7" s="8" t="s">
        <v>15</v>
      </c>
      <c r="B7" s="9">
        <v>41030</v>
      </c>
      <c r="C7" s="10">
        <v>0.7</v>
      </c>
      <c r="D7" s="10">
        <v>0.5</v>
      </c>
      <c r="E7" s="8"/>
      <c r="F7" s="5" t="str">
        <f>IF(A7="","",IF(ISNA(VLOOKUP(A7,Report!A:A,1,FALSE)),"Warning: Not included in report!",""))</f>
        <v/>
      </c>
    </row>
    <row r="8" spans="1:6">
      <c r="A8" s="8" t="s">
        <v>15</v>
      </c>
      <c r="B8" s="9">
        <v>41044</v>
      </c>
      <c r="C8" s="10">
        <v>0.8</v>
      </c>
      <c r="D8" s="10">
        <v>0.4</v>
      </c>
      <c r="E8" s="8" t="s">
        <v>17</v>
      </c>
      <c r="F8" s="5" t="str">
        <f>IF(A8="","",IF(ISNA(VLOOKUP(A8,Report!A:A,1,FALSE)),"Warning: Not included in report!",""))</f>
        <v/>
      </c>
    </row>
    <row r="9" spans="1:6">
      <c r="A9" s="8" t="s">
        <v>28</v>
      </c>
      <c r="B9" s="9">
        <v>41048</v>
      </c>
      <c r="C9" s="10">
        <v>0.5</v>
      </c>
      <c r="D9" s="10">
        <v>0.6</v>
      </c>
      <c r="E9" s="8" t="s">
        <v>29</v>
      </c>
      <c r="F9" s="5" t="str">
        <f>IF(A9="","",IF(ISNA(VLOOKUP(A9,Report!A:A,1,FALSE)),"Warning: Not included in report!",""))</f>
        <v/>
      </c>
    </row>
    <row r="10" spans="1:6">
      <c r="A10" s="8" t="s">
        <v>20</v>
      </c>
      <c r="B10" s="9">
        <v>41037</v>
      </c>
      <c r="C10" s="10">
        <v>0.1</v>
      </c>
      <c r="D10" s="10">
        <v>0.5</v>
      </c>
      <c r="E10" s="8" t="s">
        <v>21</v>
      </c>
      <c r="F10" s="5" t="str">
        <f>IF(A10="","",IF(ISNA(VLOOKUP(A10,Report!A:A,1,FALSE)),"Warning: Not included in report!",""))</f>
        <v>Warning: Not included in report!</v>
      </c>
    </row>
    <row r="11" spans="1:6">
      <c r="A11" s="8"/>
      <c r="B11" s="8"/>
      <c r="C11" s="8"/>
      <c r="D11" s="8"/>
      <c r="E11" s="8"/>
      <c r="F11" s="5" t="str">
        <f>IF(A11="","",IF(ISNA(VLOOKUP(A11,Report!A:A,1,FALSE)),"Warning: Not included in report!",""))</f>
        <v/>
      </c>
    </row>
    <row r="12" spans="1:6">
      <c r="A12" s="8"/>
      <c r="B12" s="8"/>
      <c r="C12" s="8"/>
      <c r="D12" s="8"/>
      <c r="E12" s="8"/>
      <c r="F12" s="5" t="str">
        <f>IF(A12="","",IF(ISNA(VLOOKUP(A12,Report!A:A,1,FALSE)),"Warning: Not included in report!",""))</f>
        <v/>
      </c>
    </row>
    <row r="13" spans="1:6">
      <c r="A13" s="8"/>
      <c r="B13" s="8"/>
      <c r="C13" s="8"/>
      <c r="D13" s="8"/>
      <c r="E13" s="8"/>
      <c r="F13" s="5" t="str">
        <f>IF(A13="","",IF(ISNA(VLOOKUP(A13,Report!A:A,1,FALSE)),"Warning: Not included in report!",""))</f>
        <v/>
      </c>
    </row>
    <row r="14" spans="1:6">
      <c r="A14" s="8"/>
      <c r="B14" s="8"/>
      <c r="C14" s="8"/>
      <c r="D14" s="8"/>
      <c r="E14" s="8"/>
      <c r="F14" s="5" t="str">
        <f>IF(A14="","",IF(ISNA(VLOOKUP(A14,Report!A:A,1,FALSE)),"Warning: Not included in report!",""))</f>
        <v/>
      </c>
    </row>
    <row r="15" spans="1:6">
      <c r="A15" s="8"/>
      <c r="B15" s="8"/>
      <c r="C15" s="8"/>
      <c r="D15" s="8"/>
      <c r="E15" s="8"/>
      <c r="F15" s="5" t="str">
        <f>IF(A15="","",IF(ISNA(VLOOKUP(A15,Report!A:A,1,FALSE)),"Warning: Not included in report!",""))</f>
        <v/>
      </c>
    </row>
    <row r="16" spans="1:6">
      <c r="A16" s="8"/>
      <c r="B16" s="8"/>
      <c r="C16" s="8"/>
      <c r="D16" s="8"/>
      <c r="E16" s="8"/>
      <c r="F16" s="5" t="str">
        <f>IF(A16="","",IF(ISNA(VLOOKUP(A16,Report!A:A,1,FALSE)),"Warning: Not included in report!",""))</f>
        <v/>
      </c>
    </row>
    <row r="17" spans="1:6">
      <c r="A17" s="8"/>
      <c r="B17" s="8"/>
      <c r="C17" s="8"/>
      <c r="D17" s="8"/>
      <c r="E17" s="8"/>
      <c r="F17" s="5" t="str">
        <f>IF(A17="","",IF(ISNA(VLOOKUP(A17,Report!A:A,1,FALSE)),"Warning: Not included in report!",""))</f>
        <v/>
      </c>
    </row>
    <row r="18" spans="1:6">
      <c r="A18" s="8"/>
      <c r="B18" s="8"/>
      <c r="C18" s="8"/>
      <c r="D18" s="8"/>
      <c r="E18" s="8"/>
      <c r="F18" s="5" t="str">
        <f>IF(A18="","",IF(ISNA(VLOOKUP(A18,Report!A:A,1,FALSE)),"Warning: Not included in report!",""))</f>
        <v/>
      </c>
    </row>
    <row r="19" spans="1:6">
      <c r="A19" s="8"/>
      <c r="B19" s="8"/>
      <c r="C19" s="8"/>
      <c r="D19" s="8"/>
      <c r="E19" s="8"/>
      <c r="F19" s="5" t="str">
        <f>IF(A19="","",IF(ISNA(VLOOKUP(A19,Report!A:A,1,FALSE)),"Warning: Not included in report!",""))</f>
        <v/>
      </c>
    </row>
    <row r="20" spans="1:6">
      <c r="A20" s="8"/>
      <c r="B20" s="8"/>
      <c r="C20" s="8"/>
      <c r="D20" s="8"/>
      <c r="E20" s="8"/>
      <c r="F20" s="5" t="str">
        <f>IF(A20="","",IF(ISNA(VLOOKUP(A20,Report!A:A,1,FALSE)),"Warning: Not included in report!",""))</f>
        <v/>
      </c>
    </row>
    <row r="21" spans="1:6">
      <c r="A21" s="8"/>
      <c r="B21" s="8"/>
      <c r="C21" s="8"/>
      <c r="D21" s="8"/>
      <c r="E21" s="8"/>
      <c r="F21" s="5" t="str">
        <f>IF(A21="","",IF(ISNA(VLOOKUP(A21,Report!A:A,1,FALSE)),"Warning: Not included in report!",""))</f>
        <v/>
      </c>
    </row>
    <row r="22" spans="1:6">
      <c r="A22" s="8"/>
      <c r="B22" s="8"/>
      <c r="C22" s="8"/>
      <c r="D22" s="8"/>
      <c r="E22" s="8"/>
      <c r="F22" s="5" t="str">
        <f>IF(A22="","",IF(ISNA(VLOOKUP(A22,Report!A:A,1,FALSE)),"Warning: Not included in report!",""))</f>
        <v/>
      </c>
    </row>
    <row r="23" spans="1:6">
      <c r="A23" s="8"/>
      <c r="B23" s="8"/>
      <c r="C23" s="8"/>
      <c r="D23" s="8"/>
      <c r="E23" s="8"/>
      <c r="F23" s="5" t="str">
        <f>IF(A23="","",IF(ISNA(VLOOKUP(A23,Report!A:A,1,FALSE)),"Warning: Not included in report!",""))</f>
        <v/>
      </c>
    </row>
    <row r="24" spans="1:6">
      <c r="A24" s="8"/>
      <c r="B24" s="8"/>
      <c r="C24" s="8"/>
      <c r="D24" s="8"/>
      <c r="E24" s="8"/>
      <c r="F24" s="5" t="str">
        <f>IF(A24="","",IF(ISNA(VLOOKUP(A24,Report!A:A,1,FALSE)),"Warning: Not included in report!",""))</f>
        <v/>
      </c>
    </row>
    <row r="25" spans="1:6">
      <c r="A25" s="8"/>
      <c r="B25" s="8"/>
      <c r="C25" s="8"/>
      <c r="D25" s="8"/>
      <c r="E25" s="8"/>
      <c r="F25" s="5" t="str">
        <f>IF(A25="","",IF(ISNA(VLOOKUP(A25,Report!A:A,1,FALSE)),"Warning: Not included in report!",""))</f>
        <v/>
      </c>
    </row>
    <row r="26" spans="1:6">
      <c r="A26" s="8"/>
      <c r="B26" s="8"/>
      <c r="C26" s="8"/>
      <c r="D26" s="8"/>
      <c r="E26" s="8"/>
      <c r="F26" s="5" t="str">
        <f>IF(A26="","",IF(ISNA(VLOOKUP(A26,Report!A:A,1,FALSE)),"Warning: Not included in report!",""))</f>
        <v/>
      </c>
    </row>
    <row r="27" spans="1:6">
      <c r="A27" s="8"/>
      <c r="B27" s="8"/>
      <c r="C27" s="8"/>
      <c r="D27" s="8"/>
      <c r="E27" s="8"/>
      <c r="F27" s="5" t="str">
        <f>IF(A27="","",IF(ISNA(VLOOKUP(A27,Report!A:A,1,FALSE)),"Warning: Not included in report!",""))</f>
        <v/>
      </c>
    </row>
    <row r="28" spans="1:6">
      <c r="A28" s="8"/>
      <c r="B28" s="8"/>
      <c r="C28" s="8"/>
      <c r="D28" s="8"/>
      <c r="E28" s="8"/>
      <c r="F28" s="5" t="str">
        <f>IF(A28="","",IF(ISNA(VLOOKUP(A28,Report!A:A,1,FALSE)),"Warning: Not included in report!",""))</f>
        <v/>
      </c>
    </row>
    <row r="29" spans="1:6">
      <c r="A29" s="8"/>
      <c r="B29" s="8"/>
      <c r="C29" s="8"/>
      <c r="D29" s="8"/>
      <c r="E29" s="8"/>
      <c r="F29" s="5" t="str">
        <f>IF(A29="","",IF(ISNA(VLOOKUP(A29,Report!A:A,1,FALSE)),"Warning: Not included in report!",""))</f>
        <v/>
      </c>
    </row>
    <row r="30" spans="1:6">
      <c r="A30" s="8"/>
      <c r="B30" s="8"/>
      <c r="C30" s="8"/>
      <c r="D30" s="8"/>
      <c r="E30" s="8"/>
      <c r="F30" s="5" t="str">
        <f>IF(A30="","",IF(ISNA(VLOOKUP(A30,Report!A:A,1,FALSE)),"Warning: Not included in report!",""))</f>
        <v/>
      </c>
    </row>
    <row r="31" spans="1:6">
      <c r="A31" s="8"/>
      <c r="B31" s="8"/>
      <c r="C31" s="8"/>
      <c r="D31" s="8"/>
      <c r="E31" s="8"/>
      <c r="F31" s="5" t="str">
        <f>IF(A31="","",IF(ISNA(VLOOKUP(A31,Report!A:A,1,FALSE)),"Warning: Not included in report!",""))</f>
        <v/>
      </c>
    </row>
    <row r="32" spans="1:6">
      <c r="A32" s="8"/>
      <c r="B32" s="8"/>
      <c r="C32" s="8"/>
      <c r="D32" s="8"/>
      <c r="E32" s="8"/>
      <c r="F32" s="5" t="str">
        <f>IF(A32="","",IF(ISNA(VLOOKUP(A32,Report!A:A,1,FALSE)),"Warning: Not included in report!",""))</f>
        <v/>
      </c>
    </row>
    <row r="33" spans="1:6">
      <c r="A33" s="8"/>
      <c r="B33" s="8"/>
      <c r="C33" s="8"/>
      <c r="D33" s="8"/>
      <c r="E33" s="8"/>
      <c r="F33" s="5" t="str">
        <f>IF(A33="","",IF(ISNA(VLOOKUP(A33,Report!A:A,1,FALSE)),"Warning: Not included in report!",""))</f>
        <v/>
      </c>
    </row>
    <row r="34" spans="1:6">
      <c r="A34" s="8"/>
      <c r="B34" s="8"/>
      <c r="C34" s="8"/>
      <c r="D34" s="8"/>
      <c r="E34" s="8"/>
      <c r="F34" s="5" t="str">
        <f>IF(A34="","",IF(ISNA(VLOOKUP(A34,Report!A:A,1,FALSE)),"Warning: Not included in report!",""))</f>
        <v/>
      </c>
    </row>
    <row r="35" spans="1:6">
      <c r="A35" s="8"/>
      <c r="B35" s="8"/>
      <c r="C35" s="8"/>
      <c r="D35" s="8"/>
      <c r="E35" s="8"/>
      <c r="F35" s="5" t="str">
        <f>IF(A35="","",IF(ISNA(VLOOKUP(A35,Report!A:A,1,FALSE)),"Warning: Not included in report!",""))</f>
        <v/>
      </c>
    </row>
    <row r="36" spans="1:6">
      <c r="A36" s="8"/>
      <c r="B36" s="8"/>
      <c r="C36" s="8"/>
      <c r="D36" s="8"/>
      <c r="E36" s="8"/>
      <c r="F36" s="5" t="str">
        <f>IF(A36="","",IF(ISNA(VLOOKUP(A36,Report!A:A,1,FALSE)),"Warning: Not included in report!",""))</f>
        <v/>
      </c>
    </row>
    <row r="37" spans="1:6">
      <c r="A37" s="8"/>
      <c r="B37" s="8"/>
      <c r="C37" s="8"/>
      <c r="D37" s="8"/>
      <c r="E37" s="8"/>
      <c r="F37" s="5" t="str">
        <f>IF(A37="","",IF(ISNA(VLOOKUP(A37,Report!A:A,1,FALSE)),"Warning: Not included in report!",""))</f>
        <v/>
      </c>
    </row>
    <row r="38" spans="1:6">
      <c r="A38" s="8"/>
      <c r="B38" s="8"/>
      <c r="C38" s="8"/>
      <c r="D38" s="8"/>
      <c r="E38" s="8"/>
      <c r="F38" s="5" t="str">
        <f>IF(A38="","",IF(ISNA(VLOOKUP(A38,Report!A:A,1,FALSE)),"Warning: Not included in report!",""))</f>
        <v/>
      </c>
    </row>
    <row r="39" spans="1:6">
      <c r="A39" s="8"/>
      <c r="B39" s="8"/>
      <c r="C39" s="8"/>
      <c r="D39" s="8"/>
      <c r="E39" s="8"/>
      <c r="F39" s="5" t="str">
        <f>IF(A39="","",IF(ISNA(VLOOKUP(A39,Report!A:A,1,FALSE)),"Warning: Not included in report!",""))</f>
        <v/>
      </c>
    </row>
    <row r="40" spans="1:6">
      <c r="A40" s="8"/>
      <c r="B40" s="8"/>
      <c r="C40" s="8"/>
      <c r="D40" s="8"/>
      <c r="E40" s="8"/>
      <c r="F40" s="5" t="str">
        <f>IF(A40="","",IF(ISNA(VLOOKUP(A40,Report!A:A,1,FALSE)),"Warning: Not included in report!",""))</f>
        <v/>
      </c>
    </row>
    <row r="41" spans="1:6">
      <c r="A41" s="8"/>
      <c r="B41" s="8"/>
      <c r="C41" s="8"/>
      <c r="D41" s="8"/>
      <c r="E41" s="8"/>
      <c r="F41" s="5" t="str">
        <f>IF(A41="","",IF(ISNA(VLOOKUP(A41,Report!A:A,1,FALSE)),"Warning: Not included in report!",""))</f>
        <v/>
      </c>
    </row>
    <row r="42" spans="1:6">
      <c r="A42" s="8"/>
      <c r="B42" s="8"/>
      <c r="C42" s="8"/>
      <c r="D42" s="8"/>
      <c r="E42" s="8"/>
      <c r="F42" s="5" t="str">
        <f>IF(A42="","",IF(ISNA(VLOOKUP(A42,Report!A:A,1,FALSE)),"Warning: Not included in report!",""))</f>
        <v/>
      </c>
    </row>
    <row r="43" spans="1:6">
      <c r="A43" s="8"/>
      <c r="B43" s="8"/>
      <c r="C43" s="8"/>
      <c r="D43" s="8"/>
      <c r="E43" s="8"/>
      <c r="F43" s="5" t="str">
        <f>IF(A43="","",IF(ISNA(VLOOKUP(A43,Report!A:A,1,FALSE)),"Warning: Not included in report!",""))</f>
        <v/>
      </c>
    </row>
    <row r="44" spans="1:6">
      <c r="A44" s="8"/>
      <c r="B44" s="8"/>
      <c r="C44" s="8"/>
      <c r="D44" s="8"/>
      <c r="E44" s="8"/>
      <c r="F44" s="5" t="str">
        <f>IF(A44="","",IF(ISNA(VLOOKUP(A44,Report!A:A,1,FALSE)),"Warning: Not included in report!",""))</f>
        <v/>
      </c>
    </row>
    <row r="45" spans="1:6">
      <c r="A45" s="8"/>
      <c r="B45" s="8"/>
      <c r="C45" s="8"/>
      <c r="D45" s="8"/>
      <c r="E45" s="8"/>
      <c r="F45" s="5" t="str">
        <f>IF(A45="","",IF(ISNA(VLOOKUP(A45,Report!A:A,1,FALSE)),"Warning: Not included in report!",""))</f>
        <v/>
      </c>
    </row>
    <row r="46" spans="1:6">
      <c r="A46" s="8"/>
      <c r="B46" s="8"/>
      <c r="C46" s="8"/>
      <c r="D46" s="8"/>
      <c r="E46" s="8"/>
      <c r="F46" s="5" t="str">
        <f>IF(A46="","",IF(ISNA(VLOOKUP(A46,Report!A:A,1,FALSE)),"Warning: Not included in report!",""))</f>
        <v/>
      </c>
    </row>
    <row r="47" spans="1:6">
      <c r="A47" s="8"/>
      <c r="B47" s="8"/>
      <c r="C47" s="8"/>
      <c r="D47" s="8"/>
      <c r="E47" s="8"/>
      <c r="F47" s="5" t="str">
        <f>IF(A47="","",IF(ISNA(VLOOKUP(A47,Report!A:A,1,FALSE)),"Warning: Not included in report!",""))</f>
        <v/>
      </c>
    </row>
    <row r="48" spans="1:6">
      <c r="A48" s="8"/>
      <c r="B48" s="8"/>
      <c r="C48" s="8"/>
      <c r="D48" s="8"/>
      <c r="E48" s="8"/>
      <c r="F48" s="5" t="str">
        <f>IF(A48="","",IF(ISNA(VLOOKUP(A48,Report!A:A,1,FALSE)),"Warning: Not included in report!",""))</f>
        <v/>
      </c>
    </row>
    <row r="49" spans="1:6">
      <c r="A49" s="8"/>
      <c r="B49" s="8"/>
      <c r="C49" s="8"/>
      <c r="D49" s="8"/>
      <c r="E49" s="8"/>
      <c r="F49" s="5" t="str">
        <f>IF(A49="","",IF(ISNA(VLOOKUP(A49,Report!A:A,1,FALSE)),"Warning: Not included in report!",""))</f>
        <v/>
      </c>
    </row>
  </sheetData>
  <sortState ref="A2:F49">
    <sortCondition ref="A2:A49"/>
    <sortCondition ref="B2:B49"/>
  </sortState>
  <pageMargins left="0.7" right="0.7" top="0.78740157499999996" bottom="0.78740157499999996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7</vt:i4>
      </vt:variant>
    </vt:vector>
  </HeadingPairs>
  <TitlesOfParts>
    <vt:vector size="10" baseType="lpstr">
      <vt:lpstr>Into</vt:lpstr>
      <vt:lpstr>Report</vt:lpstr>
      <vt:lpstr>Data</vt:lpstr>
      <vt:lpstr>Report!Druckbereich</vt:lpstr>
      <vt:lpstr>GY0LCC</vt:lpstr>
      <vt:lpstr>GY0LLC</vt:lpstr>
      <vt:lpstr>GY100LCC</vt:lpstr>
      <vt:lpstr>table</vt:lpstr>
      <vt:lpstr>YR0LCC</vt:lpstr>
      <vt:lpstr>YR100LCC</vt:lpstr>
    </vt:vector>
  </TitlesOfParts>
  <Company>1&amp;1 Internet AG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Wolfram Müller</dc:creator>
  <cp:lastModifiedBy>Wolfram Müller</cp:lastModifiedBy>
  <cp:lastPrinted>2012-05-17T16:06:51Z</cp:lastPrinted>
  <dcterms:created xsi:type="dcterms:W3CDTF">2012-05-16T18:19:06Z</dcterms:created>
  <dcterms:modified xsi:type="dcterms:W3CDTF">2012-09-13T05:58:01Z</dcterms:modified>
</cp:coreProperties>
</file>