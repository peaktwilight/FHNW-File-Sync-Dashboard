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drawings/drawing6.xml" ContentType="application/vnd.openxmlformats-officedocument.drawing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drawings/drawing7.xml" ContentType="application/vnd.openxmlformats-officedocument.drawing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drawings/drawing8.xml" ContentType="application/vnd.openxmlformats-officedocument.drawing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drawings/drawing9.xml" ContentType="application/vnd.openxmlformats-officedocument.drawing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drawings/drawing10.xml" ContentType="application/vnd.openxmlformats-officedocument.drawing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drawings/drawing11.xml" ContentType="application/vnd.openxmlformats-officedocument.drawing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DieseArbeitsmappe" defaultThemeVersion="124226"/>
  <bookViews>
    <workbookView xWindow="330" yWindow="120" windowWidth="5820" windowHeight="4425" tabRatio="895" firstSheet="3" activeTab="4"/>
  </bookViews>
  <sheets>
    <sheet name="Basisdaten" sheetId="1" r:id="rId1"/>
    <sheet name="StärkenSchwächen" sheetId="5" r:id="rId2"/>
    <sheet name="StärkenSchwächen Diagramme" sheetId="19" r:id="rId3"/>
    <sheet name="Umweltanalyse" sheetId="2" r:id="rId4"/>
    <sheet name="SWOT" sheetId="8" r:id="rId5"/>
    <sheet name="PivotTables" sheetId="20" r:id="rId6"/>
    <sheet name="Leitfragen StrategiePlanung" sheetId="9" r:id="rId7"/>
    <sheet name="Leitfragen MarktKunden" sheetId="10" r:id="rId8"/>
    <sheet name="Leitfragen Besch_Prod_Tech" sheetId="12" r:id="rId9"/>
    <sheet name="Leitfragen Finanzsicht" sheetId="13" r:id="rId10"/>
    <sheet name="Leitfragen OrgInformation" sheetId="17" r:id="rId11"/>
    <sheet name="Leitfragen PersonalFührung" sheetId="15" r:id="rId12"/>
    <sheet name="Leitfragen Unternehmenskultur" sheetId="16" r:id="rId13"/>
  </sheets>
  <definedNames>
    <definedName name="_xlnm._FilterDatabase" localSheetId="1" hidden="1">StärkenSchwächen!$B$5:$I$15</definedName>
    <definedName name="_xlnm._FilterDatabase" localSheetId="2" hidden="1">'StärkenSchwächen Diagramme'!#REF!</definedName>
    <definedName name="_xlnm._FilterDatabase" localSheetId="3" hidden="1">Umweltanalyse!$A$3:$G$13</definedName>
    <definedName name="Analysebereiche">Basisdaten!$A$2:$A$8</definedName>
    <definedName name="Analysebereiche2">Basisdaten!$A$2:$B$8</definedName>
    <definedName name="Bewertungen">Basisdaten!$D$2:$E$8</definedName>
    <definedName name="Bewertungsskala">Basisdaten!$D$2:$D$8</definedName>
    <definedName name="Chancen">PivotTables!$A$15:$A$19</definedName>
    <definedName name="ChancenGefahren">Umweltanalyse!$A$3:$G$13</definedName>
    <definedName name="Gefahren">PivotTables!$D$15:$D$19</definedName>
    <definedName name="Gewichtung">Basisdaten!$F$2:$F$6</definedName>
    <definedName name="Schwächen">PivotTables!$D$5:$E$9</definedName>
    <definedName name="SOS">SWOT!$E$9:$E$13</definedName>
    <definedName name="Stärken">PivotTables!$A$5:$A$9</definedName>
    <definedName name="StärkenSchwächen" localSheetId="2">StärkenSchwächen!$B$5:$I$15</definedName>
    <definedName name="StärkenSchwächen">StärkenSchwächen!$B$5:$I$15</definedName>
    <definedName name="STS">SWOT!$E$15:$E$19</definedName>
    <definedName name="Umwelt1">Basisdaten!$A$20:$A$24</definedName>
    <definedName name="Umwelt2">Basisdaten!$A$27:$A$31</definedName>
    <definedName name="Umwelt3">Basisdaten!$A$34:$A$39</definedName>
    <definedName name="Umwelt4">Basisdaten!$B$20:$B$22</definedName>
    <definedName name="Umwelt5">Basisdaten!$B$27:$B$30</definedName>
    <definedName name="Umweltanalysebereiche">Basisdaten!$A$13:$A$17</definedName>
    <definedName name="Wettbewerber">Basisdaten!$C$2:$C$9</definedName>
    <definedName name="WOS">SWOT!$H$9:$H$13</definedName>
    <definedName name="WTS">SWOT!$H$15:$H$19</definedName>
  </definedNames>
  <calcPr calcId="145621"/>
  <pivotCaches>
    <pivotCache cacheId="0" r:id="rId14"/>
    <pivotCache cacheId="1" r:id="rId15"/>
  </pivotCaches>
</workbook>
</file>

<file path=xl/calcChain.xml><?xml version="1.0" encoding="utf-8"?>
<calcChain xmlns="http://schemas.openxmlformats.org/spreadsheetml/2006/main">
  <c r="F12" i="13" l="1"/>
  <c r="F23" i="12"/>
  <c r="F21" i="12"/>
  <c r="F12" i="12"/>
  <c r="B9" i="8" a="1"/>
  <c r="B9" i="8" s="1"/>
  <c r="D15" i="5"/>
  <c r="D14" i="5"/>
  <c r="D13" i="5"/>
  <c r="C13" i="5"/>
  <c r="C15" i="5"/>
  <c r="C14" i="5"/>
  <c r="M2" i="8"/>
  <c r="M1" i="8"/>
  <c r="B15" i="8" a="1"/>
  <c r="B15" i="8" s="1"/>
  <c r="H3" i="8" a="1"/>
  <c r="H3" i="8" s="1"/>
  <c r="E3" i="8" a="1"/>
  <c r="E3" i="8" s="1"/>
  <c r="F12" i="17"/>
  <c r="F8" i="17"/>
  <c r="F6" i="17"/>
  <c r="F7" i="17"/>
  <c r="F9" i="17"/>
  <c r="F10" i="17"/>
  <c r="F11" i="17"/>
  <c r="F13" i="17"/>
  <c r="F14" i="17"/>
  <c r="F15" i="17"/>
  <c r="F16" i="17"/>
  <c r="F17" i="17"/>
  <c r="F18" i="17"/>
  <c r="C50" i="17"/>
  <c r="D50" i="17"/>
  <c r="F6" i="16"/>
  <c r="F7" i="16"/>
  <c r="F8" i="16"/>
  <c r="F9" i="16"/>
  <c r="F10" i="16"/>
  <c r="F11" i="16"/>
  <c r="F12" i="16"/>
  <c r="F13" i="16"/>
  <c r="F14" i="16"/>
  <c r="C50" i="16"/>
  <c r="D50" i="16"/>
  <c r="C50" i="15"/>
  <c r="F12" i="15"/>
  <c r="F8" i="15"/>
  <c r="F6" i="15"/>
  <c r="F7" i="15"/>
  <c r="F9" i="15"/>
  <c r="F10" i="15"/>
  <c r="F11" i="15"/>
  <c r="F13" i="15"/>
  <c r="F14" i="15"/>
  <c r="F15" i="15"/>
  <c r="F16" i="15"/>
  <c r="F17" i="15"/>
  <c r="F18" i="15"/>
  <c r="F19" i="15"/>
  <c r="D50" i="15"/>
  <c r="D50" i="13"/>
  <c r="C50" i="13"/>
  <c r="F23" i="13"/>
  <c r="F21" i="13"/>
  <c r="F6" i="13"/>
  <c r="F40" i="13"/>
  <c r="F39" i="13"/>
  <c r="F38" i="13"/>
  <c r="F37" i="13"/>
  <c r="F36" i="13"/>
  <c r="F35" i="13"/>
  <c r="F33" i="13"/>
  <c r="F32" i="13"/>
  <c r="F31" i="13"/>
  <c r="F30" i="13"/>
  <c r="F29" i="13"/>
  <c r="F28" i="13"/>
  <c r="F7" i="13"/>
  <c r="F9" i="13"/>
  <c r="F10" i="13"/>
  <c r="F11" i="13"/>
  <c r="F13" i="13"/>
  <c r="F14" i="13"/>
  <c r="F15" i="13"/>
  <c r="F16" i="13"/>
  <c r="F17" i="13"/>
  <c r="F18" i="13"/>
  <c r="F19" i="13"/>
  <c r="F22" i="13"/>
  <c r="F24" i="13"/>
  <c r="F25" i="13"/>
  <c r="F27" i="13"/>
  <c r="F7" i="12"/>
  <c r="F8" i="12"/>
  <c r="F9" i="12"/>
  <c r="F10" i="12"/>
  <c r="F11" i="12"/>
  <c r="F13" i="12"/>
  <c r="F14" i="12"/>
  <c r="F15" i="12"/>
  <c r="F16" i="12"/>
  <c r="F17" i="12"/>
  <c r="F18" i="12"/>
  <c r="F19" i="12"/>
  <c r="F20" i="12"/>
  <c r="F22" i="12"/>
  <c r="F24" i="12"/>
  <c r="F25" i="12"/>
  <c r="F26" i="12"/>
  <c r="C50" i="12"/>
  <c r="D50" i="12"/>
  <c r="E35" i="10"/>
  <c r="C50" i="10" s="1"/>
  <c r="F30" i="10"/>
  <c r="F31" i="10"/>
  <c r="F32" i="10"/>
  <c r="F33" i="10"/>
  <c r="F34" i="10"/>
  <c r="F29" i="10"/>
  <c r="F27" i="10"/>
  <c r="F19" i="10"/>
  <c r="F20" i="10"/>
  <c r="F21" i="10"/>
  <c r="F22" i="10"/>
  <c r="F23" i="10"/>
  <c r="F24" i="10"/>
  <c r="F25" i="10"/>
  <c r="F12" i="10"/>
  <c r="F13" i="10"/>
  <c r="F14" i="10"/>
  <c r="F15" i="10"/>
  <c r="F16" i="10"/>
  <c r="F11" i="10"/>
  <c r="F18" i="10"/>
  <c r="D50" i="9"/>
  <c r="C50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6" i="9"/>
  <c r="B20" i="5"/>
  <c r="B21" i="5"/>
  <c r="B22" i="5"/>
  <c r="B23" i="5"/>
  <c r="B24" i="5"/>
  <c r="B25" i="5"/>
  <c r="B26" i="5"/>
  <c r="B27" i="5"/>
  <c r="B28" i="5"/>
  <c r="B19" i="5"/>
  <c r="F26" i="5"/>
  <c r="F27" i="5"/>
  <c r="H27" i="5" s="1"/>
  <c r="F28" i="5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4" i="5"/>
  <c r="I14" i="5"/>
  <c r="F20" i="5"/>
  <c r="H20" i="5" s="1"/>
  <c r="F21" i="5"/>
  <c r="H21" i="5" s="1"/>
  <c r="F22" i="5"/>
  <c r="H22" i="5" s="1"/>
  <c r="F23" i="5"/>
  <c r="H23" i="5" s="1"/>
  <c r="F24" i="5"/>
  <c r="H24" i="5" s="1"/>
  <c r="F25" i="5"/>
  <c r="H25" i="5" s="1"/>
  <c r="F19" i="5"/>
  <c r="H19" i="5" s="1"/>
  <c r="H26" i="5"/>
  <c r="H28" i="5"/>
  <c r="H15" i="5"/>
  <c r="I28" i="5"/>
  <c r="I27" i="5"/>
  <c r="I26" i="5"/>
  <c r="I25" i="5"/>
  <c r="I24" i="5"/>
  <c r="I23" i="5"/>
  <c r="I22" i="5"/>
  <c r="I21" i="5"/>
  <c r="I20" i="5"/>
  <c r="I19" i="5"/>
  <c r="I15" i="5"/>
  <c r="C8" i="5"/>
  <c r="D12" i="5"/>
  <c r="D9" i="5"/>
  <c r="C10" i="5"/>
  <c r="C11" i="5"/>
  <c r="C12" i="5"/>
  <c r="C6" i="5"/>
  <c r="D8" i="5"/>
  <c r="C9" i="5"/>
  <c r="D10" i="5"/>
  <c r="D6" i="5"/>
  <c r="D11" i="5"/>
  <c r="C7" i="5"/>
  <c r="B12" i="8" l="1"/>
  <c r="B10" i="8"/>
  <c r="B13" i="8"/>
  <c r="B11" i="8"/>
  <c r="B18" i="8"/>
  <c r="B16" i="8"/>
  <c r="B19" i="8"/>
  <c r="B17" i="8"/>
  <c r="H6" i="8"/>
  <c r="H4" i="8"/>
  <c r="H7" i="8"/>
  <c r="H5" i="8"/>
  <c r="E6" i="8"/>
  <c r="E4" i="8"/>
  <c r="E7" i="8"/>
  <c r="E5" i="8"/>
  <c r="F35" i="10"/>
  <c r="D50" i="10"/>
  <c r="M5" i="8"/>
  <c r="M6" i="8"/>
  <c r="M9" i="8"/>
  <c r="M10" i="8"/>
  <c r="M8" i="8"/>
  <c r="M7" i="8"/>
  <c r="M4" i="8"/>
  <c r="D7" i="5"/>
  <c r="M3" i="8"/>
</calcChain>
</file>

<file path=xl/sharedStrings.xml><?xml version="1.0" encoding="utf-8"?>
<sst xmlns="http://schemas.openxmlformats.org/spreadsheetml/2006/main" count="506" uniqueCount="321">
  <si>
    <t>Organisations- und Informationssicht</t>
  </si>
  <si>
    <t>Markt- und Kundensicht</t>
  </si>
  <si>
    <t>Nr</t>
  </si>
  <si>
    <t>Bio Landbau AG</t>
  </si>
  <si>
    <t>Bio Generics AG</t>
  </si>
  <si>
    <t>Fleischmann AG</t>
  </si>
  <si>
    <t>Gärtner &amp; Söhne</t>
  </si>
  <si>
    <t>Sallermann KG</t>
  </si>
  <si>
    <t>Bernhard &amp; Braun GmbH</t>
  </si>
  <si>
    <t>Gut &amp; Gesund GmbH</t>
  </si>
  <si>
    <t>Frischware Discount</t>
  </si>
  <si>
    <t>Finanzsicht</t>
  </si>
  <si>
    <t>Personal- und Führungssicht</t>
  </si>
  <si>
    <t>Unternehmenskultur</t>
  </si>
  <si>
    <t>Strategie- und Planungssicht</t>
  </si>
  <si>
    <t>Analysebereiche</t>
  </si>
  <si>
    <t>Stärken/Schwächen (interne Faktoren)</t>
  </si>
  <si>
    <t>Wettbewerber</t>
  </si>
  <si>
    <t>Gewichtung</t>
  </si>
  <si>
    <t>Bewertung</t>
  </si>
  <si>
    <t>Bewertungsskala</t>
  </si>
  <si>
    <t>Schwäche</t>
  </si>
  <si>
    <t>Stärke</t>
  </si>
  <si>
    <t>Eigenes Unternehmen</t>
  </si>
  <si>
    <t>Ergebnis</t>
  </si>
  <si>
    <t>Zuordnung</t>
  </si>
  <si>
    <t>Stärken-Schwächen-Analyse</t>
  </si>
  <si>
    <t>Beschaffungs-, Produktions- und Technologiesicht</t>
  </si>
  <si>
    <t>Chancen-Gefahren-Profil</t>
  </si>
  <si>
    <t>Kriterien</t>
  </si>
  <si>
    <t>Trend/Entwicklung</t>
  </si>
  <si>
    <t>Chance</t>
  </si>
  <si>
    <t>Gefahr</t>
  </si>
  <si>
    <t>Begründung</t>
  </si>
  <si>
    <t>Ökonomische Umwelt</t>
  </si>
  <si>
    <t>Technologische Umwelt</t>
  </si>
  <si>
    <t>Soziale Umwelt</t>
  </si>
  <si>
    <t>Demographische Umwelt</t>
  </si>
  <si>
    <t>Politische und rechtliche Umwelt</t>
  </si>
  <si>
    <t>Bereich</t>
  </si>
  <si>
    <t>Umweltanalysebereiche</t>
  </si>
  <si>
    <t>Wirtschafts- und Handelspolitik</t>
  </si>
  <si>
    <t>Wachstum</t>
  </si>
  <si>
    <t>Zinsen</t>
  </si>
  <si>
    <t>Wechselkurse</t>
  </si>
  <si>
    <t>Inflation</t>
  </si>
  <si>
    <t>Technologischer Wandel/neue Technologien</t>
  </si>
  <si>
    <t>Substitutionsprozesse</t>
  </si>
  <si>
    <t>Produktlebenszyklen</t>
  </si>
  <si>
    <t>Produktionsmethoden/-verfahren</t>
  </si>
  <si>
    <t>Zusätzliche Kosten/Kosteneinsparungen durch neue Technologien</t>
  </si>
  <si>
    <t>Shareholder-Ansatz (Anteilseigner stehen im Vordergrund)</t>
  </si>
  <si>
    <t>Stakeholder-Ansatz (Einbeziehung von Mitarbeitern, Kunden, Lieferanten etc.)</t>
  </si>
  <si>
    <t>Arbeitsmotivation</t>
  </si>
  <si>
    <t>Konsumentenverhalten</t>
  </si>
  <si>
    <t>Einstellungen zu bestimmten Themen (z.B. Gesundheit, Umweltschutz).</t>
  </si>
  <si>
    <t>Geburtenrate</t>
  </si>
  <si>
    <t>Lebenserwartung</t>
  </si>
  <si>
    <t>Gesundheitstrends</t>
  </si>
  <si>
    <t>Regulierungen bestimmter Lebensbereiche (z.B. Umweltschutz)</t>
  </si>
  <si>
    <t>Rechtliche Entwicklungen (z.B. Steuerrecht, Umweltrecht)</t>
  </si>
  <si>
    <t>Politische Entwicklungen im In- und Ausland (z.B. Im-/Exportverbote)</t>
  </si>
  <si>
    <t>Bürgerkriege, Revolutionen</t>
  </si>
  <si>
    <t>Gesundheitsbewusstsein zunehmend</t>
  </si>
  <si>
    <t>SWOT-Analyse</t>
  </si>
  <si>
    <t>Chancen - O (extern)</t>
  </si>
  <si>
    <t>Gefahren - T (extern)</t>
  </si>
  <si>
    <t>SO-Strategien</t>
  </si>
  <si>
    <t>WO-Strategien</t>
  </si>
  <si>
    <t>ST-Strategien</t>
  </si>
  <si>
    <t>WT-Strategien</t>
  </si>
  <si>
    <t>Stärken</t>
  </si>
  <si>
    <t>Schwächen</t>
  </si>
  <si>
    <t>Analysebereich</t>
  </si>
  <si>
    <t>Weltweit führend im Forschungsbereich</t>
  </si>
  <si>
    <t>Einkommenssteigerung 12% p.a.</t>
  </si>
  <si>
    <t>Handelsabkommen mit China</t>
  </si>
  <si>
    <t>Neue Märkte für Bioprodukte in Deutschland/Ost und Fernost</t>
  </si>
  <si>
    <t>Bioprodukte sind im Trend</t>
  </si>
  <si>
    <t>Pressebericht Spiegel 3/10</t>
  </si>
  <si>
    <t>Beschränkungen im EU-Raum zunehmend</t>
  </si>
  <si>
    <t>neue EU-Verordnungen</t>
  </si>
  <si>
    <t>Neue ausländische Konkurrenz</t>
  </si>
  <si>
    <t>Billigprodukte aus Fernost</t>
  </si>
  <si>
    <t>Margeneinbruch im Food-Bereich</t>
  </si>
  <si>
    <t>13% Rückgang bei Milch/Soja</t>
  </si>
  <si>
    <t>Entwicklung neuer Gesundheitsprodukte</t>
  </si>
  <si>
    <t>Kauf eines Nahrungsmittelherstellers in Hongkong mit starker Stellung in China</t>
  </si>
  <si>
    <t>Joint Venture mit einem japanischen Unternehmen</t>
  </si>
  <si>
    <t>Produktionsverlagerung nach China</t>
  </si>
  <si>
    <t>Diversifikation im Non-Food-Bereich</t>
  </si>
  <si>
    <t>Verfügt das Unternehmen über eine Strategie?</t>
  </si>
  <si>
    <t>Ist die Strategie schriftlich festgehalten?</t>
  </si>
  <si>
    <t>Wurde die Strategie an die Mitarbeiter des Unternehmens und ggf. an Externe kommuniziert?</t>
  </si>
  <si>
    <t>Wird regelmäßig die Wettbewerbsposition analysiert?</t>
  </si>
  <si>
    <t>Wird regelmäßig die Umwelt analysiert?</t>
  </si>
  <si>
    <t>Werden die Ergebnisse der Analysen mit den Verantwortlichen besprochen?</t>
  </si>
  <si>
    <t>Sind die Kundenbedürfnisse bekannt?</t>
  </si>
  <si>
    <t>Können Änderungen der Kundenbedürfnisse in der Zukunft erkannt werden?</t>
  </si>
  <si>
    <t>Sind ausreichende Informationen für die Fundierung von Entscheidungen vorhanden?</t>
  </si>
  <si>
    <t>Sind Ziele klar formuliert?</t>
  </si>
  <si>
    <t>Werden die Ziele regelmäßig auf deren Erreichung und Erreichbarkeit überprüft?</t>
  </si>
  <si>
    <t>Werden die Ziele durch Planungen konkretisiert?</t>
  </si>
  <si>
    <t>Bestehen mittelfristige Planungen?</t>
  </si>
  <si>
    <t>Gibt es regelmäßige Abweichungsanalysen zwischen Ist und Soll/Plan?</t>
  </si>
  <si>
    <t>Werden Gegensteuerungsmaßnahmen eingeleitet und deren Wirksamkeit regelmäßig überprüft?</t>
  </si>
  <si>
    <t>Hohe Cash-Position</t>
  </si>
  <si>
    <t>Sicherheitsmängel in der Web-Administration</t>
  </si>
  <si>
    <t>Hohe Mitarbeitermotivation</t>
  </si>
  <si>
    <t>Gute Corporate Governance</t>
  </si>
  <si>
    <t>Schwaches Marketing im Südpazifik</t>
  </si>
  <si>
    <t>Fehlende schriftlich fixierte Strategie</t>
  </si>
  <si>
    <t>Neutral</t>
  </si>
  <si>
    <t>Leitfragen</t>
  </si>
  <si>
    <t>Zur langfristigen Sicherstellung der Wettbewerbsfähigkeit des Unternehmens ist es erforderlich, dass das Risiko unvorhergesehener Ereignisse durch eine systematische Informationsbeschaffung und -auswertung reduziert wird. Um ein ungeplantes und daher meist unkoordiniertes Reagieren vermeiden zu können, sollten konkrete Ziele festgelegt werden, die einen Rahmen für ein geplantes und koordiniertes Agieren vorgeben.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</si>
  <si>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</si>
  <si>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</si>
  <si>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</si>
  <si>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</si>
  <si>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</si>
  <si>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</si>
  <si>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</si>
  <si>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</si>
  <si>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</si>
  <si>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</si>
  <si>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</si>
  <si>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</si>
  <si>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</si>
  <si>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</si>
  <si>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</si>
  <si>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</si>
  <si>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</si>
  <si>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Ja</t>
  </si>
  <si>
    <t>Nein</t>
  </si>
  <si>
    <t>zurück zu den Basisdaten</t>
  </si>
  <si>
    <t>zur Stärken-Schwächen-Analyse</t>
  </si>
  <si>
    <t>Markt- und Kundenansicht</t>
  </si>
  <si>
    <t>Die Kenntnis über seine Kunden und die damit in Zusammenhang stehenden betriebswirtschaftlichen Kennzahlen geben Aufschluss über die Positionierung des Unternehmens im Markt.</t>
  </si>
  <si>
    <t>Ist die Kundentreue bekannt?</t>
  </si>
  <si>
    <t>Wächst das Unternehmen ähnlich wie die Wettbewerber?</t>
  </si>
  <si>
    <t>Werden besondere Service- oder Betreuungsleistungen angeboten?</t>
  </si>
  <si>
    <t>Werden die angebotenen Service- oder Betreuungsleistungen vom Kunden angenommen?</t>
  </si>
  <si>
    <t>Sind die Kunden mit den Service- oder Betreuungsleistungen zufrieden?</t>
  </si>
  <si>
    <t>Wie wird die Lieferqualität (Geschwindigkeit, Zuverlässigkeit) beurteilt?</t>
  </si>
  <si>
    <t>Wie hoch ist die Reklamationsquote?</t>
  </si>
  <si>
    <t>Was sind die Reklamationsgründe?</t>
  </si>
  <si>
    <t>Welche Maßnahmen werden ergriffen, um die Reklamationen so niedrig wie möglich zu halten?</t>
  </si>
  <si>
    <t>Welches sind die wertschöpfenden Prozesse des Unternehmens und wie werden sie erfüllt?</t>
  </si>
  <si>
    <t>Betreuungs-, Service- und Marketingaufwand pro Kundengruppe</t>
  </si>
  <si>
    <t>Abhängigkeit von Großkunden</t>
  </si>
  <si>
    <t>genutztes bzw. ungenutztes Kundenpotenzial?</t>
  </si>
  <si>
    <t>Kundenzufriedenheitsbefragungen</t>
  </si>
  <si>
    <t>Kundenbedürfnisanalyse</t>
  </si>
  <si>
    <t>Marktanalysen (z.B. Marktanteil, Marktwachstum)</t>
  </si>
  <si>
    <t>Umsatzanalysen</t>
  </si>
  <si>
    <t>Werden regelmäßig durchgeführt …</t>
  </si>
  <si>
    <t>Werden die Informationen der Außendienstmitarbeiter 
(z.B. Handelsvertreter, Wartungsmonteure, Vertriebsmitarbeiter) systematisch ausgewertet?</t>
  </si>
  <si>
    <t>3.1</t>
  </si>
  <si>
    <t>3.2</t>
  </si>
  <si>
    <t>3.3</t>
  </si>
  <si>
    <t>3.4</t>
  </si>
  <si>
    <t>5.1</t>
  </si>
  <si>
    <t>5.2</t>
  </si>
  <si>
    <t>5.3</t>
  </si>
  <si>
    <t>5.4</t>
  </si>
  <si>
    <t>6.1</t>
  </si>
  <si>
    <t>18.</t>
  </si>
  <si>
    <t>Werden regelmäßige folgende Informationen erhoben und ausgewertet über …</t>
  </si>
  <si>
    <t>Umsatz, Gewinn und Deckungsbeitrag pro Kundengruppe</t>
  </si>
  <si>
    <t>Mit welchen Produkten ist das Unternehmen in welchen Marktsegmenten tätig?</t>
  </si>
  <si>
    <t>Die Produktinnovativität und die Produktqualität - beides Anforderungen der Kunden an das Unternehmen - können häufig nur durch den Einsatz moderner Produktionsverfahren oder Technologien erfüllt werden. Zudem wirken sich Unwirtschaftlichkeiten im Produktionsprozess auf die Preisgestaltung des Produkts und damit auf die Wettbewerbsfähigkeit aus.</t>
  </si>
  <si>
    <t>den Produkten</t>
  </si>
  <si>
    <t>den Produktionsverfahren</t>
  </si>
  <si>
    <t>der Erntwicklung</t>
  </si>
  <si>
    <t>Besteht gegenüber der Konkurrenz ein technologischer Vorsprung bei …</t>
  </si>
  <si>
    <t>Können die Produktionskapazitäten flexibel auf die 
Anforderungen des Marktes angepasst werden?</t>
  </si>
  <si>
    <t>Sind Teile der Fertigung auf externe Zulieferer ausgelagert?</t>
  </si>
  <si>
    <t>Ist ein Qualitätsmanagementsystem vorhanden?</t>
  </si>
  <si>
    <t>Sind Verantwortlichkeiten für die Produktqualität eindeutig zugeordnet?</t>
  </si>
  <si>
    <t>Sind die Beschaffungs- und Produktionsprozesse dokumentiert?</t>
  </si>
  <si>
    <t>Werden die Prozesse regelmäßig auf deren Optimierbarkeit überprüft?</t>
  </si>
  <si>
    <t>Werden die Mitarbeiter in die Suche nach Optimierungsmöglichkeiten einbezogen?</t>
  </si>
  <si>
    <t>Wird die Ausschussquote regelmäßig ermittelt?</t>
  </si>
  <si>
    <t>Werden Gegensteuerungsmaßnahmen zur Reduzierung der Ausschussquote ergriffen?</t>
  </si>
  <si>
    <t>Wird die Wirksamkeit der Gegensteuerungsmaßnahmen zur Reduzierung der Ausschussquote regelmäßig hinterfragt?</t>
  </si>
  <si>
    <t>Existieren Maßnahmen zur Reduzierung der Lagerzeiten?</t>
  </si>
  <si>
    <t>Sind die externen Lieferanten von Zukaufteilen auf die Qualitätsanforderungen des Unternehmens verpflichtet?</t>
  </si>
  <si>
    <t>Können Produktkomponenten in Serienfertigung erstellt werden?</t>
  </si>
  <si>
    <t>Gibt es im Produktionsprogramm Produktvarianten, die eine Serienfertigung verhindern?</t>
  </si>
  <si>
    <t>Werden Lagerzeiten für Rohstoffe, Zukaufteile, unfertige und fertige Erzeugnisse etc. 
regelmäßig ermittelt?</t>
  </si>
  <si>
    <t>1.1</t>
  </si>
  <si>
    <t>1.2</t>
  </si>
  <si>
    <t>1.3</t>
  </si>
  <si>
    <t>Erfolgt regelmäßig eine Analyse der Kostenstruktur, d.h. wird ermittelt, wie kostenintensiv die einzelnen Funktionen sind?</t>
  </si>
  <si>
    <t>Werden regelmäßige zentrale Finanzkennzahlen ermittelt</t>
  </si>
  <si>
    <t>Kapitalumschlag</t>
  </si>
  <si>
    <t>Werden für diese Kennzahlen Planwerte vorgegeben?</t>
  </si>
  <si>
    <t>Werden die Kennzahlen des Unternehmens verglichen mit</t>
  </si>
  <si>
    <t>Branchenkennzahlen?</t>
  </si>
  <si>
    <t>Werden die Kennzahlen in Kennzahlensystemen zusammengeführt?</t>
  </si>
  <si>
    <t>Werden regelmäßig Fördermaßnahmen (z.B. verbilligte Kredite) ermittelt und genutzt?</t>
  </si>
  <si>
    <t>Arbeitet das Mahnwesen effektiv?</t>
  </si>
  <si>
    <t>Sind im Unternehmen die klassischen Planungen vorhanden</t>
  </si>
  <si>
    <t>Absatz- und Umsatzplanung?</t>
  </si>
  <si>
    <t>Werden die klassischen Controlling-Instrumente eingesetzt</t>
  </si>
  <si>
    <t>Break-Even-Rechnung</t>
  </si>
  <si>
    <t>Ist ein Risikomanagementsystem vorhanden?</t>
  </si>
  <si>
    <t>Eine langfristige Sicherung der Existenz des Unternehmens hängt maßgeblich von dessen finanzieller Kraft und Stabilität ab.</t>
  </si>
  <si>
    <t>Eigenkapitalquote</t>
  </si>
  <si>
    <t>(dynamischer) Verschuldungsgrad</t>
  </si>
  <si>
    <t>Rentabilitäten (Umsatz-, Eigenkapital-, Gesamtkapital-)</t>
  </si>
  <si>
    <t>Cash-Flow(-Marge)</t>
  </si>
  <si>
    <t>Return On Investment</t>
  </si>
  <si>
    <t>Deckungsgrade</t>
  </si>
  <si>
    <t>Liquiditätsgrade</t>
  </si>
  <si>
    <t>Produktivitätskennzahlen</t>
  </si>
  <si>
    <t>Forderungsbestand</t>
  </si>
  <si>
    <t>3.5</t>
  </si>
  <si>
    <t>3.6</t>
  </si>
  <si>
    <t>3.7</t>
  </si>
  <si>
    <t>3.8</t>
  </si>
  <si>
    <t>3.9</t>
  </si>
  <si>
    <t>3.10</t>
  </si>
  <si>
    <t>9.1</t>
  </si>
  <si>
    <t>9.2</t>
  </si>
  <si>
    <t>9.3</t>
  </si>
  <si>
    <t>9.4</t>
  </si>
  <si>
    <t>9.5</t>
  </si>
  <si>
    <t>9.6</t>
  </si>
  <si>
    <t>9.7</t>
  </si>
  <si>
    <t>10.1</t>
  </si>
  <si>
    <t>10.2</t>
  </si>
  <si>
    <t>10.3</t>
  </si>
  <si>
    <t>10.4</t>
  </si>
  <si>
    <t>10.5</t>
  </si>
  <si>
    <t>Qualifizierte und motivierte Mitarbeiter sind nicht nur ein Produktionsfaktor, sondern ein wesentlicher Erfolgsfaktor für eine langfristige Unternehmensentwicklung.</t>
  </si>
  <si>
    <t>Werden die Mitarbeiter in die Strategieentwicklung einbezogen?</t>
  </si>
  <si>
    <t>Wird das Unternehmensleitbild von den Mitarbeitern getragen?</t>
  </si>
  <si>
    <t>Ist die Unternehmensleitung mit Qualifikation, Motivation und Leistung der Mitarbeiter zufrieden?</t>
  </si>
  <si>
    <t>Sind die Mitarbeiter mit ihren Führungskräften zufrieden?</t>
  </si>
  <si>
    <t>Sind gute Entwicklungsmöglichkeiten für die Mitarbeiter im Unternehmen vorhanden?</t>
  </si>
  <si>
    <t>Können die Mitarbeiter durch die Entwicklungsmöglichkeiten langfristig an das Unternehmen gebunden werden?</t>
  </si>
  <si>
    <t>Sind Fortbildungsmöglichkeiten für die Mitarbeiter vorhanden?</t>
  </si>
  <si>
    <t>Werden die Fortbildungsmöglichkeiten von den Mitarbeitern positiv beurteilt?</t>
  </si>
  <si>
    <t>Sind die Mitarbeiter mit dem Betriebsklima zufrieden?</t>
  </si>
  <si>
    <t>Wird regelmäßig die Mitarbeiterfluktuation ermittelt?</t>
  </si>
  <si>
    <t>Werden Mitarbeiter in die Verbesserung von Arbeitsabläufen einbezogen?</t>
  </si>
  <si>
    <t>Werden Mitarbeiter über Veränderungen im Unternehmen, in den Arbeitsabläufen etc. rechtzeitig informiert?</t>
  </si>
  <si>
    <t>Verhaltensvorschriften, Grenzen, Verbote,</t>
  </si>
  <si>
    <t>Anweisungen zur Leistung</t>
  </si>
  <si>
    <t>Eine wesentliche Voraussetzung für eine Informationsversorgung, die dem Management zur Entscheidungsunterstützung dient, ist eine wirksame Aufbau- und Ablauforganisation.</t>
  </si>
  <si>
    <t>Werden die Entscheidungsträger zeitnah und mit den richtigen Information zu den jeweiligen Entscheidungssituationen versorgt?</t>
  </si>
  <si>
    <t>Ist der Informationsfluss zwischen den Organisationseinheiten und Hierarchieebenen geregelt und dokumentiert?</t>
  </si>
  <si>
    <t>Erfolgt eine Verdichtung der Informationen über die Hierarchieebenen hinweg (Berichtspyramide)?</t>
  </si>
  <si>
    <t>Können bei Bedarf Informationen ad hoc aufbereitet werden?</t>
  </si>
  <si>
    <t>Ist sichergestellt, dass der Unternehmensleiter seinen Organisationspflichten gemäß GmbHG, AktG etc. nachkommt?</t>
  </si>
  <si>
    <t>Sind Aufgaben, Kompetenz und Verantwortung (AKV-Prinzip) klar definiert und zugeordnet?</t>
  </si>
  <si>
    <t>Liegen klar definierte Stellenbeschreibungen vor?</t>
  </si>
  <si>
    <t>Existieren Vertretungsregelungen?</t>
  </si>
  <si>
    <t>Sind die Arbeitsabläufe dokumentiert?</t>
  </si>
  <si>
    <t>Existiert eine einheitliche Dokumentationsordnung?</t>
  </si>
  <si>
    <t>Ist ein Projektmanagement im Unternehmen etabliert?</t>
  </si>
  <si>
    <t>Stärken-Schwächen-Analyse Diagramme</t>
  </si>
  <si>
    <t>Kulturelle Herkunft und Schichtzugehörigkeit</t>
  </si>
  <si>
    <t>Chancen</t>
  </si>
  <si>
    <t>Gefahren</t>
  </si>
  <si>
    <t>Unrentable Operationen in Südeuropa schließen</t>
  </si>
  <si>
    <t>S</t>
  </si>
  <si>
    <t>O</t>
  </si>
  <si>
    <t>Aktive Zeile:</t>
  </si>
  <si>
    <t>Aktive Spalte:</t>
  </si>
  <si>
    <t>Stärke SO:</t>
  </si>
  <si>
    <t>Chance SO:</t>
  </si>
  <si>
    <t>Stärke ST:</t>
  </si>
  <si>
    <t>Gefahr ST:</t>
  </si>
  <si>
    <t>Schwäche WO:</t>
  </si>
  <si>
    <t>Chance WO:</t>
  </si>
  <si>
    <t>Schwäche WT:</t>
  </si>
  <si>
    <t>Gefahr WT:</t>
  </si>
  <si>
    <t>T</t>
  </si>
  <si>
    <t>W</t>
  </si>
  <si>
    <t>Leitfragen StrategiePlanung</t>
  </si>
  <si>
    <t>Leitfragen Besch_Prod_Tech</t>
  </si>
  <si>
    <t>Leitfragen Finanzsicht</t>
  </si>
  <si>
    <t>Leitfragen OrgInformation</t>
  </si>
  <si>
    <t>Leitfragen PersonalFührung</t>
  </si>
  <si>
    <t>Leitfragen Unternehmenskultur</t>
  </si>
  <si>
    <t>Tabellenblatt</t>
  </si>
  <si>
    <t>Leitfragen MarktKunden</t>
  </si>
  <si>
    <t>Ist bekannt, was das "Geschäft" des Unternehmens heute und in fünf Jahren ist?</t>
  </si>
  <si>
    <t>Reagiert das Unternehmen auf die Änderung von Kundenbedürfnissen zügig?</t>
  </si>
  <si>
    <t>Analyse der Zusammensetzung der Kundenstruktur</t>
  </si>
  <si>
    <t>Werden regelmäßig ABC-Analysen durchgeführt, die sich auf die 20-80-Regel stützen:
  mit 20% der Kunden werden 80% des Umsatzes erreicht (A-Kunden),
  mit weiteren 50% der Kunden werden zusätzliche 15% des Umsatzes erreicht (B-Kunden),
  mit weiteren 30% der Kunden werden zusätzliche 5% des Umsatzes erreicht (C-Kunden)</t>
  </si>
  <si>
    <t>Bietet das Unternehmen dem Kunden mit seinem Produkt/seiner Dienstleistung 
Vorteile gegenüber der Konkurrenz? Wenn ja, welche?</t>
  </si>
  <si>
    <t>Werden Maßnahmen zur Schaffung bzw. Erhaltung der Kundentreue ergriffen? Wenn ja, welche?</t>
  </si>
  <si>
    <t>Existiert unter den Wettbewerbern kein Unternehmen, 
das die gleiche Leistung zu einem niedrigeren Preis anbietet?</t>
  </si>
  <si>
    <t>Werden nur solche Teile eigengefertigt, die nicht fremdbezogen werden könnten?</t>
  </si>
  <si>
    <t>Erfolgt regelmäßig eine Analyse der Erlösstruktur, d.h. wird ermittelt, mit welchen Marktleistungen und Zielgruppen das Unternehmen positive Deckungsbeiträge erzielt und mit welchen nicht?</t>
  </si>
  <si>
    <t>den Kennzahlen von Konkurrente?</t>
  </si>
  <si>
    <t>Finanz- und Liquiditätsplanung</t>
  </si>
  <si>
    <t>Ertrags- und Aufwandsplanung</t>
  </si>
  <si>
    <t>Erlös- und Kostenplanung</t>
  </si>
  <si>
    <t>Investitionsplanung</t>
  </si>
  <si>
    <t>Personalplanung</t>
  </si>
  <si>
    <t>Beschaffungs- , Lagerplanung und Produktionsplanung</t>
  </si>
  <si>
    <t>Budgetierung</t>
  </si>
  <si>
    <t>Soll-Ist-Vergleich</t>
  </si>
  <si>
    <t>Abweichungsanalysen</t>
  </si>
  <si>
    <t>Deckungsbeitragsrechnung</t>
  </si>
  <si>
    <t>Ist sichergestellt, dass nur die tatsächlich benötigten Informationen den Entscheidungsträgern zur Kenntnis gelangen und kein "information overload" herrscht?</t>
  </si>
  <si>
    <t>Ist die Fluktuationsquote gleich hoch oder niedriger als der Branchendurchschnitt bzw. bei Konkurrenten?</t>
  </si>
  <si>
    <t>Ziel ist es, diejenigen Aspekte der Unternehmenskultur zu ermitteln, die für den Erfolg oder Misserfolg der bisherigen Unternehmensstrategie verantwortlich sind. Ggf. ergeben sich hieraus Anpassungsbedarfe der bisherigen Unternehmenskultur oder -strategie. Die Unternehmenskultur wird in der Praxis anhand von Fragebögen, Interviewleitfäden, Checklisten, Betriebsbeobachtungen etc. analysiert, die das Vorhandensein von Kulturelementen erfragen wie ...</t>
  </si>
  <si>
    <t>Leitvorstellungen und Leitgedanken</t>
  </si>
  <si>
    <t>Konventionen (z.B. "so ist es bei uns" und "so muss es sein"),</t>
  </si>
  <si>
    <t>lehrsatzartiges Wissen</t>
  </si>
  <si>
    <t>Handlungsrezepte, Wegweiser</t>
  </si>
  <si>
    <t>Kriterien für die Zuerkennung von Belohnungen</t>
  </si>
  <si>
    <t>Kriterien für die Auswahl, Beförderung und Entlassung von Mitarbeitern</t>
  </si>
  <si>
    <t>Verhaltensweisen von Vorgesetzten</t>
  </si>
  <si>
    <t xml:space="preserve"> Achten Unternehmensleitung und Führungskräfte bewusst darauf, ihre Mitarbeiter 
nicht zu überlasten?</t>
  </si>
  <si>
    <t xml:space="preserve"> Ist das Unternehmen frei von einem ungewöhnlichen Druck der Massenfertigung und frei von Preisdruck? (Ein solcher Druck kann z.B. aufgrund hoher Investitionen in die Produktionskapazität entstehen.)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</si>
</sst>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;\-0;&quot;&quot;"/>
    <numFmt numFmtId="165" formatCode="0&quot; %&quot;"/>
    <numFmt numFmtId="166" formatCode="0.0%"/>
  </numFmts>
  <fonts count="1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Tahoma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4"/>
      <name val="Arial"/>
      <family val="2"/>
    </font>
    <font>
      <i/>
      <sz val="12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4"/>
      <name val="Arial"/>
      <family val="2"/>
    </font>
    <font>
      <b/>
      <sz val="10"/>
      <color rgb="FF3333CC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CFC64"/>
        <bgColor indexed="64"/>
      </patternFill>
    </fill>
    <fill>
      <patternFill patternType="solid">
        <fgColor rgb="FF82EEA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center"/>
    </xf>
    <xf numFmtId="0" fontId="7" fillId="0" borderId="0" xfId="0" applyFont="1"/>
    <xf numFmtId="0" fontId="0" fillId="0" borderId="0" xfId="0" applyFill="1" applyBorder="1"/>
    <xf numFmtId="164" fontId="0" fillId="0" borderId="0" xfId="0" applyNumberFormat="1" applyFill="1"/>
    <xf numFmtId="0" fontId="2" fillId="2" borderId="0" xfId="0" applyFont="1" applyFill="1"/>
    <xf numFmtId="0" fontId="8" fillId="3" borderId="0" xfId="0" applyFont="1" applyFill="1"/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Alignment="1">
      <alignment horizontal="left"/>
    </xf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/>
    </xf>
    <xf numFmtId="0" fontId="9" fillId="0" borderId="0" xfId="0" applyFont="1"/>
    <xf numFmtId="0" fontId="0" fillId="0" borderId="0" xfId="0" applyNumberFormat="1"/>
    <xf numFmtId="9" fontId="0" fillId="0" borderId="0" xfId="2" applyFont="1"/>
    <xf numFmtId="0" fontId="2" fillId="0" borderId="0" xfId="0" applyFont="1" applyAlignment="1">
      <alignment wrapText="1"/>
    </xf>
    <xf numFmtId="0" fontId="3" fillId="0" borderId="0" xfId="1" applyFont="1" applyAlignment="1" applyProtection="1"/>
    <xf numFmtId="9" fontId="1" fillId="0" borderId="0" xfId="2"/>
    <xf numFmtId="0" fontId="1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right" vertical="top"/>
    </xf>
    <xf numFmtId="0" fontId="0" fillId="0" borderId="0" xfId="0" quotePrefix="1" applyAlignment="1">
      <alignment horizontal="right" vertical="top"/>
    </xf>
    <xf numFmtId="165" fontId="0" fillId="0" borderId="0" xfId="0" applyNumberForma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1"/>
    </xf>
    <xf numFmtId="0" fontId="10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0" xfId="0" applyNumberFormat="1" applyAlignment="1">
      <alignment horizontal="center"/>
    </xf>
    <xf numFmtId="0" fontId="2" fillId="0" borderId="2" xfId="0" applyFont="1" applyBorder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2" fillId="9" borderId="0" xfId="0" applyFont="1" applyFill="1"/>
    <xf numFmtId="0" fontId="2" fillId="10" borderId="4" xfId="0" applyFont="1" applyFill="1" applyBorder="1"/>
    <xf numFmtId="0" fontId="13" fillId="6" borderId="4" xfId="0" applyFont="1" applyFill="1" applyBorder="1"/>
    <xf numFmtId="0" fontId="13" fillId="6" borderId="4" xfId="0" applyFont="1" applyFill="1" applyBorder="1" applyAlignment="1">
      <alignment wrapText="1"/>
    </xf>
    <xf numFmtId="0" fontId="2" fillId="9" borderId="4" xfId="0" applyFont="1" applyFill="1" applyBorder="1"/>
    <xf numFmtId="0" fontId="2" fillId="10" borderId="0" xfId="0" applyFont="1" applyFill="1"/>
    <xf numFmtId="0" fontId="2" fillId="7" borderId="0" xfId="0" applyFont="1" applyFill="1"/>
    <xf numFmtId="0" fontId="2" fillId="11" borderId="0" xfId="0" applyFont="1" applyFill="1"/>
    <xf numFmtId="0" fontId="2" fillId="11" borderId="4" xfId="0" applyFont="1" applyFill="1" applyBorder="1"/>
    <xf numFmtId="0" fontId="2" fillId="12" borderId="0" xfId="0" applyFont="1" applyFill="1"/>
    <xf numFmtId="0" fontId="2" fillId="12" borderId="2" xfId="0" applyFont="1" applyFill="1" applyBorder="1"/>
    <xf numFmtId="0" fontId="2" fillId="12" borderId="1" xfId="0" applyFont="1" applyFill="1" applyBorder="1"/>
    <xf numFmtId="0" fontId="2" fillId="12" borderId="3" xfId="0" applyFont="1" applyFill="1" applyBorder="1"/>
    <xf numFmtId="0" fontId="0" fillId="0" borderId="0" xfId="0" applyFill="1" applyAlignment="1">
      <alignment wrapText="1"/>
    </xf>
    <xf numFmtId="0" fontId="5" fillId="0" borderId="0" xfId="0" applyFont="1" applyFill="1"/>
    <xf numFmtId="0" fontId="2" fillId="7" borderId="2" xfId="0" applyFont="1" applyFill="1" applyBorder="1"/>
    <xf numFmtId="0" fontId="2" fillId="7" borderId="3" xfId="0" applyFont="1" applyFill="1" applyBorder="1"/>
    <xf numFmtId="0" fontId="0" fillId="0" borderId="4" xfId="0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/>
    <xf numFmtId="164" fontId="0" fillId="0" borderId="7" xfId="0" applyNumberFormat="1" applyFill="1" applyBorder="1" applyAlignment="1">
      <alignment horizontal="left" vertical="top" wrapText="1"/>
    </xf>
    <xf numFmtId="164" fontId="0" fillId="0" borderId="8" xfId="0" applyNumberFormat="1" applyFill="1" applyBorder="1" applyAlignment="1">
      <alignment horizontal="left" vertical="top" wrapText="1"/>
    </xf>
    <xf numFmtId="164" fontId="0" fillId="0" borderId="9" xfId="0" applyNumberFormat="1" applyFill="1" applyBorder="1" applyAlignment="1">
      <alignment horizontal="left" vertical="top" wrapText="1"/>
    </xf>
    <xf numFmtId="164" fontId="0" fillId="0" borderId="7" xfId="0" applyNumberFormat="1" applyFill="1" applyBorder="1" applyAlignment="1">
      <alignment horizontal="left" vertical="top"/>
    </xf>
    <xf numFmtId="164" fontId="0" fillId="0" borderId="8" xfId="0" applyNumberFormat="1" applyFill="1" applyBorder="1" applyAlignment="1">
      <alignment horizontal="left" vertical="top"/>
    </xf>
    <xf numFmtId="164" fontId="0" fillId="0" borderId="8" xfId="0" applyNumberFormat="1" applyBorder="1" applyAlignment="1">
      <alignment horizontal="left" vertical="top" wrapText="1"/>
    </xf>
    <xf numFmtId="164" fontId="0" fillId="0" borderId="9" xfId="0" applyNumberFormat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164" fontId="0" fillId="0" borderId="7" xfId="0" applyNumberFormat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center" vertical="center" wrapText="1"/>
    </xf>
    <xf numFmtId="0" fontId="14" fillId="13" borderId="4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0" fillId="0" borderId="0" xfId="0" applyNumberFormat="1" applyAlignment="1">
      <alignment horizontal="center" vertical="top"/>
    </xf>
    <xf numFmtId="0" fontId="0" fillId="0" borderId="0" xfId="0" applyNumberFormat="1" applyFill="1" applyBorder="1" applyAlignment="1">
      <alignment horizontal="center" vertical="center"/>
    </xf>
    <xf numFmtId="0" fontId="14" fillId="14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2" fillId="0" borderId="0" xfId="0" applyFont="1" applyFill="1" applyBorder="1" applyAlignment="1">
      <alignment vertical="top"/>
    </xf>
    <xf numFmtId="0" fontId="3" fillId="0" borderId="0" xfId="1" applyAlignment="1" applyProtection="1">
      <alignment horizontal="left"/>
    </xf>
    <xf numFmtId="166" fontId="0" fillId="0" borderId="0" xfId="2" applyNumberFormat="1" applyFont="1"/>
    <xf numFmtId="0" fontId="2" fillId="0" borderId="0" xfId="0" applyFont="1" applyFill="1" applyBorder="1" applyAlignment="1">
      <alignment horizontal="center" vertical="top"/>
    </xf>
    <xf numFmtId="164" fontId="2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/>
    <xf numFmtId="0" fontId="0" fillId="0" borderId="0" xfId="0" applyBorder="1" applyAlignment="1">
      <alignment horizontal="left"/>
    </xf>
    <xf numFmtId="0" fontId="0" fillId="0" borderId="0" xfId="0" applyBorder="1"/>
    <xf numFmtId="0" fontId="14" fillId="0" borderId="0" xfId="0" applyFont="1"/>
    <xf numFmtId="0" fontId="0" fillId="0" borderId="0" xfId="0" pivotButton="1" applyBorder="1"/>
    <xf numFmtId="0" fontId="0" fillId="0" borderId="0" xfId="0" applyAlignment="1"/>
    <xf numFmtId="0" fontId="15" fillId="0" borderId="0" xfId="0" applyFont="1"/>
    <xf numFmtId="0" fontId="1" fillId="0" borderId="0" xfId="0" applyFont="1" applyAlignment="1">
      <alignment vertical="top"/>
    </xf>
    <xf numFmtId="0" fontId="1" fillId="0" borderId="0" xfId="0" applyFont="1" applyFill="1" applyAlignment="1">
      <alignment vertical="top" wrapText="1"/>
    </xf>
    <xf numFmtId="0" fontId="15" fillId="0" borderId="0" xfId="0" applyFont="1" applyFill="1"/>
    <xf numFmtId="0" fontId="13" fillId="5" borderId="10" xfId="0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1" xfId="0" applyBorder="1"/>
    <xf numFmtId="0" fontId="0" fillId="8" borderId="4" xfId="0" applyFill="1" applyBorder="1" applyAlignment="1">
      <alignment horizontal="center" vertical="center"/>
    </xf>
    <xf numFmtId="0" fontId="0" fillId="0" borderId="5" xfId="0" applyNumberFormat="1" applyFill="1" applyBorder="1" applyAlignment="1">
      <alignment horizontal="center" vertical="center" wrapText="1"/>
    </xf>
    <xf numFmtId="0" fontId="0" fillId="0" borderId="6" xfId="0" applyNumberFormat="1" applyFill="1" applyBorder="1" applyAlignment="1">
      <alignment horizontal="center" vertical="center" wrapText="1"/>
    </xf>
    <xf numFmtId="0" fontId="0" fillId="0" borderId="12" xfId="0" applyNumberFormat="1" applyBorder="1" applyAlignment="1">
      <alignment horizontal="center" vertical="top" wrapText="1"/>
    </xf>
    <xf numFmtId="0" fontId="0" fillId="0" borderId="13" xfId="0" applyNumberFormat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top" wrapText="1"/>
    </xf>
    <xf numFmtId="0" fontId="0" fillId="0" borderId="6" xfId="0" applyNumberFormat="1" applyBorder="1" applyAlignment="1">
      <alignment horizontal="center" vertical="top" wrapText="1"/>
    </xf>
    <xf numFmtId="0" fontId="0" fillId="0" borderId="10" xfId="0" applyNumberFormat="1" applyBorder="1" applyAlignment="1">
      <alignment horizontal="center" vertical="top" wrapText="1"/>
    </xf>
    <xf numFmtId="0" fontId="0" fillId="0" borderId="11" xfId="0" applyNumberFormat="1" applyBorder="1" applyAlignment="1">
      <alignment horizontal="center" vertical="top" wrapText="1"/>
    </xf>
    <xf numFmtId="0" fontId="7" fillId="0" borderId="0" xfId="0" applyFont="1" applyAlignment="1">
      <alignment horizontal="left" vertical="center" wrapText="1" indent="1"/>
    </xf>
    <xf numFmtId="0" fontId="0" fillId="0" borderId="10" xfId="0" applyNumberFormat="1" applyFill="1" applyBorder="1" applyAlignment="1">
      <alignment horizontal="center" vertical="top" wrapText="1"/>
    </xf>
    <xf numFmtId="0" fontId="0" fillId="0" borderId="11" xfId="0" applyNumberFormat="1" applyFill="1" applyBorder="1" applyAlignment="1">
      <alignment horizontal="center" vertical="top" wrapText="1"/>
    </xf>
    <xf numFmtId="0" fontId="0" fillId="0" borderId="5" xfId="0" applyNumberFormat="1" applyFill="1" applyBorder="1" applyAlignment="1">
      <alignment horizontal="center" vertical="top" wrapText="1"/>
    </xf>
    <xf numFmtId="0" fontId="0" fillId="0" borderId="6" xfId="0" applyNumberFormat="1" applyFill="1" applyBorder="1" applyAlignment="1">
      <alignment horizontal="center" vertical="top" wrapText="1"/>
    </xf>
  </cellXfs>
  <cellStyles count="3">
    <cellStyle name="Hyperlink" xfId="1" builtinId="8"/>
    <cellStyle name="Prozent" xfId="2" builtinId="5"/>
    <cellStyle name="Standard" xfId="0" builtinId="0"/>
  </cellStyles>
  <dxfs count="39"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 patternType="solid">
          <bgColor indexed="11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ill>
        <patternFill>
          <bgColor indexed="10"/>
        </patternFill>
      </fill>
    </dxf>
    <dxf>
      <fill>
        <patternFill patternType="solid">
          <bgColor indexed="11"/>
        </patternFill>
      </fill>
    </dxf>
    <dxf>
      <border>
        <left/>
        <right/>
        <top/>
        <bottom/>
      </border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ndense val="0"/>
        <extend val="0"/>
        <color indexed="57"/>
      </font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57"/>
      </font>
    </dxf>
    <dxf>
      <font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colors>
    <mruColors>
      <color rgb="FF3333CC"/>
      <color rgb="FFFCFC64"/>
      <color rgb="FF82EE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>
        <c:manualLayout>
          <c:layoutTarget val="inner"/>
          <c:xMode val="edge"/>
          <c:yMode val="edge"/>
          <c:x val="0.46396974907779781"/>
          <c:y val="4.8543842738176045E-2"/>
          <c:w val="0.49479154109445572"/>
          <c:h val="0.72895322084537961"/>
        </c:manualLayout>
      </c:layout>
      <c:barChart>
        <c:barDir val="bar"/>
        <c:grouping val="clustered"/>
        <c:varyColors val="0"/>
        <c:ser>
          <c:idx val="0"/>
          <c:order val="0"/>
          <c:tx>
            <c:v>Eigenes Unternehmen</c:v>
          </c:tx>
          <c:invertIfNegative val="0"/>
          <c:dLbls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StärkenSchwächen!$B$6:$B$12</c:f>
              <c:strCache>
                <c:ptCount val="7"/>
                <c:pt idx="0">
                  <c:v>Strategie- und Planungssicht</c:v>
                </c:pt>
                <c:pt idx="1">
                  <c:v>Markt- und Kundensicht</c:v>
                </c:pt>
                <c:pt idx="2">
                  <c:v>Beschaffungs-, Produktions- und Technologiesicht</c:v>
                </c:pt>
                <c:pt idx="3">
                  <c:v>Finanzsicht</c:v>
                </c:pt>
                <c:pt idx="4">
                  <c:v>Organisations- und Informationssicht</c:v>
                </c:pt>
                <c:pt idx="5">
                  <c:v>Personal- und Führungssicht</c:v>
                </c:pt>
                <c:pt idx="6">
                  <c:v>Unternehmenskultur</c:v>
                </c:pt>
              </c:strCache>
            </c:strRef>
          </c:cat>
          <c:val>
            <c:numRef>
              <c:f>StärkenSchwächen!$H$6:$H$12</c:f>
              <c:numCache>
                <c:formatCode>General</c:formatCode>
                <c:ptCount val="7"/>
                <c:pt idx="0">
                  <c:v>-2</c:v>
                </c:pt>
                <c:pt idx="1">
                  <c:v>-6</c:v>
                </c:pt>
                <c:pt idx="2">
                  <c:v>8</c:v>
                </c:pt>
                <c:pt idx="3">
                  <c:v>12</c:v>
                </c:pt>
                <c:pt idx="4">
                  <c:v>-6</c:v>
                </c:pt>
                <c:pt idx="5">
                  <c:v>9</c:v>
                </c:pt>
                <c:pt idx="6">
                  <c:v>4</c:v>
                </c:pt>
              </c:numCache>
            </c:numRef>
          </c:val>
        </c:ser>
        <c:ser>
          <c:idx val="1"/>
          <c:order val="1"/>
          <c:tx>
            <c:v>Mitbewerber</c:v>
          </c:tx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StärkenSchwächen!$B$6:$B$12</c:f>
              <c:strCache>
                <c:ptCount val="7"/>
                <c:pt idx="0">
                  <c:v>Strategie- und Planungssicht</c:v>
                </c:pt>
                <c:pt idx="1">
                  <c:v>Markt- und Kundensicht</c:v>
                </c:pt>
                <c:pt idx="2">
                  <c:v>Beschaffungs-, Produktions- und Technologiesicht</c:v>
                </c:pt>
                <c:pt idx="3">
                  <c:v>Finanzsicht</c:v>
                </c:pt>
                <c:pt idx="4">
                  <c:v>Organisations- und Informationssicht</c:v>
                </c:pt>
                <c:pt idx="5">
                  <c:v>Personal- und Führungssicht</c:v>
                </c:pt>
                <c:pt idx="6">
                  <c:v>Unternehmenskultur</c:v>
                </c:pt>
              </c:strCache>
            </c:strRef>
          </c:cat>
          <c:val>
            <c:numRef>
              <c:f>StärkenSchwächen!$H$19:$H$25</c:f>
              <c:numCache>
                <c:formatCode>General</c:formatCode>
                <c:ptCount val="7"/>
                <c:pt idx="0">
                  <c:v>-3</c:v>
                </c:pt>
                <c:pt idx="1">
                  <c:v>-4</c:v>
                </c:pt>
                <c:pt idx="2">
                  <c:v>12</c:v>
                </c:pt>
                <c:pt idx="3">
                  <c:v>-4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6234752"/>
        <c:axId val="146244736"/>
      </c:barChart>
      <c:catAx>
        <c:axId val="1462347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 sz="1050"/>
            </a:pPr>
            <a:endParaRPr lang="de-DE"/>
          </a:p>
        </c:txPr>
        <c:crossAx val="1462447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6244736"/>
        <c:scaling>
          <c:orientation val="minMax"/>
          <c:max val="15"/>
          <c:min val="-3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Bewertung</a:t>
                </a:r>
              </a:p>
            </c:rich>
          </c:tx>
          <c:layout>
            <c:manualLayout>
              <c:xMode val="edge"/>
              <c:yMode val="edge"/>
              <c:x val="0.48982086370596617"/>
              <c:y val="0.79512355128330481"/>
            </c:manualLayout>
          </c:layout>
          <c:overlay val="0"/>
        </c:title>
        <c:numFmt formatCode="General" sourceLinked="1"/>
        <c:majorTickMark val="out"/>
        <c:minorTickMark val="none"/>
        <c:tickLblPos val="none"/>
        <c:crossAx val="146234752"/>
        <c:crosses val="autoZero"/>
        <c:crossBetween val="between"/>
        <c:majorUnit val="1"/>
      </c:valAx>
    </c:plotArea>
    <c:legend>
      <c:legendPos val="r"/>
      <c:layout>
        <c:manualLayout>
          <c:xMode val="edge"/>
          <c:yMode val="edge"/>
          <c:x val="0.31089718955029932"/>
          <c:y val="0.85928721348252612"/>
          <c:w val="0.4763096308553193"/>
          <c:h val="8.7352591238377381E-2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 alignWithMargins="0"/>
    <c:pageMargins b="0.98425196899999956" l="0.78740157499999996" r="0.78740157499999996" t="0.98425196899999956" header="0.49212598450000072" footer="0.4921259845000007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v>Eigenes Unternehmen</c:v>
          </c:tx>
          <c:marker>
            <c:symbol val="none"/>
          </c:marker>
          <c:cat>
            <c:strRef>
              <c:f>StärkenSchwächen!$B$6:$B$12</c:f>
              <c:strCache>
                <c:ptCount val="7"/>
                <c:pt idx="0">
                  <c:v>Strategie- und Planungssicht</c:v>
                </c:pt>
                <c:pt idx="1">
                  <c:v>Markt- und Kundensicht</c:v>
                </c:pt>
                <c:pt idx="2">
                  <c:v>Beschaffungs-, Produktions- und Technologiesicht</c:v>
                </c:pt>
                <c:pt idx="3">
                  <c:v>Finanzsicht</c:v>
                </c:pt>
                <c:pt idx="4">
                  <c:v>Organisations- und Informationssicht</c:v>
                </c:pt>
                <c:pt idx="5">
                  <c:v>Personal- und Führungssicht</c:v>
                </c:pt>
                <c:pt idx="6">
                  <c:v>Unternehmenskultur</c:v>
                </c:pt>
              </c:strCache>
            </c:strRef>
          </c:cat>
          <c:val>
            <c:numRef>
              <c:f>StärkenSchwächen!$H$6:$H$12</c:f>
              <c:numCache>
                <c:formatCode>General</c:formatCode>
                <c:ptCount val="7"/>
                <c:pt idx="0">
                  <c:v>-2</c:v>
                </c:pt>
                <c:pt idx="1">
                  <c:v>-6</c:v>
                </c:pt>
                <c:pt idx="2">
                  <c:v>8</c:v>
                </c:pt>
                <c:pt idx="3">
                  <c:v>12</c:v>
                </c:pt>
                <c:pt idx="4">
                  <c:v>-6</c:v>
                </c:pt>
                <c:pt idx="5">
                  <c:v>9</c:v>
                </c:pt>
                <c:pt idx="6">
                  <c:v>4</c:v>
                </c:pt>
              </c:numCache>
            </c:numRef>
          </c:val>
        </c:ser>
        <c:ser>
          <c:idx val="1"/>
          <c:order val="1"/>
          <c:tx>
            <c:v>Mitbewerber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StärkenSchwächen!$B$6:$B$12</c:f>
              <c:strCache>
                <c:ptCount val="7"/>
                <c:pt idx="0">
                  <c:v>Strategie- und Planungssicht</c:v>
                </c:pt>
                <c:pt idx="1">
                  <c:v>Markt- und Kundensicht</c:v>
                </c:pt>
                <c:pt idx="2">
                  <c:v>Beschaffungs-, Produktions- und Technologiesicht</c:v>
                </c:pt>
                <c:pt idx="3">
                  <c:v>Finanzsicht</c:v>
                </c:pt>
                <c:pt idx="4">
                  <c:v>Organisations- und Informationssicht</c:v>
                </c:pt>
                <c:pt idx="5">
                  <c:v>Personal- und Führungssicht</c:v>
                </c:pt>
                <c:pt idx="6">
                  <c:v>Unternehmenskultur</c:v>
                </c:pt>
              </c:strCache>
            </c:strRef>
          </c:cat>
          <c:val>
            <c:numRef>
              <c:f>StärkenSchwächen!$H$19:$H$25</c:f>
              <c:numCache>
                <c:formatCode>General</c:formatCode>
                <c:ptCount val="7"/>
                <c:pt idx="0">
                  <c:v>-3</c:v>
                </c:pt>
                <c:pt idx="1">
                  <c:v>-4</c:v>
                </c:pt>
                <c:pt idx="2">
                  <c:v>12</c:v>
                </c:pt>
                <c:pt idx="3">
                  <c:v>-4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6553472"/>
        <c:axId val="146563456"/>
      </c:radarChart>
      <c:catAx>
        <c:axId val="14655347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50" b="0"/>
            </a:pPr>
            <a:endParaRPr lang="de-DE"/>
          </a:p>
        </c:txPr>
        <c:crossAx val="146563456"/>
        <c:crosses val="autoZero"/>
        <c:auto val="0"/>
        <c:lblAlgn val="ctr"/>
        <c:lblOffset val="100"/>
        <c:noMultiLvlLbl val="0"/>
      </c:catAx>
      <c:valAx>
        <c:axId val="146563456"/>
        <c:scaling>
          <c:orientation val="minMax"/>
          <c:max val="15"/>
        </c:scaling>
        <c:delete val="0"/>
        <c:axPos val="l"/>
        <c:majorGridlines/>
        <c:min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de-DE"/>
          </a:p>
        </c:txPr>
        <c:crossAx val="1465534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1964595181855878"/>
          <c:y val="0.86483078617053144"/>
          <c:w val="0.58085604643751587"/>
          <c:h val="5.4216841870672633E-2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checked="Checked" firstButton="1" fmlaLink="$F$4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GBox" noThreeD="1"/>
</file>

<file path=xl/ctrlProps/ctrlProp5.xml><?xml version="1.0" encoding="utf-8"?>
<formControlPr xmlns="http://schemas.microsoft.com/office/spreadsheetml/2009/9/main" objectType="Radio" checked="Checked" firstButton="1" fmlaLink="$F$5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GBox" noThreeD="1"/>
</file>

<file path=xl/ctrlProps/ctrlProp8.xml><?xml version="1.0" encoding="utf-8"?>
<formControlPr xmlns="http://schemas.microsoft.com/office/spreadsheetml/2009/9/main" objectType="Radio" checked="Checked" firstButton="1" fmlaLink="$F$6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GBox" noThreeD="1"/>
</file>

<file path=xl/ctrlProps/ctrlProp11.xml><?xml version="1.0" encoding="utf-8"?>
<formControlPr xmlns="http://schemas.microsoft.com/office/spreadsheetml/2009/9/main" objectType="Radio" firstButton="1" fmlaLink="$F$7" lockText="1" noThreeD="1"/>
</file>

<file path=xl/ctrlProps/ctrlProp12.xml><?xml version="1.0" encoding="utf-8"?>
<formControlPr xmlns="http://schemas.microsoft.com/office/spreadsheetml/2009/9/main" objectType="Radio" checked="Checked" lockText="1" noThreeD="1"/>
</file>

<file path=xl/ctrlProps/ctrlProp13.xml><?xml version="1.0" encoding="utf-8"?>
<formControlPr xmlns="http://schemas.microsoft.com/office/spreadsheetml/2009/9/main" objectType="GBox" noThreeD="1"/>
</file>

<file path=xl/ctrlProps/ctrlProp14.xml><?xml version="1.0" encoding="utf-8"?>
<formControlPr xmlns="http://schemas.microsoft.com/office/spreadsheetml/2009/9/main" objectType="Radio" firstButton="1" fmlaLink="$F$8" lockText="1" noThreeD="1"/>
</file>

<file path=xl/ctrlProps/ctrlProp15.xml><?xml version="1.0" encoding="utf-8"?>
<formControlPr xmlns="http://schemas.microsoft.com/office/spreadsheetml/2009/9/main" objectType="Radio" checked="Checked" lockText="1" noThreeD="1"/>
</file>

<file path=xl/ctrlProps/ctrlProp16.xml><?xml version="1.0" encoding="utf-8"?>
<formControlPr xmlns="http://schemas.microsoft.com/office/spreadsheetml/2009/9/main" objectType="GBox" noThreeD="1"/>
</file>

<file path=xl/ctrlProps/ctrlProp17.xml><?xml version="1.0" encoding="utf-8"?>
<formControlPr xmlns="http://schemas.microsoft.com/office/spreadsheetml/2009/9/main" objectType="Radio" firstButton="1" fmlaLink="$F$9" lockText="1" noThreeD="1"/>
</file>

<file path=xl/ctrlProps/ctrlProp18.xml><?xml version="1.0" encoding="utf-8"?>
<formControlPr xmlns="http://schemas.microsoft.com/office/spreadsheetml/2009/9/main" objectType="Radio" checked="Checked" lockText="1" noThreeD="1"/>
</file>

<file path=xl/ctrlProps/ctrlProp19.xml><?xml version="1.0" encoding="utf-8"?>
<formControlPr xmlns="http://schemas.microsoft.com/office/spreadsheetml/2009/9/main" objectType="GBox" noThreeD="1"/>
</file>

<file path=xl/ctrlProps/ctrlProp20.xml><?xml version="1.0" encoding="utf-8"?>
<formControlPr xmlns="http://schemas.microsoft.com/office/spreadsheetml/2009/9/main" objectType="Radio" firstButton="1" fmlaLink="$G$10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GBox" noThreeD="1"/>
</file>

<file path=xl/ctrlProps/ctrlProp23.xml><?xml version="1.0" encoding="utf-8"?>
<formControlPr xmlns="http://schemas.microsoft.com/office/spreadsheetml/2009/9/main" objectType="Radio" firstButton="1" fmlaLink="$G$11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GBox" noThreeD="1"/>
</file>

<file path=xl/ctrlProps/ctrlProp26.xml><?xml version="1.0" encoding="utf-8"?>
<formControlPr xmlns="http://schemas.microsoft.com/office/spreadsheetml/2009/9/main" objectType="Radio" firstButton="1" fmlaLink="$G$12" lockText="1" noThreeD="1"/>
</file>

<file path=xl/ctrlProps/ctrlProp27.xml><?xml version="1.0" encoding="utf-8"?>
<formControlPr xmlns="http://schemas.microsoft.com/office/spreadsheetml/2009/9/main" objectType="Radio" lockText="1" noThreeD="1"/>
</file>

<file path=xl/ctrlProps/ctrlProp28.xml><?xml version="1.0" encoding="utf-8"?>
<formControlPr xmlns="http://schemas.microsoft.com/office/spreadsheetml/2009/9/main" objectType="GBox" noThreeD="1"/>
</file>

<file path=xl/ctrlProps/ctrlProp29.xml><?xml version="1.0" encoding="utf-8"?>
<formControlPr xmlns="http://schemas.microsoft.com/office/spreadsheetml/2009/9/main" objectType="Radio" firstButton="1" fmlaLink="$G$13" lockText="1" noThreeD="1"/>
</file>

<file path=xl/ctrlProps/ctrlProp30.xml><?xml version="1.0" encoding="utf-8"?>
<formControlPr xmlns="http://schemas.microsoft.com/office/spreadsheetml/2009/9/main" objectType="Radio" lockText="1" noThreeD="1"/>
</file>

<file path=xl/ctrlProps/ctrlProp31.xml><?xml version="1.0" encoding="utf-8"?>
<formControlPr xmlns="http://schemas.microsoft.com/office/spreadsheetml/2009/9/main" objectType="GBox" noThreeD="1"/>
</file>

<file path=xl/ctrlProps/ctrlProp32.xml><?xml version="1.0" encoding="utf-8"?>
<formControlPr xmlns="http://schemas.microsoft.com/office/spreadsheetml/2009/9/main" objectType="Radio" firstButton="1" fmlaLink="$E$6" lockText="1" noThreeD="1"/>
</file>

<file path=xl/ctrlProps/ctrlProp33.xml><?xml version="1.0" encoding="utf-8"?>
<formControlPr xmlns="http://schemas.microsoft.com/office/spreadsheetml/2009/9/main" objectType="Radio" checked="Checked" lockText="1" noThreeD="1"/>
</file>

<file path=xl/ctrlProps/ctrlProp34.xml><?xml version="1.0" encoding="utf-8"?>
<formControlPr xmlns="http://schemas.microsoft.com/office/spreadsheetml/2009/9/main" objectType="GBox" noThreeD="1"/>
</file>

<file path=xl/ctrlProps/ctrlProp35.xml><?xml version="1.0" encoding="utf-8"?>
<formControlPr xmlns="http://schemas.microsoft.com/office/spreadsheetml/2009/9/main" objectType="Radio" firstButton="1" fmlaLink="$E$7" lockText="1" noThreeD="1"/>
</file>

<file path=xl/ctrlProps/ctrlProp36.xml><?xml version="1.0" encoding="utf-8"?>
<formControlPr xmlns="http://schemas.microsoft.com/office/spreadsheetml/2009/9/main" objectType="Radio" checked="Checked" lockText="1" noThreeD="1"/>
</file>

<file path=xl/ctrlProps/ctrlProp37.xml><?xml version="1.0" encoding="utf-8"?>
<formControlPr xmlns="http://schemas.microsoft.com/office/spreadsheetml/2009/9/main" objectType="GBox" noThreeD="1"/>
</file>

<file path=xl/ctrlProps/ctrlProp38.xml><?xml version="1.0" encoding="utf-8"?>
<formControlPr xmlns="http://schemas.microsoft.com/office/spreadsheetml/2009/9/main" objectType="Radio" firstButton="1" fmlaLink="$E$8" lockText="1" noThreeD="1"/>
</file>

<file path=xl/ctrlProps/ctrlProp39.xml><?xml version="1.0" encoding="utf-8"?>
<formControlPr xmlns="http://schemas.microsoft.com/office/spreadsheetml/2009/9/main" objectType="Radio" checked="Checked" lockText="1" noThreeD="1"/>
</file>

<file path=xl/ctrlProps/ctrlProp40.xml><?xml version="1.0" encoding="utf-8"?>
<formControlPr xmlns="http://schemas.microsoft.com/office/spreadsheetml/2009/9/main" objectType="GBox" noThreeD="1"/>
</file>

<file path=xl/ctrlProps/ctrlProp41.xml><?xml version="1.0" encoding="utf-8"?>
<formControlPr xmlns="http://schemas.microsoft.com/office/spreadsheetml/2009/9/main" objectType="Radio" checked="Checked" firstButton="1" fmlaLink="$E$9" lockText="1" noThreeD="1"/>
</file>

<file path=xl/ctrlProps/ctrlProp42.xml><?xml version="1.0" encoding="utf-8"?>
<formControlPr xmlns="http://schemas.microsoft.com/office/spreadsheetml/2009/9/main" objectType="Radio" lockText="1" noThreeD="1"/>
</file>

<file path=xl/ctrlProps/ctrlProp43.xml><?xml version="1.0" encoding="utf-8"?>
<formControlPr xmlns="http://schemas.microsoft.com/office/spreadsheetml/2009/9/main" objectType="GBox" noThreeD="1"/>
</file>

<file path=xl/ctrlProps/ctrlProp44.xml><?xml version="1.0" encoding="utf-8"?>
<formControlPr xmlns="http://schemas.microsoft.com/office/spreadsheetml/2009/9/main" objectType="Radio" firstButton="1" fmlaLink="$E$10" lockText="1" noThreeD="1"/>
</file>

<file path=xl/ctrlProps/ctrlProp45.xml><?xml version="1.0" encoding="utf-8"?>
<formControlPr xmlns="http://schemas.microsoft.com/office/spreadsheetml/2009/9/main" objectType="Radio" checked="Checked" lockText="1" noThreeD="1"/>
</file>

<file path=xl/ctrlProps/ctrlProp46.xml><?xml version="1.0" encoding="utf-8"?>
<formControlPr xmlns="http://schemas.microsoft.com/office/spreadsheetml/2009/9/main" objectType="GBox" noThreeD="1"/>
</file>

<file path=xl/ctrlProps/ctrlProp47.xml><?xml version="1.0" encoding="utf-8"?>
<formControlPr xmlns="http://schemas.microsoft.com/office/spreadsheetml/2009/9/main" objectType="Radio" checked="Checked" firstButton="1" fmlaLink="$E$11" lockText="1" noThreeD="1"/>
</file>

<file path=xl/ctrlProps/ctrlProp48.xml><?xml version="1.0" encoding="utf-8"?>
<formControlPr xmlns="http://schemas.microsoft.com/office/spreadsheetml/2009/9/main" objectType="Radio" lockText="1" noThreeD="1"/>
</file>

<file path=xl/ctrlProps/ctrlProp49.xml><?xml version="1.0" encoding="utf-8"?>
<formControlPr xmlns="http://schemas.microsoft.com/office/spreadsheetml/2009/9/main" objectType="GBox" noThreeD="1"/>
</file>

<file path=xl/ctrlProps/ctrlProp50.xml><?xml version="1.0" encoding="utf-8"?>
<formControlPr xmlns="http://schemas.microsoft.com/office/spreadsheetml/2009/9/main" objectType="Radio" firstButton="1" fmlaLink="$E$12" lockText="1" noThreeD="1"/>
</file>

<file path=xl/ctrlProps/ctrlProp51.xml><?xml version="1.0" encoding="utf-8"?>
<formControlPr xmlns="http://schemas.microsoft.com/office/spreadsheetml/2009/9/main" objectType="Radio" checked="Checked" lockText="1" noThreeD="1"/>
</file>

<file path=xl/ctrlProps/ctrlProp52.xml><?xml version="1.0" encoding="utf-8"?>
<formControlPr xmlns="http://schemas.microsoft.com/office/spreadsheetml/2009/9/main" objectType="GBox" noThreeD="1"/>
</file>

<file path=xl/ctrlProps/ctrlProp53.xml><?xml version="1.0" encoding="utf-8"?>
<formControlPr xmlns="http://schemas.microsoft.com/office/spreadsheetml/2009/9/main" objectType="Radio" firstButton="1" fmlaLink="$E$13" lockText="1" noThreeD="1"/>
</file>

<file path=xl/ctrlProps/ctrlProp54.xml><?xml version="1.0" encoding="utf-8"?>
<formControlPr xmlns="http://schemas.microsoft.com/office/spreadsheetml/2009/9/main" objectType="Radio" checked="Checked" lockText="1" noThreeD="1"/>
</file>

<file path=xl/ctrlProps/ctrlProp55.xml><?xml version="1.0" encoding="utf-8"?>
<formControlPr xmlns="http://schemas.microsoft.com/office/spreadsheetml/2009/9/main" objectType="GBox" noThreeD="1"/>
</file>

<file path=xl/ctrlProps/ctrlProp56.xml><?xml version="1.0" encoding="utf-8"?>
<formControlPr xmlns="http://schemas.microsoft.com/office/spreadsheetml/2009/9/main" objectType="Radio" checked="Checked" firstButton="1" fmlaLink="$E$14" lockText="1" noThreeD="1"/>
</file>

<file path=xl/ctrlProps/ctrlProp57.xml><?xml version="1.0" encoding="utf-8"?>
<formControlPr xmlns="http://schemas.microsoft.com/office/spreadsheetml/2009/9/main" objectType="Radio" lockText="1" noThreeD="1"/>
</file>

<file path=xl/ctrlProps/ctrlProp58.xml><?xml version="1.0" encoding="utf-8"?>
<formControlPr xmlns="http://schemas.microsoft.com/office/spreadsheetml/2009/9/main" objectType="GBox" noThreeD="1"/>
</file>

<file path=xl/ctrlProps/ctrlProp59.xml><?xml version="1.0" encoding="utf-8"?>
<formControlPr xmlns="http://schemas.microsoft.com/office/spreadsheetml/2009/9/main" objectType="Radio" firstButton="1" fmlaLink="$E$15" lockText="1" noThreeD="1"/>
</file>

<file path=xl/ctrlProps/ctrlProp60.xml><?xml version="1.0" encoding="utf-8"?>
<formControlPr xmlns="http://schemas.microsoft.com/office/spreadsheetml/2009/9/main" objectType="Radio" checked="Checked" lockText="1" noThreeD="1"/>
</file>

<file path=xl/ctrlProps/ctrlProp61.xml><?xml version="1.0" encoding="utf-8"?>
<formControlPr xmlns="http://schemas.microsoft.com/office/spreadsheetml/2009/9/main" objectType="GBox" noThreeD="1"/>
</file>

<file path=xl/ctrlProps/ctrlProp62.xml><?xml version="1.0" encoding="utf-8"?>
<formControlPr xmlns="http://schemas.microsoft.com/office/spreadsheetml/2009/9/main" objectType="Radio" checked="Checked" firstButton="1" fmlaLink="$E$16" lockText="1" noThreeD="1"/>
</file>

<file path=xl/ctrlProps/ctrlProp63.xml><?xml version="1.0" encoding="utf-8"?>
<formControlPr xmlns="http://schemas.microsoft.com/office/spreadsheetml/2009/9/main" objectType="Radio" lockText="1" noThreeD="1"/>
</file>

<file path=xl/ctrlProps/ctrlProp64.xml><?xml version="1.0" encoding="utf-8"?>
<formControlPr xmlns="http://schemas.microsoft.com/office/spreadsheetml/2009/9/main" objectType="GBox" noThreeD="1"/>
</file>

<file path=xl/ctrlProps/ctrlProp65.xml><?xml version="1.0" encoding="utf-8"?>
<formControlPr xmlns="http://schemas.microsoft.com/office/spreadsheetml/2009/9/main" objectType="Radio" firstButton="1" fmlaLink="$E$17" lockText="1" noThreeD="1"/>
</file>

<file path=xl/ctrlProps/ctrlProp66.xml><?xml version="1.0" encoding="utf-8"?>
<formControlPr xmlns="http://schemas.microsoft.com/office/spreadsheetml/2009/9/main" objectType="Radio" checked="Checked" lockText="1" noThreeD="1"/>
</file>

<file path=xl/ctrlProps/ctrlProp67.xml><?xml version="1.0" encoding="utf-8"?>
<formControlPr xmlns="http://schemas.microsoft.com/office/spreadsheetml/2009/9/main" objectType="GBox" noThreeD="1"/>
</file>

<file path=xl/ctrlProps/ctrlProp68.xml><?xml version="1.0" encoding="utf-8"?>
<formControlPr xmlns="http://schemas.microsoft.com/office/spreadsheetml/2009/9/main" objectType="Radio" firstButton="1" fmlaLink="$E$18" lockText="1" noThreeD="1"/>
</file>

<file path=xl/ctrlProps/ctrlProp69.xml><?xml version="1.0" encoding="utf-8"?>
<formControlPr xmlns="http://schemas.microsoft.com/office/spreadsheetml/2009/9/main" objectType="Radio" checked="Checked" lockText="1" noThreeD="1"/>
</file>

<file path=xl/ctrlProps/ctrlProp70.xml><?xml version="1.0" encoding="utf-8"?>
<formControlPr xmlns="http://schemas.microsoft.com/office/spreadsheetml/2009/9/main" objectType="GBox" noThreeD="1"/>
</file>

<file path=xl/ctrlProps/ctrlProp71.xml><?xml version="1.0" encoding="utf-8"?>
<formControlPr xmlns="http://schemas.microsoft.com/office/spreadsheetml/2009/9/main" objectType="Radio" firstButton="1" fmlaLink="$E$19" lockText="1" noThreeD="1"/>
</file>

<file path=xl/ctrlProps/ctrlProp72.xml><?xml version="1.0" encoding="utf-8"?>
<formControlPr xmlns="http://schemas.microsoft.com/office/spreadsheetml/2009/9/main" objectType="Radio" checked="Checked" lockText="1" noThreeD="1"/>
</file>

<file path=xl/ctrlProps/ctrlProp73.xml><?xml version="1.0" encoding="utf-8"?>
<formControlPr xmlns="http://schemas.microsoft.com/office/spreadsheetml/2009/9/main" objectType="GBox" noThreeD="1"/>
</file>

<file path=xl/ctrlProps/ctrlProp74.xml><?xml version="1.0" encoding="utf-8"?>
<formControlPr xmlns="http://schemas.microsoft.com/office/spreadsheetml/2009/9/main" objectType="Radio" checked="Checked" firstButton="1" fmlaLink="$E$20" lockText="1" noThreeD="1"/>
</file>

<file path=xl/ctrlProps/ctrlProp75.xml><?xml version="1.0" encoding="utf-8"?>
<formControlPr xmlns="http://schemas.microsoft.com/office/spreadsheetml/2009/9/main" objectType="Radio" lockText="1" noThreeD="1"/>
</file>

<file path=xl/ctrlProps/ctrlProp76.xml><?xml version="1.0" encoding="utf-8"?>
<formControlPr xmlns="http://schemas.microsoft.com/office/spreadsheetml/2009/9/main" objectType="GBox" noThreeD="1"/>
</file>

<file path=xl/ctrlProps/ctrlProp77.xml><?xml version="1.0" encoding="utf-8"?>
<formControlPr xmlns="http://schemas.microsoft.com/office/spreadsheetml/2009/9/main" objectType="Radio" firstButton="1" fmlaLink="$E$21" lockText="1" noThreeD="1"/>
</file>

<file path=xl/ctrlProps/ctrlProp78.xml><?xml version="1.0" encoding="utf-8"?>
<formControlPr xmlns="http://schemas.microsoft.com/office/spreadsheetml/2009/9/main" objectType="Radio" checked="Checked" lockText="1" noThreeD="1"/>
</file>

<file path=xl/ctrlProps/ctrlProp79.xml><?xml version="1.0" encoding="utf-8"?>
<formControlPr xmlns="http://schemas.microsoft.com/office/spreadsheetml/2009/9/main" objectType="GBox" noThreeD="1"/>
</file>

<file path=xl/ctrlProps/ctrlProp80.xml><?xml version="1.0" encoding="utf-8"?>
<formControlPr xmlns="http://schemas.microsoft.com/office/spreadsheetml/2009/9/main" objectType="Radio" checked="Checked" firstButton="1" fmlaLink="$E$22" lockText="1" noThreeD="1"/>
</file>

<file path=xl/ctrlProps/ctrlProp81.xml><?xml version="1.0" encoding="utf-8"?>
<formControlPr xmlns="http://schemas.microsoft.com/office/spreadsheetml/2009/9/main" objectType="Radio" lockText="1" noThreeD="1"/>
</file>

<file path=xl/ctrlProps/ctrlProp82.xml><?xml version="1.0" encoding="utf-8"?>
<formControlPr xmlns="http://schemas.microsoft.com/office/spreadsheetml/2009/9/main" objectType="GBox" noThreeD="1"/>
</file>

<file path=xl/ctrlProps/ctrlProp83.xml><?xml version="1.0" encoding="utf-8"?>
<formControlPr xmlns="http://schemas.microsoft.com/office/spreadsheetml/2009/9/main" objectType="Radio" checked="Checked" firstButton="1" fmlaLink="$E$11" lockText="1" noThreeD="1"/>
</file>

<file path=xl/ctrlProps/ctrlProp84.xml><?xml version="1.0" encoding="utf-8"?>
<formControlPr xmlns="http://schemas.microsoft.com/office/spreadsheetml/2009/9/main" objectType="Radio" lockText="1" noThreeD="1"/>
</file>

<file path=xl/ctrlProps/ctrlProp85.xml><?xml version="1.0" encoding="utf-8"?>
<formControlPr xmlns="http://schemas.microsoft.com/office/spreadsheetml/2009/9/main" objectType="GBox" noThreeD="1"/>
</file>

<file path=xl/ctrlProps/ctrlProp86.xml><?xml version="1.0" encoding="utf-8"?>
<formControlPr xmlns="http://schemas.microsoft.com/office/spreadsheetml/2009/9/main" objectType="Radio" firstButton="1" fmlaLink="$E$12" lockText="1" noThreeD="1"/>
</file>

<file path=xl/ctrlProps/ctrlProp87.xml><?xml version="1.0" encoding="utf-8"?>
<formControlPr xmlns="http://schemas.microsoft.com/office/spreadsheetml/2009/9/main" objectType="Radio" checked="Checked" lockText="1" noThreeD="1"/>
</file>

<file path=xl/ctrlProps/ctrlProp88.xml><?xml version="1.0" encoding="utf-8"?>
<formControlPr xmlns="http://schemas.microsoft.com/office/spreadsheetml/2009/9/main" objectType="GBox" noThreeD="1"/>
</file>

<file path=xl/ctrlProps/ctrlProp89.xml><?xml version="1.0" encoding="utf-8"?>
<formControlPr xmlns="http://schemas.microsoft.com/office/spreadsheetml/2009/9/main" objectType="Radio" checked="Checked" firstButton="1" fmlaLink="$E$20" lockText="1" noThreeD="1"/>
</file>

<file path=xl/ctrlProps/ctrlProp90.xml><?xml version="1.0" encoding="utf-8"?>
<formControlPr xmlns="http://schemas.microsoft.com/office/spreadsheetml/2009/9/main" objectType="Radio" lockText="1" noThreeD="1"/>
</file>

<file path=xl/ctrlProps/ctrlProp91.xml><?xml version="1.0" encoding="utf-8"?>
<formControlPr xmlns="http://schemas.microsoft.com/office/spreadsheetml/2009/9/main" objectType="GBox" noThreeD="1"/>
</file>

<file path=xl/ctrlProps/ctrlProp92.xml><?xml version="1.0" encoding="utf-8"?>
<formControlPr xmlns="http://schemas.microsoft.com/office/spreadsheetml/2009/9/main" objectType="Radio" checked="Checked" firstButton="1" fmlaLink="$E$21" lockText="1" noThreeD="1"/>
</file>

<file path=xl/ctrlProps/ctrlProp93.xml><?xml version="1.0" encoding="utf-8"?>
<formControlPr xmlns="http://schemas.microsoft.com/office/spreadsheetml/2009/9/main" objectType="Radio" lockText="1" noThreeD="1"/>
</file>

<file path=xl/ctrlProps/ctrlProp94.xml><?xml version="1.0" encoding="utf-8"?>
<formControlPr xmlns="http://schemas.microsoft.com/office/spreadsheetml/2009/9/main" objectType="GBox" noThreeD="1"/>
</file>

<file path=xl/ctrlProps/ctrlProp95.xml><?xml version="1.0" encoding="utf-8"?>
<formControlPr xmlns="http://schemas.microsoft.com/office/spreadsheetml/2009/9/main" objectType="Radio" firstButton="1" fmlaLink="$E$13" lockText="1" noThreeD="1"/>
</file>

<file path=xl/ctrlProps/ctrlProp96.xml><?xml version="1.0" encoding="utf-8"?>
<formControlPr xmlns="http://schemas.microsoft.com/office/spreadsheetml/2009/9/main" objectType="Radio" checked="Checked" lockText="1" noThreeD="1"/>
</file>

<file path=xl/ctrlProps/ctrlProp97.xml><?xml version="1.0" encoding="utf-8"?>
<formControlPr xmlns="http://schemas.microsoft.com/office/spreadsheetml/2009/9/main" objectType="GBox" noThreeD="1"/>
</file>

<file path=xl/ctrlProps/ctrlProp98.xml><?xml version="1.0" encoding="utf-8"?>
<formControlPr xmlns="http://schemas.microsoft.com/office/spreadsheetml/2009/9/main" objectType="Radio" checked="Checked" firstButton="1" fmlaLink="$E$22" lockText="1" noThreeD="1"/>
</file>

<file path=xl/ctrlProps/ctrlProp99.xml><?xml version="1.0" encoding="utf-8"?>
<formControlPr xmlns="http://schemas.microsoft.com/office/spreadsheetml/2009/9/main" objectType="Radio" lockText="1" noThreeD="1"/>
</file>

<file path=xl/ctrlProps/ctrlProp100.xml><?xml version="1.0" encoding="utf-8"?>
<formControlPr xmlns="http://schemas.microsoft.com/office/spreadsheetml/2009/9/main" objectType="GBox" noThreeD="1"/>
</file>

<file path=xl/ctrlProps/ctrlProp101.xml><?xml version="1.0" encoding="utf-8"?>
<formControlPr xmlns="http://schemas.microsoft.com/office/spreadsheetml/2009/9/main" objectType="Radio" firstButton="1" fmlaLink="$E$16" lockText="1" noThreeD="1"/>
</file>

<file path=xl/ctrlProps/ctrlProp102.xml><?xml version="1.0" encoding="utf-8"?>
<formControlPr xmlns="http://schemas.microsoft.com/office/spreadsheetml/2009/9/main" objectType="Radio" checked="Checked" lockText="1" noThreeD="1"/>
</file>

<file path=xl/ctrlProps/ctrlProp103.xml><?xml version="1.0" encoding="utf-8"?>
<formControlPr xmlns="http://schemas.microsoft.com/office/spreadsheetml/2009/9/main" objectType="GBox" noThreeD="1"/>
</file>

<file path=xl/ctrlProps/ctrlProp104.xml><?xml version="1.0" encoding="utf-8"?>
<formControlPr xmlns="http://schemas.microsoft.com/office/spreadsheetml/2009/9/main" objectType="Radio" checked="Checked" firstButton="1" fmlaLink="$E$14" lockText="1" noThreeD="1"/>
</file>

<file path=xl/ctrlProps/ctrlProp105.xml><?xml version="1.0" encoding="utf-8"?>
<formControlPr xmlns="http://schemas.microsoft.com/office/spreadsheetml/2009/9/main" objectType="Radio" lockText="1" noThreeD="1"/>
</file>

<file path=xl/ctrlProps/ctrlProp106.xml><?xml version="1.0" encoding="utf-8"?>
<formControlPr xmlns="http://schemas.microsoft.com/office/spreadsheetml/2009/9/main" objectType="GBox" noThreeD="1"/>
</file>

<file path=xl/ctrlProps/ctrlProp107.xml><?xml version="1.0" encoding="utf-8"?>
<formControlPr xmlns="http://schemas.microsoft.com/office/spreadsheetml/2009/9/main" objectType="Radio" checked="Checked" firstButton="1" fmlaLink="$E$15" lockText="1" noThreeD="1"/>
</file>

<file path=xl/ctrlProps/ctrlProp108.xml><?xml version="1.0" encoding="utf-8"?>
<formControlPr xmlns="http://schemas.microsoft.com/office/spreadsheetml/2009/9/main" objectType="Radio" lockText="1" noThreeD="1"/>
</file>

<file path=xl/ctrlProps/ctrlProp109.xml><?xml version="1.0" encoding="utf-8"?>
<formControlPr xmlns="http://schemas.microsoft.com/office/spreadsheetml/2009/9/main" objectType="GBox" noThreeD="1"/>
</file>

<file path=xl/ctrlProps/ctrlProp110.xml><?xml version="1.0" encoding="utf-8"?>
<formControlPr xmlns="http://schemas.microsoft.com/office/spreadsheetml/2009/9/main" objectType="Radio" checked="Checked" firstButton="1" fmlaLink="$E$23" lockText="1" noThreeD="1"/>
</file>

<file path=xl/ctrlProps/ctrlProp111.xml><?xml version="1.0" encoding="utf-8"?>
<formControlPr xmlns="http://schemas.microsoft.com/office/spreadsheetml/2009/9/main" objectType="Radio" lockText="1" noThreeD="1"/>
</file>

<file path=xl/ctrlProps/ctrlProp112.xml><?xml version="1.0" encoding="utf-8"?>
<formControlPr xmlns="http://schemas.microsoft.com/office/spreadsheetml/2009/9/main" objectType="GBox" noThreeD="1"/>
</file>

<file path=xl/ctrlProps/ctrlProp113.xml><?xml version="1.0" encoding="utf-8"?>
<formControlPr xmlns="http://schemas.microsoft.com/office/spreadsheetml/2009/9/main" objectType="Radio" firstButton="1" fmlaLink="$E$24" lockText="1" noThreeD="1"/>
</file>

<file path=xl/ctrlProps/ctrlProp114.xml><?xml version="1.0" encoding="utf-8"?>
<formControlPr xmlns="http://schemas.microsoft.com/office/spreadsheetml/2009/9/main" objectType="Radio" checked="Checked" lockText="1" noThreeD="1"/>
</file>

<file path=xl/ctrlProps/ctrlProp115.xml><?xml version="1.0" encoding="utf-8"?>
<formControlPr xmlns="http://schemas.microsoft.com/office/spreadsheetml/2009/9/main" objectType="GBox" noThreeD="1"/>
</file>

<file path=xl/ctrlProps/ctrlProp116.xml><?xml version="1.0" encoding="utf-8"?>
<formControlPr xmlns="http://schemas.microsoft.com/office/spreadsheetml/2009/9/main" objectType="Radio" firstButton="1" fmlaLink="$E$25" lockText="1" noThreeD="1"/>
</file>

<file path=xl/ctrlProps/ctrlProp117.xml><?xml version="1.0" encoding="utf-8"?>
<formControlPr xmlns="http://schemas.microsoft.com/office/spreadsheetml/2009/9/main" objectType="Radio" checked="Checked" lockText="1" noThreeD="1"/>
</file>

<file path=xl/ctrlProps/ctrlProp118.xml><?xml version="1.0" encoding="utf-8"?>
<formControlPr xmlns="http://schemas.microsoft.com/office/spreadsheetml/2009/9/main" objectType="GBox" noThreeD="1"/>
</file>

<file path=xl/ctrlProps/ctrlProp119.xml><?xml version="1.0" encoding="utf-8"?>
<formControlPr xmlns="http://schemas.microsoft.com/office/spreadsheetml/2009/9/main" objectType="Radio" firstButton="1" fmlaLink="$E$27" lockText="1" noThreeD="1"/>
</file>

<file path=xl/ctrlProps/ctrlProp120.xml><?xml version="1.0" encoding="utf-8"?>
<formControlPr xmlns="http://schemas.microsoft.com/office/spreadsheetml/2009/9/main" objectType="Radio" checked="Checked" lockText="1" noThreeD="1"/>
</file>

<file path=xl/ctrlProps/ctrlProp121.xml><?xml version="1.0" encoding="utf-8"?>
<formControlPr xmlns="http://schemas.microsoft.com/office/spreadsheetml/2009/9/main" objectType="GBox" noThreeD="1"/>
</file>

<file path=xl/ctrlProps/ctrlProp122.xml><?xml version="1.0" encoding="utf-8"?>
<formControlPr xmlns="http://schemas.microsoft.com/office/spreadsheetml/2009/9/main" objectType="Radio" checked="Checked" firstButton="1" fmlaLink="$E$30" lockText="1" noThreeD="1"/>
</file>

<file path=xl/ctrlProps/ctrlProp123.xml><?xml version="1.0" encoding="utf-8"?>
<formControlPr xmlns="http://schemas.microsoft.com/office/spreadsheetml/2009/9/main" objectType="Radio" lockText="1" noThreeD="1"/>
</file>

<file path=xl/ctrlProps/ctrlProp124.xml><?xml version="1.0" encoding="utf-8"?>
<formControlPr xmlns="http://schemas.microsoft.com/office/spreadsheetml/2009/9/main" objectType="GBox" noThreeD="1"/>
</file>

<file path=xl/ctrlProps/ctrlProp125.xml><?xml version="1.0" encoding="utf-8"?>
<formControlPr xmlns="http://schemas.microsoft.com/office/spreadsheetml/2009/9/main" objectType="Radio" checked="Checked" firstButton="1" fmlaLink="$E$18" lockText="1" noThreeD="1"/>
</file>

<file path=xl/ctrlProps/ctrlProp126.xml><?xml version="1.0" encoding="utf-8"?>
<formControlPr xmlns="http://schemas.microsoft.com/office/spreadsheetml/2009/9/main" objectType="Radio" lockText="1" noThreeD="1"/>
</file>

<file path=xl/ctrlProps/ctrlProp127.xml><?xml version="1.0" encoding="utf-8"?>
<formControlPr xmlns="http://schemas.microsoft.com/office/spreadsheetml/2009/9/main" objectType="GBox" noThreeD="1"/>
</file>

<file path=xl/ctrlProps/ctrlProp128.xml><?xml version="1.0" encoding="utf-8"?>
<formControlPr xmlns="http://schemas.microsoft.com/office/spreadsheetml/2009/9/main" objectType="Radio" checked="Checked" firstButton="1" fmlaLink="$E$19" lockText="1" noThreeD="1"/>
</file>

<file path=xl/ctrlProps/ctrlProp129.xml><?xml version="1.0" encoding="utf-8"?>
<formControlPr xmlns="http://schemas.microsoft.com/office/spreadsheetml/2009/9/main" objectType="Radio" lockText="1" noThreeD="1"/>
</file>

<file path=xl/ctrlProps/ctrlProp130.xml><?xml version="1.0" encoding="utf-8"?>
<formControlPr xmlns="http://schemas.microsoft.com/office/spreadsheetml/2009/9/main" objectType="GBox" noThreeD="1"/>
</file>

<file path=xl/ctrlProps/ctrlProp131.xml><?xml version="1.0" encoding="utf-8"?>
<formControlPr xmlns="http://schemas.microsoft.com/office/spreadsheetml/2009/9/main" objectType="Radio" checked="Checked" firstButton="1" fmlaLink="$E$31" lockText="1" noThreeD="1"/>
</file>

<file path=xl/ctrlProps/ctrlProp132.xml><?xml version="1.0" encoding="utf-8"?>
<formControlPr xmlns="http://schemas.microsoft.com/office/spreadsheetml/2009/9/main" objectType="Radio" lockText="1" noThreeD="1"/>
</file>

<file path=xl/ctrlProps/ctrlProp133.xml><?xml version="1.0" encoding="utf-8"?>
<formControlPr xmlns="http://schemas.microsoft.com/office/spreadsheetml/2009/9/main" objectType="GBox" noThreeD="1"/>
</file>

<file path=xl/ctrlProps/ctrlProp134.xml><?xml version="1.0" encoding="utf-8"?>
<formControlPr xmlns="http://schemas.microsoft.com/office/spreadsheetml/2009/9/main" objectType="Radio" checked="Checked" firstButton="1" fmlaLink="$E$32" lockText="1" noThreeD="1"/>
</file>

<file path=xl/ctrlProps/ctrlProp135.xml><?xml version="1.0" encoding="utf-8"?>
<formControlPr xmlns="http://schemas.microsoft.com/office/spreadsheetml/2009/9/main" objectType="Radio" lockText="1" noThreeD="1"/>
</file>

<file path=xl/ctrlProps/ctrlProp136.xml><?xml version="1.0" encoding="utf-8"?>
<formControlPr xmlns="http://schemas.microsoft.com/office/spreadsheetml/2009/9/main" objectType="GBox" noThreeD="1"/>
</file>

<file path=xl/ctrlProps/ctrlProp137.xml><?xml version="1.0" encoding="utf-8"?>
<formControlPr xmlns="http://schemas.microsoft.com/office/spreadsheetml/2009/9/main" objectType="Radio" checked="Checked" firstButton="1" fmlaLink="$E$33" lockText="1" noThreeD="1"/>
</file>

<file path=xl/ctrlProps/ctrlProp138.xml><?xml version="1.0" encoding="utf-8"?>
<formControlPr xmlns="http://schemas.microsoft.com/office/spreadsheetml/2009/9/main" objectType="Radio" lockText="1" noThreeD="1"/>
</file>

<file path=xl/ctrlProps/ctrlProp139.xml><?xml version="1.0" encoding="utf-8"?>
<formControlPr xmlns="http://schemas.microsoft.com/office/spreadsheetml/2009/9/main" objectType="GBox" noThreeD="1"/>
</file>

<file path=xl/ctrlProps/ctrlProp140.xml><?xml version="1.0" encoding="utf-8"?>
<formControlPr xmlns="http://schemas.microsoft.com/office/spreadsheetml/2009/9/main" objectType="Radio" checked="Checked" firstButton="1" fmlaLink="$E$34" lockText="1" noThreeD="1"/>
</file>

<file path=xl/ctrlProps/ctrlProp141.xml><?xml version="1.0" encoding="utf-8"?>
<formControlPr xmlns="http://schemas.microsoft.com/office/spreadsheetml/2009/9/main" objectType="Radio" lockText="1" noThreeD="1"/>
</file>

<file path=xl/ctrlProps/ctrlProp142.xml><?xml version="1.0" encoding="utf-8"?>
<formControlPr xmlns="http://schemas.microsoft.com/office/spreadsheetml/2009/9/main" objectType="GBox" noThreeD="1"/>
</file>

<file path=xl/ctrlProps/ctrlProp143.xml><?xml version="1.0" encoding="utf-8"?>
<formControlPr xmlns="http://schemas.microsoft.com/office/spreadsheetml/2009/9/main" objectType="Radio" checked="Checked" firstButton="1" fmlaLink="$E$29" lockText="1" noThreeD="1"/>
</file>

<file path=xl/ctrlProps/ctrlProp144.xml><?xml version="1.0" encoding="utf-8"?>
<formControlPr xmlns="http://schemas.microsoft.com/office/spreadsheetml/2009/9/main" objectType="Radio" lockText="1" noThreeD="1"/>
</file>

<file path=xl/ctrlProps/ctrlProp145.xml><?xml version="1.0" encoding="utf-8"?>
<formControlPr xmlns="http://schemas.microsoft.com/office/spreadsheetml/2009/9/main" objectType="Spin" dx="16" fmlaLink="$C$35" max="100" page="10" val="10"/>
</file>

<file path=xl/ctrlProps/ctrlProp146.xml><?xml version="1.0" encoding="utf-8"?>
<formControlPr xmlns="http://schemas.microsoft.com/office/spreadsheetml/2009/9/main" objectType="GBox" noThreeD="1"/>
</file>

<file path=xl/ctrlProps/ctrlProp147.xml><?xml version="1.0" encoding="utf-8"?>
<formControlPr xmlns="http://schemas.microsoft.com/office/spreadsheetml/2009/9/main" objectType="Radio" checked="Checked" firstButton="1" fmlaLink="$E$7" lockText="1" noThreeD="1"/>
</file>

<file path=xl/ctrlProps/ctrlProp148.xml><?xml version="1.0" encoding="utf-8"?>
<formControlPr xmlns="http://schemas.microsoft.com/office/spreadsheetml/2009/9/main" objectType="Radio" lockText="1" noThreeD="1"/>
</file>

<file path=xl/ctrlProps/ctrlProp149.xml><?xml version="1.0" encoding="utf-8"?>
<formControlPr xmlns="http://schemas.microsoft.com/office/spreadsheetml/2009/9/main" objectType="GBox" noThreeD="1"/>
</file>

<file path=xl/ctrlProps/ctrlProp150.xml><?xml version="1.0" encoding="utf-8"?>
<formControlPr xmlns="http://schemas.microsoft.com/office/spreadsheetml/2009/9/main" objectType="Radio" firstButton="1" fmlaLink="$E$15" lockText="1" noThreeD="1"/>
</file>

<file path=xl/ctrlProps/ctrlProp151.xml><?xml version="1.0" encoding="utf-8"?>
<formControlPr xmlns="http://schemas.microsoft.com/office/spreadsheetml/2009/9/main" objectType="Radio" checked="Checked" lockText="1" noThreeD="1"/>
</file>

<file path=xl/ctrlProps/ctrlProp152.xml><?xml version="1.0" encoding="utf-8"?>
<formControlPr xmlns="http://schemas.microsoft.com/office/spreadsheetml/2009/9/main" objectType="GBox" noThreeD="1"/>
</file>

<file path=xl/ctrlProps/ctrlProp153.xml><?xml version="1.0" encoding="utf-8"?>
<formControlPr xmlns="http://schemas.microsoft.com/office/spreadsheetml/2009/9/main" objectType="Radio" firstButton="1" fmlaLink="$E$16" lockText="1" noThreeD="1"/>
</file>

<file path=xl/ctrlProps/ctrlProp154.xml><?xml version="1.0" encoding="utf-8"?>
<formControlPr xmlns="http://schemas.microsoft.com/office/spreadsheetml/2009/9/main" objectType="Radio" checked="Checked" lockText="1" noThreeD="1"/>
</file>

<file path=xl/ctrlProps/ctrlProp155.xml><?xml version="1.0" encoding="utf-8"?>
<formControlPr xmlns="http://schemas.microsoft.com/office/spreadsheetml/2009/9/main" objectType="GBox" noThreeD="1"/>
</file>

<file path=xl/ctrlProps/ctrlProp156.xml><?xml version="1.0" encoding="utf-8"?>
<formControlPr xmlns="http://schemas.microsoft.com/office/spreadsheetml/2009/9/main" objectType="Radio" checked="Checked" firstButton="1" fmlaLink="$E$8" lockText="1" noThreeD="1"/>
</file>

<file path=xl/ctrlProps/ctrlProp157.xml><?xml version="1.0" encoding="utf-8"?>
<formControlPr xmlns="http://schemas.microsoft.com/office/spreadsheetml/2009/9/main" objectType="Radio" lockText="1" noThreeD="1"/>
</file>

<file path=xl/ctrlProps/ctrlProp158.xml><?xml version="1.0" encoding="utf-8"?>
<formControlPr xmlns="http://schemas.microsoft.com/office/spreadsheetml/2009/9/main" objectType="GBox" noThreeD="1"/>
</file>

<file path=xl/ctrlProps/ctrlProp159.xml><?xml version="1.0" encoding="utf-8"?>
<formControlPr xmlns="http://schemas.microsoft.com/office/spreadsheetml/2009/9/main" objectType="Radio" firstButton="1" fmlaLink="$E$17" lockText="1" noThreeD="1"/>
</file>

<file path=xl/ctrlProps/ctrlProp160.xml><?xml version="1.0" encoding="utf-8"?>
<formControlPr xmlns="http://schemas.microsoft.com/office/spreadsheetml/2009/9/main" objectType="Radio" checked="Checked" lockText="1" noThreeD="1"/>
</file>

<file path=xl/ctrlProps/ctrlProp161.xml><?xml version="1.0" encoding="utf-8"?>
<formControlPr xmlns="http://schemas.microsoft.com/office/spreadsheetml/2009/9/main" objectType="GBox" noThreeD="1"/>
</file>

<file path=xl/ctrlProps/ctrlProp162.xml><?xml version="1.0" encoding="utf-8"?>
<formControlPr xmlns="http://schemas.microsoft.com/office/spreadsheetml/2009/9/main" objectType="Radio" checked="Checked" firstButton="1" fmlaLink="$E$11" lockText="1" noThreeD="1"/>
</file>

<file path=xl/ctrlProps/ctrlProp163.xml><?xml version="1.0" encoding="utf-8"?>
<formControlPr xmlns="http://schemas.microsoft.com/office/spreadsheetml/2009/9/main" objectType="Radio" lockText="1" noThreeD="1"/>
</file>

<file path=xl/ctrlProps/ctrlProp164.xml><?xml version="1.0" encoding="utf-8"?>
<formControlPr xmlns="http://schemas.microsoft.com/office/spreadsheetml/2009/9/main" objectType="GBox" noThreeD="1"/>
</file>

<file path=xl/ctrlProps/ctrlProp165.xml><?xml version="1.0" encoding="utf-8"?>
<formControlPr xmlns="http://schemas.microsoft.com/office/spreadsheetml/2009/9/main" objectType="Radio" checked="Checked" firstButton="1" fmlaLink="$E$9" lockText="1" noThreeD="1"/>
</file>

<file path=xl/ctrlProps/ctrlProp166.xml><?xml version="1.0" encoding="utf-8"?>
<formControlPr xmlns="http://schemas.microsoft.com/office/spreadsheetml/2009/9/main" objectType="Radio" lockText="1" noThreeD="1"/>
</file>

<file path=xl/ctrlProps/ctrlProp167.xml><?xml version="1.0" encoding="utf-8"?>
<formControlPr xmlns="http://schemas.microsoft.com/office/spreadsheetml/2009/9/main" objectType="GBox" noThreeD="1"/>
</file>

<file path=xl/ctrlProps/ctrlProp168.xml><?xml version="1.0" encoding="utf-8"?>
<formControlPr xmlns="http://schemas.microsoft.com/office/spreadsheetml/2009/9/main" objectType="Radio" checked="Checked" firstButton="1" fmlaLink="$E$10" lockText="1" noThreeD="1"/>
</file>

<file path=xl/ctrlProps/ctrlProp169.xml><?xml version="1.0" encoding="utf-8"?>
<formControlPr xmlns="http://schemas.microsoft.com/office/spreadsheetml/2009/9/main" objectType="Radio" lockText="1" noThreeD="1"/>
</file>

<file path=xl/ctrlProps/ctrlProp170.xml><?xml version="1.0" encoding="utf-8"?>
<formControlPr xmlns="http://schemas.microsoft.com/office/spreadsheetml/2009/9/main" objectType="GBox" noThreeD="1"/>
</file>

<file path=xl/ctrlProps/ctrlProp171.xml><?xml version="1.0" encoding="utf-8"?>
<formControlPr xmlns="http://schemas.microsoft.com/office/spreadsheetml/2009/9/main" objectType="Radio" checked="Checked" firstButton="1" fmlaLink="$E$18" lockText="1" noThreeD="1"/>
</file>

<file path=xl/ctrlProps/ctrlProp172.xml><?xml version="1.0" encoding="utf-8"?>
<formControlPr xmlns="http://schemas.microsoft.com/office/spreadsheetml/2009/9/main" objectType="Radio" lockText="1" noThreeD="1"/>
</file>

<file path=xl/ctrlProps/ctrlProp173.xml><?xml version="1.0" encoding="utf-8"?>
<formControlPr xmlns="http://schemas.microsoft.com/office/spreadsheetml/2009/9/main" objectType="GBox" noThreeD="1"/>
</file>

<file path=xl/ctrlProps/ctrlProp174.xml><?xml version="1.0" encoding="utf-8"?>
<formControlPr xmlns="http://schemas.microsoft.com/office/spreadsheetml/2009/9/main" objectType="Radio" checked="Checked" firstButton="1" fmlaLink="$E$19" lockText="1" noThreeD="1"/>
</file>

<file path=xl/ctrlProps/ctrlProp175.xml><?xml version="1.0" encoding="utf-8"?>
<formControlPr xmlns="http://schemas.microsoft.com/office/spreadsheetml/2009/9/main" objectType="Radio" lockText="1" noThreeD="1"/>
</file>

<file path=xl/ctrlProps/ctrlProp176.xml><?xml version="1.0" encoding="utf-8"?>
<formControlPr xmlns="http://schemas.microsoft.com/office/spreadsheetml/2009/9/main" objectType="GBox" noThreeD="1"/>
</file>

<file path=xl/ctrlProps/ctrlProp177.xml><?xml version="1.0" encoding="utf-8"?>
<formControlPr xmlns="http://schemas.microsoft.com/office/spreadsheetml/2009/9/main" objectType="Radio" checked="Checked" firstButton="1" fmlaLink="$E$20" lockText="1" noThreeD="1"/>
</file>

<file path=xl/ctrlProps/ctrlProp178.xml><?xml version="1.0" encoding="utf-8"?>
<formControlPr xmlns="http://schemas.microsoft.com/office/spreadsheetml/2009/9/main" objectType="Radio" lockText="1" noThreeD="1"/>
</file>

<file path=xl/ctrlProps/ctrlProp179.xml><?xml version="1.0" encoding="utf-8"?>
<formControlPr xmlns="http://schemas.microsoft.com/office/spreadsheetml/2009/9/main" objectType="GBox" noThreeD="1"/>
</file>

<file path=xl/ctrlProps/ctrlProp180.xml><?xml version="1.0" encoding="utf-8"?>
<formControlPr xmlns="http://schemas.microsoft.com/office/spreadsheetml/2009/9/main" objectType="Radio" checked="Checked" firstButton="1" fmlaLink="$E$22" lockText="1" noThreeD="1"/>
</file>

<file path=xl/ctrlProps/ctrlProp181.xml><?xml version="1.0" encoding="utf-8"?>
<formControlPr xmlns="http://schemas.microsoft.com/office/spreadsheetml/2009/9/main" objectType="Radio" lockText="1" noThreeD="1"/>
</file>

<file path=xl/ctrlProps/ctrlProp182.xml><?xml version="1.0" encoding="utf-8"?>
<formControlPr xmlns="http://schemas.microsoft.com/office/spreadsheetml/2009/9/main" objectType="GBox" noThreeD="1"/>
</file>

<file path=xl/ctrlProps/ctrlProp183.xml><?xml version="1.0" encoding="utf-8"?>
<formControlPr xmlns="http://schemas.microsoft.com/office/spreadsheetml/2009/9/main" objectType="Radio" firstButton="1" fmlaLink="$E$25" lockText="1" noThreeD="1"/>
</file>

<file path=xl/ctrlProps/ctrlProp184.xml><?xml version="1.0" encoding="utf-8"?>
<formControlPr xmlns="http://schemas.microsoft.com/office/spreadsheetml/2009/9/main" objectType="Radio" checked="Checked" lockText="1" noThreeD="1"/>
</file>

<file path=xl/ctrlProps/ctrlProp185.xml><?xml version="1.0" encoding="utf-8"?>
<formControlPr xmlns="http://schemas.microsoft.com/office/spreadsheetml/2009/9/main" objectType="GBox" noThreeD="1"/>
</file>

<file path=xl/ctrlProps/ctrlProp186.xml><?xml version="1.0" encoding="utf-8"?>
<formControlPr xmlns="http://schemas.microsoft.com/office/spreadsheetml/2009/9/main" objectType="Radio" firstButton="1" fmlaLink="$E$13" lockText="1" noThreeD="1"/>
</file>

<file path=xl/ctrlProps/ctrlProp187.xml><?xml version="1.0" encoding="utf-8"?>
<formControlPr xmlns="http://schemas.microsoft.com/office/spreadsheetml/2009/9/main" objectType="Radio" checked="Checked" lockText="1" noThreeD="1"/>
</file>

<file path=xl/ctrlProps/ctrlProp188.xml><?xml version="1.0" encoding="utf-8"?>
<formControlPr xmlns="http://schemas.microsoft.com/office/spreadsheetml/2009/9/main" objectType="GBox" noThreeD="1"/>
</file>

<file path=xl/ctrlProps/ctrlProp189.xml><?xml version="1.0" encoding="utf-8"?>
<formControlPr xmlns="http://schemas.microsoft.com/office/spreadsheetml/2009/9/main" objectType="Radio" firstButton="1" fmlaLink="$E$14" lockText="1" noThreeD="1"/>
</file>

<file path=xl/ctrlProps/ctrlProp190.xml><?xml version="1.0" encoding="utf-8"?>
<formControlPr xmlns="http://schemas.microsoft.com/office/spreadsheetml/2009/9/main" objectType="Radio" checked="Checked" lockText="1" noThreeD="1"/>
</file>

<file path=xl/ctrlProps/ctrlProp191.xml><?xml version="1.0" encoding="utf-8"?>
<formControlPr xmlns="http://schemas.microsoft.com/office/spreadsheetml/2009/9/main" objectType="GBox" noThreeD="1"/>
</file>

<file path=xl/ctrlProps/ctrlProp192.xml><?xml version="1.0" encoding="utf-8"?>
<formControlPr xmlns="http://schemas.microsoft.com/office/spreadsheetml/2009/9/main" objectType="Radio" checked="Checked" firstButton="1" fmlaLink="$E$26" lockText="1" noThreeD="1"/>
</file>

<file path=xl/ctrlProps/ctrlProp193.xml><?xml version="1.0" encoding="utf-8"?>
<formControlPr xmlns="http://schemas.microsoft.com/office/spreadsheetml/2009/9/main" objectType="Radio" lockText="1" noThreeD="1"/>
</file>

<file path=xl/ctrlProps/ctrlProp194.xml><?xml version="1.0" encoding="utf-8"?>
<formControlPr xmlns="http://schemas.microsoft.com/office/spreadsheetml/2009/9/main" objectType="GBox" noThreeD="1"/>
</file>

<file path=xl/ctrlProps/ctrlProp195.xml><?xml version="1.0" encoding="utf-8"?>
<formControlPr xmlns="http://schemas.microsoft.com/office/spreadsheetml/2009/9/main" objectType="Radio" firstButton="1" fmlaLink="$E$24" lockText="1" noThreeD="1"/>
</file>

<file path=xl/ctrlProps/ctrlProp196.xml><?xml version="1.0" encoding="utf-8"?>
<formControlPr xmlns="http://schemas.microsoft.com/office/spreadsheetml/2009/9/main" objectType="Radio" checked="Checked" lockText="1" noThreeD="1"/>
</file>

<file path=xl/ctrlProps/ctrlProp197.xml><?xml version="1.0" encoding="utf-8"?>
<formControlPr xmlns="http://schemas.microsoft.com/office/spreadsheetml/2009/9/main" objectType="GBox" noThreeD="1"/>
</file>

<file path=xl/ctrlProps/ctrlProp198.xml><?xml version="1.0" encoding="utf-8"?>
<formControlPr xmlns="http://schemas.microsoft.com/office/spreadsheetml/2009/9/main" objectType="Radio" checked="Checked" firstButton="1" fmlaLink="$E$12" lockText="1" noThreeD="1"/>
</file>

<file path=xl/ctrlProps/ctrlProp199.xml><?xml version="1.0" encoding="utf-8"?>
<formControlPr xmlns="http://schemas.microsoft.com/office/spreadsheetml/2009/9/main" objectType="Radio" lockText="1" noThreeD="1"/>
</file>

<file path=xl/ctrlProps/ctrlProp200.xml><?xml version="1.0" encoding="utf-8"?>
<formControlPr xmlns="http://schemas.microsoft.com/office/spreadsheetml/2009/9/main" objectType="GBox" noThreeD="1"/>
</file>

<file path=xl/ctrlProps/ctrlProp201.xml><?xml version="1.0" encoding="utf-8"?>
<formControlPr xmlns="http://schemas.microsoft.com/office/spreadsheetml/2009/9/main" objectType="Radio" firstButton="1" fmlaLink="$E$21" lockText="1" noThreeD="1"/>
</file>

<file path=xl/ctrlProps/ctrlProp202.xml><?xml version="1.0" encoding="utf-8"?>
<formControlPr xmlns="http://schemas.microsoft.com/office/spreadsheetml/2009/9/main" objectType="Radio" checked="Checked" lockText="1" noThreeD="1"/>
</file>

<file path=xl/ctrlProps/ctrlProp203.xml><?xml version="1.0" encoding="utf-8"?>
<formControlPr xmlns="http://schemas.microsoft.com/office/spreadsheetml/2009/9/main" objectType="GBox" noThreeD="1"/>
</file>

<file path=xl/ctrlProps/ctrlProp204.xml><?xml version="1.0" encoding="utf-8"?>
<formControlPr xmlns="http://schemas.microsoft.com/office/spreadsheetml/2009/9/main" objectType="Radio" checked="Checked" firstButton="1" fmlaLink="$E$23" lockText="1" noThreeD="1"/>
</file>

<file path=xl/ctrlProps/ctrlProp205.xml><?xml version="1.0" encoding="utf-8"?>
<formControlPr xmlns="http://schemas.microsoft.com/office/spreadsheetml/2009/9/main" objectType="Radio" lockText="1" noThreeD="1"/>
</file>

<file path=xl/ctrlProps/ctrlProp206.xml><?xml version="1.0" encoding="utf-8"?>
<formControlPr xmlns="http://schemas.microsoft.com/office/spreadsheetml/2009/9/main" objectType="GBox" noThreeD="1"/>
</file>

<file path=xl/ctrlProps/ctrlProp207.xml><?xml version="1.0" encoding="utf-8"?>
<formControlPr xmlns="http://schemas.microsoft.com/office/spreadsheetml/2009/9/main" objectType="Radio" checked="Checked" firstButton="1" fmlaLink="$E$7" lockText="1" noThreeD="1"/>
</file>

<file path=xl/ctrlProps/ctrlProp208.xml><?xml version="1.0" encoding="utf-8"?>
<formControlPr xmlns="http://schemas.microsoft.com/office/spreadsheetml/2009/9/main" objectType="Radio" lockText="1" noThreeD="1"/>
</file>

<file path=xl/ctrlProps/ctrlProp209.xml><?xml version="1.0" encoding="utf-8"?>
<formControlPr xmlns="http://schemas.microsoft.com/office/spreadsheetml/2009/9/main" objectType="GBox" noThreeD="1"/>
</file>

<file path=xl/ctrlProps/ctrlProp210.xml><?xml version="1.0" encoding="utf-8"?>
<formControlPr xmlns="http://schemas.microsoft.com/office/spreadsheetml/2009/9/main" objectType="Radio" firstButton="1" fmlaLink="$E$15" lockText="1" noThreeD="1"/>
</file>

<file path=xl/ctrlProps/ctrlProp211.xml><?xml version="1.0" encoding="utf-8"?>
<formControlPr xmlns="http://schemas.microsoft.com/office/spreadsheetml/2009/9/main" objectType="Radio" checked="Checked" lockText="1" noThreeD="1"/>
</file>

<file path=xl/ctrlProps/ctrlProp212.xml><?xml version="1.0" encoding="utf-8"?>
<formControlPr xmlns="http://schemas.microsoft.com/office/spreadsheetml/2009/9/main" objectType="GBox" noThreeD="1"/>
</file>

<file path=xl/ctrlProps/ctrlProp213.xml><?xml version="1.0" encoding="utf-8"?>
<formControlPr xmlns="http://schemas.microsoft.com/office/spreadsheetml/2009/9/main" objectType="Radio" firstButton="1" fmlaLink="$E$16" lockText="1" noThreeD="1"/>
</file>

<file path=xl/ctrlProps/ctrlProp214.xml><?xml version="1.0" encoding="utf-8"?>
<formControlPr xmlns="http://schemas.microsoft.com/office/spreadsheetml/2009/9/main" objectType="Radio" checked="Checked" lockText="1" noThreeD="1"/>
</file>

<file path=xl/ctrlProps/ctrlProp215.xml><?xml version="1.0" encoding="utf-8"?>
<formControlPr xmlns="http://schemas.microsoft.com/office/spreadsheetml/2009/9/main" objectType="GBox" noThreeD="1"/>
</file>

<file path=xl/ctrlProps/ctrlProp216.xml><?xml version="1.0" encoding="utf-8"?>
<formControlPr xmlns="http://schemas.microsoft.com/office/spreadsheetml/2009/9/main" objectType="Radio" checked="Checked" firstButton="1" fmlaLink="$E$17" lockText="1" noThreeD="1"/>
</file>

<file path=xl/ctrlProps/ctrlProp217.xml><?xml version="1.0" encoding="utf-8"?>
<formControlPr xmlns="http://schemas.microsoft.com/office/spreadsheetml/2009/9/main" objectType="Radio" lockText="1" noThreeD="1"/>
</file>

<file path=xl/ctrlProps/ctrlProp218.xml><?xml version="1.0" encoding="utf-8"?>
<formControlPr xmlns="http://schemas.microsoft.com/office/spreadsheetml/2009/9/main" objectType="GBox" noThreeD="1"/>
</file>

<file path=xl/ctrlProps/ctrlProp219.xml><?xml version="1.0" encoding="utf-8"?>
<formControlPr xmlns="http://schemas.microsoft.com/office/spreadsheetml/2009/9/main" objectType="Radio" checked="Checked" firstButton="1" fmlaLink="$E$11" lockText="1" noThreeD="1"/>
</file>

<file path=xl/ctrlProps/ctrlProp220.xml><?xml version="1.0" encoding="utf-8"?>
<formControlPr xmlns="http://schemas.microsoft.com/office/spreadsheetml/2009/9/main" objectType="Radio" lockText="1" noThreeD="1"/>
</file>

<file path=xl/ctrlProps/ctrlProp221.xml><?xml version="1.0" encoding="utf-8"?>
<formControlPr xmlns="http://schemas.microsoft.com/office/spreadsheetml/2009/9/main" objectType="GBox" noThreeD="1"/>
</file>

<file path=xl/ctrlProps/ctrlProp222.xml><?xml version="1.0" encoding="utf-8"?>
<formControlPr xmlns="http://schemas.microsoft.com/office/spreadsheetml/2009/9/main" objectType="Radio" firstButton="1" fmlaLink="$E$9" lockText="1" noThreeD="1"/>
</file>

<file path=xl/ctrlProps/ctrlProp223.xml><?xml version="1.0" encoding="utf-8"?>
<formControlPr xmlns="http://schemas.microsoft.com/office/spreadsheetml/2009/9/main" objectType="Radio" checked="Checked" lockText="1" noThreeD="1"/>
</file>

<file path=xl/ctrlProps/ctrlProp224.xml><?xml version="1.0" encoding="utf-8"?>
<formControlPr xmlns="http://schemas.microsoft.com/office/spreadsheetml/2009/9/main" objectType="GBox" noThreeD="1"/>
</file>

<file path=xl/ctrlProps/ctrlProp225.xml><?xml version="1.0" encoding="utf-8"?>
<formControlPr xmlns="http://schemas.microsoft.com/office/spreadsheetml/2009/9/main" objectType="Radio" firstButton="1" fmlaLink="$E$10" lockText="1" noThreeD="1"/>
</file>

<file path=xl/ctrlProps/ctrlProp226.xml><?xml version="1.0" encoding="utf-8"?>
<formControlPr xmlns="http://schemas.microsoft.com/office/spreadsheetml/2009/9/main" objectType="Radio" checked="Checked" lockText="1" noThreeD="1"/>
</file>

<file path=xl/ctrlProps/ctrlProp227.xml><?xml version="1.0" encoding="utf-8"?>
<formControlPr xmlns="http://schemas.microsoft.com/office/spreadsheetml/2009/9/main" objectType="GBox" noThreeD="1"/>
</file>

<file path=xl/ctrlProps/ctrlProp228.xml><?xml version="1.0" encoding="utf-8"?>
<formControlPr xmlns="http://schemas.microsoft.com/office/spreadsheetml/2009/9/main" objectType="Radio" checked="Checked" firstButton="1" fmlaLink="$E$18" lockText="1" noThreeD="1"/>
</file>

<file path=xl/ctrlProps/ctrlProp229.xml><?xml version="1.0" encoding="utf-8"?>
<formControlPr xmlns="http://schemas.microsoft.com/office/spreadsheetml/2009/9/main" objectType="Radio" lockText="1" noThreeD="1"/>
</file>

<file path=xl/ctrlProps/ctrlProp230.xml><?xml version="1.0" encoding="utf-8"?>
<formControlPr xmlns="http://schemas.microsoft.com/office/spreadsheetml/2009/9/main" objectType="GBox" noThreeD="1"/>
</file>

<file path=xl/ctrlProps/ctrlProp231.xml><?xml version="1.0" encoding="utf-8"?>
<formControlPr xmlns="http://schemas.microsoft.com/office/spreadsheetml/2009/9/main" objectType="Radio" checked="Checked" firstButton="1" fmlaLink="$E$19" lockText="1" noThreeD="1"/>
</file>

<file path=xl/ctrlProps/ctrlProp232.xml><?xml version="1.0" encoding="utf-8"?>
<formControlPr xmlns="http://schemas.microsoft.com/office/spreadsheetml/2009/9/main" objectType="Radio" lockText="1" noThreeD="1"/>
</file>

<file path=xl/ctrlProps/ctrlProp233.xml><?xml version="1.0" encoding="utf-8"?>
<formControlPr xmlns="http://schemas.microsoft.com/office/spreadsheetml/2009/9/main" objectType="GBox" noThreeD="1"/>
</file>

<file path=xl/ctrlProps/ctrlProp234.xml><?xml version="1.0" encoding="utf-8"?>
<formControlPr xmlns="http://schemas.microsoft.com/office/spreadsheetml/2009/9/main" objectType="Radio" checked="Checked" firstButton="1" fmlaLink="$E$22" lockText="1" noThreeD="1"/>
</file>

<file path=xl/ctrlProps/ctrlProp235.xml><?xml version="1.0" encoding="utf-8"?>
<formControlPr xmlns="http://schemas.microsoft.com/office/spreadsheetml/2009/9/main" objectType="Radio" lockText="1" noThreeD="1"/>
</file>

<file path=xl/ctrlProps/ctrlProp236.xml><?xml version="1.0" encoding="utf-8"?>
<formControlPr xmlns="http://schemas.microsoft.com/office/spreadsheetml/2009/9/main" objectType="GBox" noThreeD="1"/>
</file>

<file path=xl/ctrlProps/ctrlProp237.xml><?xml version="1.0" encoding="utf-8"?>
<formControlPr xmlns="http://schemas.microsoft.com/office/spreadsheetml/2009/9/main" objectType="Radio" firstButton="1" fmlaLink="$E$25" lockText="1" noThreeD="1"/>
</file>

<file path=xl/ctrlProps/ctrlProp238.xml><?xml version="1.0" encoding="utf-8"?>
<formControlPr xmlns="http://schemas.microsoft.com/office/spreadsheetml/2009/9/main" objectType="Radio" checked="Checked" lockText="1" noThreeD="1"/>
</file>

<file path=xl/ctrlProps/ctrlProp239.xml><?xml version="1.0" encoding="utf-8"?>
<formControlPr xmlns="http://schemas.microsoft.com/office/spreadsheetml/2009/9/main" objectType="GBox" noThreeD="1"/>
</file>

<file path=xl/ctrlProps/ctrlProp240.xml><?xml version="1.0" encoding="utf-8"?>
<formControlPr xmlns="http://schemas.microsoft.com/office/spreadsheetml/2009/9/main" objectType="Radio" firstButton="1" fmlaLink="$E$13" lockText="1" noThreeD="1"/>
</file>

<file path=xl/ctrlProps/ctrlProp241.xml><?xml version="1.0" encoding="utf-8"?>
<formControlPr xmlns="http://schemas.microsoft.com/office/spreadsheetml/2009/9/main" objectType="Radio" checked="Checked" lockText="1" noThreeD="1"/>
</file>

<file path=xl/ctrlProps/ctrlProp242.xml><?xml version="1.0" encoding="utf-8"?>
<formControlPr xmlns="http://schemas.microsoft.com/office/spreadsheetml/2009/9/main" objectType="GBox" noThreeD="1"/>
</file>

<file path=xl/ctrlProps/ctrlProp243.xml><?xml version="1.0" encoding="utf-8"?>
<formControlPr xmlns="http://schemas.microsoft.com/office/spreadsheetml/2009/9/main" objectType="Radio" firstButton="1" fmlaLink="$E$14" lockText="1" noThreeD="1"/>
</file>

<file path=xl/ctrlProps/ctrlProp244.xml><?xml version="1.0" encoding="utf-8"?>
<formControlPr xmlns="http://schemas.microsoft.com/office/spreadsheetml/2009/9/main" objectType="Radio" checked="Checked" lockText="1" noThreeD="1"/>
</file>

<file path=xl/ctrlProps/ctrlProp245.xml><?xml version="1.0" encoding="utf-8"?>
<formControlPr xmlns="http://schemas.microsoft.com/office/spreadsheetml/2009/9/main" objectType="GBox" noThreeD="1"/>
</file>

<file path=xl/ctrlProps/ctrlProp246.xml><?xml version="1.0" encoding="utf-8"?>
<formControlPr xmlns="http://schemas.microsoft.com/office/spreadsheetml/2009/9/main" objectType="Radio" checked="Checked" firstButton="1" fmlaLink="$E$27" lockText="1" noThreeD="1"/>
</file>

<file path=xl/ctrlProps/ctrlProp247.xml><?xml version="1.0" encoding="utf-8"?>
<formControlPr xmlns="http://schemas.microsoft.com/office/spreadsheetml/2009/9/main" objectType="Radio" lockText="1" noThreeD="1"/>
</file>

<file path=xl/ctrlProps/ctrlProp248.xml><?xml version="1.0" encoding="utf-8"?>
<formControlPr xmlns="http://schemas.microsoft.com/office/spreadsheetml/2009/9/main" objectType="GBox" noThreeD="1"/>
</file>

<file path=xl/ctrlProps/ctrlProp249.xml><?xml version="1.0" encoding="utf-8"?>
<formControlPr xmlns="http://schemas.microsoft.com/office/spreadsheetml/2009/9/main" objectType="Radio" checked="Checked" firstButton="1" fmlaLink="$E$24" lockText="1" noThreeD="1"/>
</file>

<file path=xl/ctrlProps/ctrlProp250.xml><?xml version="1.0" encoding="utf-8"?>
<formControlPr xmlns="http://schemas.microsoft.com/office/spreadsheetml/2009/9/main" objectType="Radio" lockText="1" noThreeD="1"/>
</file>

<file path=xl/ctrlProps/ctrlProp251.xml><?xml version="1.0" encoding="utf-8"?>
<formControlPr xmlns="http://schemas.microsoft.com/office/spreadsheetml/2009/9/main" objectType="GBox" noThreeD="1"/>
</file>

<file path=xl/ctrlProps/ctrlProp252.xml><?xml version="1.0" encoding="utf-8"?>
<formControlPr xmlns="http://schemas.microsoft.com/office/spreadsheetml/2009/9/main" objectType="Radio" checked="Checked" firstButton="1" fmlaLink="$E$28" lockText="1" noThreeD="1"/>
</file>

<file path=xl/ctrlProps/ctrlProp253.xml><?xml version="1.0" encoding="utf-8"?>
<formControlPr xmlns="http://schemas.microsoft.com/office/spreadsheetml/2009/9/main" objectType="Radio" lockText="1" noThreeD="1"/>
</file>

<file path=xl/ctrlProps/ctrlProp254.xml><?xml version="1.0" encoding="utf-8"?>
<formControlPr xmlns="http://schemas.microsoft.com/office/spreadsheetml/2009/9/main" objectType="GBox" noThreeD="1"/>
</file>

<file path=xl/ctrlProps/ctrlProp255.xml><?xml version="1.0" encoding="utf-8"?>
<formControlPr xmlns="http://schemas.microsoft.com/office/spreadsheetml/2009/9/main" objectType="Radio" checked="Checked" firstButton="1" fmlaLink="$E$29" lockText="1" noThreeD="1"/>
</file>

<file path=xl/ctrlProps/ctrlProp256.xml><?xml version="1.0" encoding="utf-8"?>
<formControlPr xmlns="http://schemas.microsoft.com/office/spreadsheetml/2009/9/main" objectType="Radio" lockText="1" noThreeD="1"/>
</file>

<file path=xl/ctrlProps/ctrlProp257.xml><?xml version="1.0" encoding="utf-8"?>
<formControlPr xmlns="http://schemas.microsoft.com/office/spreadsheetml/2009/9/main" objectType="GBox" noThreeD="1"/>
</file>

<file path=xl/ctrlProps/ctrlProp258.xml><?xml version="1.0" encoding="utf-8"?>
<formControlPr xmlns="http://schemas.microsoft.com/office/spreadsheetml/2009/9/main" objectType="Radio" checked="Checked" firstButton="1" fmlaLink="$E$30" lockText="1" noThreeD="1"/>
</file>

<file path=xl/ctrlProps/ctrlProp259.xml><?xml version="1.0" encoding="utf-8"?>
<formControlPr xmlns="http://schemas.microsoft.com/office/spreadsheetml/2009/9/main" objectType="Radio" lockText="1" noThreeD="1"/>
</file>

<file path=xl/ctrlProps/ctrlProp260.xml><?xml version="1.0" encoding="utf-8"?>
<formControlPr xmlns="http://schemas.microsoft.com/office/spreadsheetml/2009/9/main" objectType="GBox" noThreeD="1"/>
</file>

<file path=xl/ctrlProps/ctrlProp261.xml><?xml version="1.0" encoding="utf-8"?>
<formControlPr xmlns="http://schemas.microsoft.com/office/spreadsheetml/2009/9/main" objectType="Radio" checked="Checked" firstButton="1" fmlaLink="$E$31" lockText="1" noThreeD="1"/>
</file>

<file path=xl/ctrlProps/ctrlProp262.xml><?xml version="1.0" encoding="utf-8"?>
<formControlPr xmlns="http://schemas.microsoft.com/office/spreadsheetml/2009/9/main" objectType="Radio" lockText="1" noThreeD="1"/>
</file>

<file path=xl/ctrlProps/ctrlProp263.xml><?xml version="1.0" encoding="utf-8"?>
<formControlPr xmlns="http://schemas.microsoft.com/office/spreadsheetml/2009/9/main" objectType="GBox" noThreeD="1"/>
</file>

<file path=xl/ctrlProps/ctrlProp264.xml><?xml version="1.0" encoding="utf-8"?>
<formControlPr xmlns="http://schemas.microsoft.com/office/spreadsheetml/2009/9/main" objectType="Radio" checked="Checked" firstButton="1" fmlaLink="$E$32" lockText="1" noThreeD="1"/>
</file>

<file path=xl/ctrlProps/ctrlProp265.xml><?xml version="1.0" encoding="utf-8"?>
<formControlPr xmlns="http://schemas.microsoft.com/office/spreadsheetml/2009/9/main" objectType="Radio" lockText="1" noThreeD="1"/>
</file>

<file path=xl/ctrlProps/ctrlProp266.xml><?xml version="1.0" encoding="utf-8"?>
<formControlPr xmlns="http://schemas.microsoft.com/office/spreadsheetml/2009/9/main" objectType="GBox" noThreeD="1"/>
</file>

<file path=xl/ctrlProps/ctrlProp267.xml><?xml version="1.0" encoding="utf-8"?>
<formControlPr xmlns="http://schemas.microsoft.com/office/spreadsheetml/2009/9/main" objectType="Radio" checked="Checked" firstButton="1" fmlaLink="$E$33" lockText="1" noThreeD="1"/>
</file>

<file path=xl/ctrlProps/ctrlProp268.xml><?xml version="1.0" encoding="utf-8"?>
<formControlPr xmlns="http://schemas.microsoft.com/office/spreadsheetml/2009/9/main" objectType="Radio" lockText="1" noThreeD="1"/>
</file>

<file path=xl/ctrlProps/ctrlProp269.xml><?xml version="1.0" encoding="utf-8"?>
<formControlPr xmlns="http://schemas.microsoft.com/office/spreadsheetml/2009/9/main" objectType="GBox" noThreeD="1"/>
</file>

<file path=xl/ctrlProps/ctrlProp270.xml><?xml version="1.0" encoding="utf-8"?>
<formControlPr xmlns="http://schemas.microsoft.com/office/spreadsheetml/2009/9/main" objectType="Radio" checked="Checked" firstButton="1" fmlaLink="$E$35" lockText="1" noThreeD="1"/>
</file>

<file path=xl/ctrlProps/ctrlProp271.xml><?xml version="1.0" encoding="utf-8"?>
<formControlPr xmlns="http://schemas.microsoft.com/office/spreadsheetml/2009/9/main" objectType="Radio" lockText="1" noThreeD="1"/>
</file>

<file path=xl/ctrlProps/ctrlProp272.xml><?xml version="1.0" encoding="utf-8"?>
<formControlPr xmlns="http://schemas.microsoft.com/office/spreadsheetml/2009/9/main" objectType="GBox" noThreeD="1"/>
</file>

<file path=xl/ctrlProps/ctrlProp273.xml><?xml version="1.0" encoding="utf-8"?>
<formControlPr xmlns="http://schemas.microsoft.com/office/spreadsheetml/2009/9/main" objectType="Radio" checked="Checked" firstButton="1" fmlaLink="$E$36" lockText="1" noThreeD="1"/>
</file>

<file path=xl/ctrlProps/ctrlProp274.xml><?xml version="1.0" encoding="utf-8"?>
<formControlPr xmlns="http://schemas.microsoft.com/office/spreadsheetml/2009/9/main" objectType="Radio" lockText="1" noThreeD="1"/>
</file>

<file path=xl/ctrlProps/ctrlProp275.xml><?xml version="1.0" encoding="utf-8"?>
<formControlPr xmlns="http://schemas.microsoft.com/office/spreadsheetml/2009/9/main" objectType="GBox" noThreeD="1"/>
</file>

<file path=xl/ctrlProps/ctrlProp276.xml><?xml version="1.0" encoding="utf-8"?>
<formControlPr xmlns="http://schemas.microsoft.com/office/spreadsheetml/2009/9/main" objectType="Radio" checked="Checked" firstButton="1" fmlaLink="$E$37" lockText="1" noThreeD="1"/>
</file>

<file path=xl/ctrlProps/ctrlProp277.xml><?xml version="1.0" encoding="utf-8"?>
<formControlPr xmlns="http://schemas.microsoft.com/office/spreadsheetml/2009/9/main" objectType="Radio" lockText="1" noThreeD="1"/>
</file>

<file path=xl/ctrlProps/ctrlProp278.xml><?xml version="1.0" encoding="utf-8"?>
<formControlPr xmlns="http://schemas.microsoft.com/office/spreadsheetml/2009/9/main" objectType="GBox" noThreeD="1"/>
</file>

<file path=xl/ctrlProps/ctrlProp279.xml><?xml version="1.0" encoding="utf-8"?>
<formControlPr xmlns="http://schemas.microsoft.com/office/spreadsheetml/2009/9/main" objectType="Radio" checked="Checked" firstButton="1" fmlaLink="$E$38" lockText="1" noThreeD="1"/>
</file>

<file path=xl/ctrlProps/ctrlProp280.xml><?xml version="1.0" encoding="utf-8"?>
<formControlPr xmlns="http://schemas.microsoft.com/office/spreadsheetml/2009/9/main" objectType="Radio" lockText="1" noThreeD="1"/>
</file>

<file path=xl/ctrlProps/ctrlProp281.xml><?xml version="1.0" encoding="utf-8"?>
<formControlPr xmlns="http://schemas.microsoft.com/office/spreadsheetml/2009/9/main" objectType="GBox" noThreeD="1"/>
</file>

<file path=xl/ctrlProps/ctrlProp282.xml><?xml version="1.0" encoding="utf-8"?>
<formControlPr xmlns="http://schemas.microsoft.com/office/spreadsheetml/2009/9/main" objectType="Radio" checked="Checked" firstButton="1" fmlaLink="$E$39" lockText="1" noThreeD="1"/>
</file>

<file path=xl/ctrlProps/ctrlProp283.xml><?xml version="1.0" encoding="utf-8"?>
<formControlPr xmlns="http://schemas.microsoft.com/office/spreadsheetml/2009/9/main" objectType="Radio" lockText="1" noThreeD="1"/>
</file>

<file path=xl/ctrlProps/ctrlProp284.xml><?xml version="1.0" encoding="utf-8"?>
<formControlPr xmlns="http://schemas.microsoft.com/office/spreadsheetml/2009/9/main" objectType="GBox" noThreeD="1"/>
</file>

<file path=xl/ctrlProps/ctrlProp285.xml><?xml version="1.0" encoding="utf-8"?>
<formControlPr xmlns="http://schemas.microsoft.com/office/spreadsheetml/2009/9/main" objectType="Radio" firstButton="1" fmlaLink="$E$40" lockText="1" noThreeD="1"/>
</file>

<file path=xl/ctrlProps/ctrlProp286.xml><?xml version="1.0" encoding="utf-8"?>
<formControlPr xmlns="http://schemas.microsoft.com/office/spreadsheetml/2009/9/main" objectType="Radio" checked="Checked" lockText="1" noThreeD="1"/>
</file>

<file path=xl/ctrlProps/ctrlProp287.xml><?xml version="1.0" encoding="utf-8"?>
<formControlPr xmlns="http://schemas.microsoft.com/office/spreadsheetml/2009/9/main" objectType="GBox" noThreeD="1"/>
</file>

<file path=xl/ctrlProps/ctrlProp288.xml><?xml version="1.0" encoding="utf-8"?>
<formControlPr xmlns="http://schemas.microsoft.com/office/spreadsheetml/2009/9/main" objectType="Radio" checked="Checked" firstButton="1" fmlaLink="$E$6" lockText="1" noThreeD="1"/>
</file>

<file path=xl/ctrlProps/ctrlProp289.xml><?xml version="1.0" encoding="utf-8"?>
<formControlPr xmlns="http://schemas.microsoft.com/office/spreadsheetml/2009/9/main" objectType="Radio" lockText="1" noThreeD="1"/>
</file>

<file path=xl/ctrlProps/ctrlProp290.xml><?xml version="1.0" encoding="utf-8"?>
<formControlPr xmlns="http://schemas.microsoft.com/office/spreadsheetml/2009/9/main" objectType="GBox" noThreeD="1"/>
</file>

<file path=xl/ctrlProps/ctrlProp291.xml><?xml version="1.0" encoding="utf-8"?>
<formControlPr xmlns="http://schemas.microsoft.com/office/spreadsheetml/2009/9/main" objectType="Radio" checked="Checked" firstButton="1" fmlaLink="$E$21" lockText="1" noThreeD="1"/>
</file>

<file path=xl/ctrlProps/ctrlProp292.xml><?xml version="1.0" encoding="utf-8"?>
<formControlPr xmlns="http://schemas.microsoft.com/office/spreadsheetml/2009/9/main" objectType="Radio" lockText="1" noThreeD="1"/>
</file>

<file path=xl/ctrlProps/ctrlProp293.xml><?xml version="1.0" encoding="utf-8"?>
<formControlPr xmlns="http://schemas.microsoft.com/office/spreadsheetml/2009/9/main" objectType="GBox" noThreeD="1"/>
</file>

<file path=xl/ctrlProps/ctrlProp294.xml><?xml version="1.0" encoding="utf-8"?>
<formControlPr xmlns="http://schemas.microsoft.com/office/spreadsheetml/2009/9/main" objectType="Radio" checked="Checked" firstButton="1" fmlaLink="$E$23" lockText="1" noThreeD="1"/>
</file>

<file path=xl/ctrlProps/ctrlProp295.xml><?xml version="1.0" encoding="utf-8"?>
<formControlPr xmlns="http://schemas.microsoft.com/office/spreadsheetml/2009/9/main" objectType="Radio" lockText="1" noThreeD="1"/>
</file>

<file path=xl/ctrlProps/ctrlProp296.xml><?xml version="1.0" encoding="utf-8"?>
<formControlPr xmlns="http://schemas.microsoft.com/office/spreadsheetml/2009/9/main" objectType="GBox" noThreeD="1"/>
</file>

<file path=xl/ctrlProps/ctrlProp297.xml><?xml version="1.0" encoding="utf-8"?>
<formControlPr xmlns="http://schemas.microsoft.com/office/spreadsheetml/2009/9/main" objectType="Radio" checked="Checked" firstButton="1" fmlaLink="$E$12" lockText="1" noThreeD="1"/>
</file>

<file path=xl/ctrlProps/ctrlProp298.xml><?xml version="1.0" encoding="utf-8"?>
<formControlPr xmlns="http://schemas.microsoft.com/office/spreadsheetml/2009/9/main" objectType="Radio" lockText="1" noThreeD="1"/>
</file>

<file path=xl/ctrlProps/ctrlProp299.xml><?xml version="1.0" encoding="utf-8"?>
<formControlPr xmlns="http://schemas.microsoft.com/office/spreadsheetml/2009/9/main" objectType="GBox" noThreeD="1"/>
</file>

<file path=xl/ctrlProps/ctrlProp300.xml><?xml version="1.0" encoding="utf-8"?>
<formControlPr xmlns="http://schemas.microsoft.com/office/spreadsheetml/2009/9/main" objectType="Radio" checked="Checked" firstButton="1" fmlaLink="$E$7" lockText="1" noThreeD="1"/>
</file>

<file path=xl/ctrlProps/ctrlProp301.xml><?xml version="1.0" encoding="utf-8"?>
<formControlPr xmlns="http://schemas.microsoft.com/office/spreadsheetml/2009/9/main" objectType="Radio" lockText="1" noThreeD="1"/>
</file>

<file path=xl/ctrlProps/ctrlProp302.xml><?xml version="1.0" encoding="utf-8"?>
<formControlPr xmlns="http://schemas.microsoft.com/office/spreadsheetml/2009/9/main" objectType="GBox" noThreeD="1"/>
</file>

<file path=xl/ctrlProps/ctrlProp303.xml><?xml version="1.0" encoding="utf-8"?>
<formControlPr xmlns="http://schemas.microsoft.com/office/spreadsheetml/2009/9/main" objectType="Radio" checked="Checked" firstButton="1" fmlaLink="$E$15" lockText="1" noThreeD="1"/>
</file>

<file path=xl/ctrlProps/ctrlProp304.xml><?xml version="1.0" encoding="utf-8"?>
<formControlPr xmlns="http://schemas.microsoft.com/office/spreadsheetml/2009/9/main" objectType="Radio" lockText="1" noThreeD="1"/>
</file>

<file path=xl/ctrlProps/ctrlProp305.xml><?xml version="1.0" encoding="utf-8"?>
<formControlPr xmlns="http://schemas.microsoft.com/office/spreadsheetml/2009/9/main" objectType="GBox" noThreeD="1"/>
</file>

<file path=xl/ctrlProps/ctrlProp306.xml><?xml version="1.0" encoding="utf-8"?>
<formControlPr xmlns="http://schemas.microsoft.com/office/spreadsheetml/2009/9/main" objectType="Radio" checked="Checked" firstButton="1" fmlaLink="$E$16" lockText="1" noThreeD="1"/>
</file>

<file path=xl/ctrlProps/ctrlProp307.xml><?xml version="1.0" encoding="utf-8"?>
<formControlPr xmlns="http://schemas.microsoft.com/office/spreadsheetml/2009/9/main" objectType="Radio" lockText="1" noThreeD="1"/>
</file>

<file path=xl/ctrlProps/ctrlProp308.xml><?xml version="1.0" encoding="utf-8"?>
<formControlPr xmlns="http://schemas.microsoft.com/office/spreadsheetml/2009/9/main" objectType="GBox" noThreeD="1"/>
</file>

<file path=xl/ctrlProps/ctrlProp309.xml><?xml version="1.0" encoding="utf-8"?>
<formControlPr xmlns="http://schemas.microsoft.com/office/spreadsheetml/2009/9/main" objectType="Radio" firstButton="1" fmlaLink="$E$17" lockText="1" noThreeD="1"/>
</file>

<file path=xl/ctrlProps/ctrlProp310.xml><?xml version="1.0" encoding="utf-8"?>
<formControlPr xmlns="http://schemas.microsoft.com/office/spreadsheetml/2009/9/main" objectType="Radio" checked="Checked" lockText="1" noThreeD="1"/>
</file>

<file path=xl/ctrlProps/ctrlProp311.xml><?xml version="1.0" encoding="utf-8"?>
<formControlPr xmlns="http://schemas.microsoft.com/office/spreadsheetml/2009/9/main" objectType="GBox" noThreeD="1"/>
</file>

<file path=xl/ctrlProps/ctrlProp312.xml><?xml version="1.0" encoding="utf-8"?>
<formControlPr xmlns="http://schemas.microsoft.com/office/spreadsheetml/2009/9/main" objectType="Radio" checked="Checked" firstButton="1" fmlaLink="$E$11" lockText="1" noThreeD="1"/>
</file>

<file path=xl/ctrlProps/ctrlProp313.xml><?xml version="1.0" encoding="utf-8"?>
<formControlPr xmlns="http://schemas.microsoft.com/office/spreadsheetml/2009/9/main" objectType="Radio" lockText="1" noThreeD="1"/>
</file>

<file path=xl/ctrlProps/ctrlProp314.xml><?xml version="1.0" encoding="utf-8"?>
<formControlPr xmlns="http://schemas.microsoft.com/office/spreadsheetml/2009/9/main" objectType="GBox" noThreeD="1"/>
</file>

<file path=xl/ctrlProps/ctrlProp315.xml><?xml version="1.0" encoding="utf-8"?>
<formControlPr xmlns="http://schemas.microsoft.com/office/spreadsheetml/2009/9/main" objectType="Radio" checked="Checked" firstButton="1" fmlaLink="$E$9" lockText="1" noThreeD="1"/>
</file>

<file path=xl/ctrlProps/ctrlProp316.xml><?xml version="1.0" encoding="utf-8"?>
<formControlPr xmlns="http://schemas.microsoft.com/office/spreadsheetml/2009/9/main" objectType="Radio" lockText="1" noThreeD="1"/>
</file>

<file path=xl/ctrlProps/ctrlProp317.xml><?xml version="1.0" encoding="utf-8"?>
<formControlPr xmlns="http://schemas.microsoft.com/office/spreadsheetml/2009/9/main" objectType="GBox" noThreeD="1"/>
</file>

<file path=xl/ctrlProps/ctrlProp318.xml><?xml version="1.0" encoding="utf-8"?>
<formControlPr xmlns="http://schemas.microsoft.com/office/spreadsheetml/2009/9/main" objectType="Radio" checked="Checked" firstButton="1" fmlaLink="$E$10" lockText="1" noThreeD="1"/>
</file>

<file path=xl/ctrlProps/ctrlProp319.xml><?xml version="1.0" encoding="utf-8"?>
<formControlPr xmlns="http://schemas.microsoft.com/office/spreadsheetml/2009/9/main" objectType="Radio" lockText="1" noThreeD="1"/>
</file>

<file path=xl/ctrlProps/ctrlProp320.xml><?xml version="1.0" encoding="utf-8"?>
<formControlPr xmlns="http://schemas.microsoft.com/office/spreadsheetml/2009/9/main" objectType="GBox" noThreeD="1"/>
</file>

<file path=xl/ctrlProps/ctrlProp321.xml><?xml version="1.0" encoding="utf-8"?>
<formControlPr xmlns="http://schemas.microsoft.com/office/spreadsheetml/2009/9/main" objectType="Radio" checked="Checked" firstButton="1" fmlaLink="$E$18" lockText="1" noThreeD="1"/>
</file>

<file path=xl/ctrlProps/ctrlProp322.xml><?xml version="1.0" encoding="utf-8"?>
<formControlPr xmlns="http://schemas.microsoft.com/office/spreadsheetml/2009/9/main" objectType="Radio" lockText="1" noThreeD="1"/>
</file>

<file path=xl/ctrlProps/ctrlProp323.xml><?xml version="1.0" encoding="utf-8"?>
<formControlPr xmlns="http://schemas.microsoft.com/office/spreadsheetml/2009/9/main" objectType="GBox" noThreeD="1"/>
</file>

<file path=xl/ctrlProps/ctrlProp324.xml><?xml version="1.0" encoding="utf-8"?>
<formControlPr xmlns="http://schemas.microsoft.com/office/spreadsheetml/2009/9/main" objectType="Radio" firstButton="1" fmlaLink="$E$13" lockText="1" noThreeD="1"/>
</file>

<file path=xl/ctrlProps/ctrlProp325.xml><?xml version="1.0" encoding="utf-8"?>
<formControlPr xmlns="http://schemas.microsoft.com/office/spreadsheetml/2009/9/main" objectType="Radio" checked="Checked" lockText="1" noThreeD="1"/>
</file>

<file path=xl/ctrlProps/ctrlProp326.xml><?xml version="1.0" encoding="utf-8"?>
<formControlPr xmlns="http://schemas.microsoft.com/office/spreadsheetml/2009/9/main" objectType="GBox" noThreeD="1"/>
</file>

<file path=xl/ctrlProps/ctrlProp327.xml><?xml version="1.0" encoding="utf-8"?>
<formControlPr xmlns="http://schemas.microsoft.com/office/spreadsheetml/2009/9/main" objectType="Radio" checked="Checked" firstButton="1" fmlaLink="$E$14" lockText="1" noThreeD="1"/>
</file>

<file path=xl/ctrlProps/ctrlProp328.xml><?xml version="1.0" encoding="utf-8"?>
<formControlPr xmlns="http://schemas.microsoft.com/office/spreadsheetml/2009/9/main" objectType="Radio" lockText="1" noThreeD="1"/>
</file>

<file path=xl/ctrlProps/ctrlProp329.xml><?xml version="1.0" encoding="utf-8"?>
<formControlPr xmlns="http://schemas.microsoft.com/office/spreadsheetml/2009/9/main" objectType="GBox" noThreeD="1"/>
</file>

<file path=xl/ctrlProps/ctrlProp330.xml><?xml version="1.0" encoding="utf-8"?>
<formControlPr xmlns="http://schemas.microsoft.com/office/spreadsheetml/2009/9/main" objectType="Radio" firstButton="1" fmlaLink="$E$6" lockText="1" noThreeD="1"/>
</file>

<file path=xl/ctrlProps/ctrlProp331.xml><?xml version="1.0" encoding="utf-8"?>
<formControlPr xmlns="http://schemas.microsoft.com/office/spreadsheetml/2009/9/main" objectType="Radio" checked="Checked" lockText="1" noThreeD="1"/>
</file>

<file path=xl/ctrlProps/ctrlProp332.xml><?xml version="1.0" encoding="utf-8"?>
<formControlPr xmlns="http://schemas.microsoft.com/office/spreadsheetml/2009/9/main" objectType="GBox" noThreeD="1"/>
</file>

<file path=xl/ctrlProps/ctrlProp333.xml><?xml version="1.0" encoding="utf-8"?>
<formControlPr xmlns="http://schemas.microsoft.com/office/spreadsheetml/2009/9/main" objectType="Radio" checked="Checked" firstButton="1" fmlaLink="$E$8" lockText="1" noThreeD="1"/>
</file>

<file path=xl/ctrlProps/ctrlProp334.xml><?xml version="1.0" encoding="utf-8"?>
<formControlPr xmlns="http://schemas.microsoft.com/office/spreadsheetml/2009/9/main" objectType="Radio" lockText="1" noThreeD="1"/>
</file>

<file path=xl/ctrlProps/ctrlProp335.xml><?xml version="1.0" encoding="utf-8"?>
<formControlPr xmlns="http://schemas.microsoft.com/office/spreadsheetml/2009/9/main" objectType="GBox" noThreeD="1"/>
</file>

<file path=xl/ctrlProps/ctrlProp336.xml><?xml version="1.0" encoding="utf-8"?>
<formControlPr xmlns="http://schemas.microsoft.com/office/spreadsheetml/2009/9/main" objectType="Radio" checked="Checked" firstButton="1" fmlaLink="$E$12" lockText="1" noThreeD="1"/>
</file>

<file path=xl/ctrlProps/ctrlProp337.xml><?xml version="1.0" encoding="utf-8"?>
<formControlPr xmlns="http://schemas.microsoft.com/office/spreadsheetml/2009/9/main" objectType="Radio" lockText="1" noThreeD="1"/>
</file>

<file path=xl/ctrlProps/ctrlProp338.xml><?xml version="1.0" encoding="utf-8"?>
<formControlPr xmlns="http://schemas.microsoft.com/office/spreadsheetml/2009/9/main" objectType="GBox" noThreeD="1"/>
</file>

<file path=xl/ctrlProps/ctrlProp339.xml><?xml version="1.0" encoding="utf-8"?>
<formControlPr xmlns="http://schemas.microsoft.com/office/spreadsheetml/2009/9/main" objectType="Radio" checked="Checked" firstButton="1" fmlaLink="$E$7" lockText="1" noThreeD="1"/>
</file>

<file path=xl/ctrlProps/ctrlProp340.xml><?xml version="1.0" encoding="utf-8"?>
<formControlPr xmlns="http://schemas.microsoft.com/office/spreadsheetml/2009/9/main" objectType="Radio" lockText="1" noThreeD="1"/>
</file>

<file path=xl/ctrlProps/ctrlProp341.xml><?xml version="1.0" encoding="utf-8"?>
<formControlPr xmlns="http://schemas.microsoft.com/office/spreadsheetml/2009/9/main" objectType="GBox" noThreeD="1"/>
</file>

<file path=xl/ctrlProps/ctrlProp342.xml><?xml version="1.0" encoding="utf-8"?>
<formControlPr xmlns="http://schemas.microsoft.com/office/spreadsheetml/2009/9/main" objectType="Radio" checked="Checked" firstButton="1" fmlaLink="$E$15" lockText="1" noThreeD="1"/>
</file>

<file path=xl/ctrlProps/ctrlProp343.xml><?xml version="1.0" encoding="utf-8"?>
<formControlPr xmlns="http://schemas.microsoft.com/office/spreadsheetml/2009/9/main" objectType="Radio" lockText="1" noThreeD="1"/>
</file>

<file path=xl/ctrlProps/ctrlProp344.xml><?xml version="1.0" encoding="utf-8"?>
<formControlPr xmlns="http://schemas.microsoft.com/office/spreadsheetml/2009/9/main" objectType="GBox" noThreeD="1"/>
</file>

<file path=xl/ctrlProps/ctrlProp345.xml><?xml version="1.0" encoding="utf-8"?>
<formControlPr xmlns="http://schemas.microsoft.com/office/spreadsheetml/2009/9/main" objectType="Radio" firstButton="1" fmlaLink="$E$16" lockText="1" noThreeD="1"/>
</file>

<file path=xl/ctrlProps/ctrlProp346.xml><?xml version="1.0" encoding="utf-8"?>
<formControlPr xmlns="http://schemas.microsoft.com/office/spreadsheetml/2009/9/main" objectType="Radio" checked="Checked" lockText="1" noThreeD="1"/>
</file>

<file path=xl/ctrlProps/ctrlProp347.xml><?xml version="1.0" encoding="utf-8"?>
<formControlPr xmlns="http://schemas.microsoft.com/office/spreadsheetml/2009/9/main" objectType="GBox" noThreeD="1"/>
</file>

<file path=xl/ctrlProps/ctrlProp348.xml><?xml version="1.0" encoding="utf-8"?>
<formControlPr xmlns="http://schemas.microsoft.com/office/spreadsheetml/2009/9/main" objectType="Radio" checked="Checked" firstButton="1" fmlaLink="$E$17" lockText="1" noThreeD="1"/>
</file>

<file path=xl/ctrlProps/ctrlProp349.xml><?xml version="1.0" encoding="utf-8"?>
<formControlPr xmlns="http://schemas.microsoft.com/office/spreadsheetml/2009/9/main" objectType="Radio" lockText="1" noThreeD="1"/>
</file>

<file path=xl/ctrlProps/ctrlProp350.xml><?xml version="1.0" encoding="utf-8"?>
<formControlPr xmlns="http://schemas.microsoft.com/office/spreadsheetml/2009/9/main" objectType="GBox" noThreeD="1"/>
</file>

<file path=xl/ctrlProps/ctrlProp351.xml><?xml version="1.0" encoding="utf-8"?>
<formControlPr xmlns="http://schemas.microsoft.com/office/spreadsheetml/2009/9/main" objectType="Radio" checked="Checked" firstButton="1" fmlaLink="$E$11" lockText="1" noThreeD="1"/>
</file>

<file path=xl/ctrlProps/ctrlProp352.xml><?xml version="1.0" encoding="utf-8"?>
<formControlPr xmlns="http://schemas.microsoft.com/office/spreadsheetml/2009/9/main" objectType="Radio" lockText="1" noThreeD="1"/>
</file>

<file path=xl/ctrlProps/ctrlProp353.xml><?xml version="1.0" encoding="utf-8"?>
<formControlPr xmlns="http://schemas.microsoft.com/office/spreadsheetml/2009/9/main" objectType="GBox" noThreeD="1"/>
</file>

<file path=xl/ctrlProps/ctrlProp354.xml><?xml version="1.0" encoding="utf-8"?>
<formControlPr xmlns="http://schemas.microsoft.com/office/spreadsheetml/2009/9/main" objectType="Radio" checked="Checked" firstButton="1" fmlaLink="$E$9" lockText="1" noThreeD="1"/>
</file>

<file path=xl/ctrlProps/ctrlProp355.xml><?xml version="1.0" encoding="utf-8"?>
<formControlPr xmlns="http://schemas.microsoft.com/office/spreadsheetml/2009/9/main" objectType="Radio" lockText="1" noThreeD="1"/>
</file>

<file path=xl/ctrlProps/ctrlProp356.xml><?xml version="1.0" encoding="utf-8"?>
<formControlPr xmlns="http://schemas.microsoft.com/office/spreadsheetml/2009/9/main" objectType="GBox" noThreeD="1"/>
</file>

<file path=xl/ctrlProps/ctrlProp357.xml><?xml version="1.0" encoding="utf-8"?>
<formControlPr xmlns="http://schemas.microsoft.com/office/spreadsheetml/2009/9/main" objectType="Radio" checked="Checked" firstButton="1" fmlaLink="$E$10" lockText="1" noThreeD="1"/>
</file>

<file path=xl/ctrlProps/ctrlProp358.xml><?xml version="1.0" encoding="utf-8"?>
<formControlPr xmlns="http://schemas.microsoft.com/office/spreadsheetml/2009/9/main" objectType="Radio" lockText="1" noThreeD="1"/>
</file>

<file path=xl/ctrlProps/ctrlProp359.xml><?xml version="1.0" encoding="utf-8"?>
<formControlPr xmlns="http://schemas.microsoft.com/office/spreadsheetml/2009/9/main" objectType="GBox" noThreeD="1"/>
</file>

<file path=xl/ctrlProps/ctrlProp360.xml><?xml version="1.0" encoding="utf-8"?>
<formControlPr xmlns="http://schemas.microsoft.com/office/spreadsheetml/2009/9/main" objectType="Radio" firstButton="1" fmlaLink="$E$18" lockText="1" noThreeD="1"/>
</file>

<file path=xl/ctrlProps/ctrlProp361.xml><?xml version="1.0" encoding="utf-8"?>
<formControlPr xmlns="http://schemas.microsoft.com/office/spreadsheetml/2009/9/main" objectType="Radio" checked="Checked" lockText="1" noThreeD="1"/>
</file>

<file path=xl/ctrlProps/ctrlProp362.xml><?xml version="1.0" encoding="utf-8"?>
<formControlPr xmlns="http://schemas.microsoft.com/office/spreadsheetml/2009/9/main" objectType="GBox" noThreeD="1"/>
</file>

<file path=xl/ctrlProps/ctrlProp363.xml><?xml version="1.0" encoding="utf-8"?>
<formControlPr xmlns="http://schemas.microsoft.com/office/spreadsheetml/2009/9/main" objectType="Radio" checked="Checked" firstButton="1" fmlaLink="$E$19" lockText="1" noThreeD="1"/>
</file>

<file path=xl/ctrlProps/ctrlProp364.xml><?xml version="1.0" encoding="utf-8"?>
<formControlPr xmlns="http://schemas.microsoft.com/office/spreadsheetml/2009/9/main" objectType="Radio" lockText="1" noThreeD="1"/>
</file>

<file path=xl/ctrlProps/ctrlProp365.xml><?xml version="1.0" encoding="utf-8"?>
<formControlPr xmlns="http://schemas.microsoft.com/office/spreadsheetml/2009/9/main" objectType="GBox" noThreeD="1"/>
</file>

<file path=xl/ctrlProps/ctrlProp366.xml><?xml version="1.0" encoding="utf-8"?>
<formControlPr xmlns="http://schemas.microsoft.com/office/spreadsheetml/2009/9/main" objectType="Radio" checked="Checked" firstButton="1" fmlaLink="$E$13" lockText="1" noThreeD="1"/>
</file>

<file path=xl/ctrlProps/ctrlProp367.xml><?xml version="1.0" encoding="utf-8"?>
<formControlPr xmlns="http://schemas.microsoft.com/office/spreadsheetml/2009/9/main" objectType="Radio" lockText="1" noThreeD="1"/>
</file>

<file path=xl/ctrlProps/ctrlProp368.xml><?xml version="1.0" encoding="utf-8"?>
<formControlPr xmlns="http://schemas.microsoft.com/office/spreadsheetml/2009/9/main" objectType="GBox" noThreeD="1"/>
</file>

<file path=xl/ctrlProps/ctrlProp369.xml><?xml version="1.0" encoding="utf-8"?>
<formControlPr xmlns="http://schemas.microsoft.com/office/spreadsheetml/2009/9/main" objectType="Radio" checked="Checked" firstButton="1" fmlaLink="$E$14" lockText="1" noThreeD="1"/>
</file>

<file path=xl/ctrlProps/ctrlProp370.xml><?xml version="1.0" encoding="utf-8"?>
<formControlPr xmlns="http://schemas.microsoft.com/office/spreadsheetml/2009/9/main" objectType="Radio" lockText="1" noThreeD="1"/>
</file>

<file path=xl/ctrlProps/ctrlProp371.xml><?xml version="1.0" encoding="utf-8"?>
<formControlPr xmlns="http://schemas.microsoft.com/office/spreadsheetml/2009/9/main" objectType="GBox" noThreeD="1"/>
</file>

<file path=xl/ctrlProps/ctrlProp372.xml><?xml version="1.0" encoding="utf-8"?>
<formControlPr xmlns="http://schemas.microsoft.com/office/spreadsheetml/2009/9/main" objectType="Radio" checked="Checked" firstButton="1" fmlaLink="$E$6" lockText="1" noThreeD="1"/>
</file>

<file path=xl/ctrlProps/ctrlProp373.xml><?xml version="1.0" encoding="utf-8"?>
<formControlPr xmlns="http://schemas.microsoft.com/office/spreadsheetml/2009/9/main" objectType="Radio" lockText="1" noThreeD="1"/>
</file>

<file path=xl/ctrlProps/ctrlProp374.xml><?xml version="1.0" encoding="utf-8"?>
<formControlPr xmlns="http://schemas.microsoft.com/office/spreadsheetml/2009/9/main" objectType="GBox" noThreeD="1"/>
</file>

<file path=xl/ctrlProps/ctrlProp375.xml><?xml version="1.0" encoding="utf-8"?>
<formControlPr xmlns="http://schemas.microsoft.com/office/spreadsheetml/2009/9/main" objectType="Radio" checked="Checked" firstButton="1" fmlaLink="$E$8" lockText="1" noThreeD="1"/>
</file>

<file path=xl/ctrlProps/ctrlProp376.xml><?xml version="1.0" encoding="utf-8"?>
<formControlPr xmlns="http://schemas.microsoft.com/office/spreadsheetml/2009/9/main" objectType="Radio" lockText="1" noThreeD="1"/>
</file>

<file path=xl/ctrlProps/ctrlProp377.xml><?xml version="1.0" encoding="utf-8"?>
<formControlPr xmlns="http://schemas.microsoft.com/office/spreadsheetml/2009/9/main" objectType="GBox" noThreeD="1"/>
</file>

<file path=xl/ctrlProps/ctrlProp378.xml><?xml version="1.0" encoding="utf-8"?>
<formControlPr xmlns="http://schemas.microsoft.com/office/spreadsheetml/2009/9/main" objectType="Radio" checked="Checked" firstButton="1" fmlaLink="$E$12" lockText="1" noThreeD="1"/>
</file>

<file path=xl/ctrlProps/ctrlProp379.xml><?xml version="1.0" encoding="utf-8"?>
<formControlPr xmlns="http://schemas.microsoft.com/office/spreadsheetml/2009/9/main" objectType="Radio" lockText="1" noThreeD="1"/>
</file>

<file path=xl/ctrlProps/ctrlProp380.xml><?xml version="1.0" encoding="utf-8"?>
<formControlPr xmlns="http://schemas.microsoft.com/office/spreadsheetml/2009/9/main" objectType="GBox" noThreeD="1"/>
</file>

<file path=xl/ctrlProps/ctrlProp381.xml><?xml version="1.0" encoding="utf-8"?>
<formControlPr xmlns="http://schemas.microsoft.com/office/spreadsheetml/2009/9/main" objectType="Radio" checked="Checked" firstButton="1" fmlaLink="$E$7" lockText="1" noThreeD="1"/>
</file>

<file path=xl/ctrlProps/ctrlProp382.xml><?xml version="1.0" encoding="utf-8"?>
<formControlPr xmlns="http://schemas.microsoft.com/office/spreadsheetml/2009/9/main" objectType="Radio" lockText="1" noThreeD="1"/>
</file>

<file path=xl/ctrlProps/ctrlProp383.xml><?xml version="1.0" encoding="utf-8"?>
<formControlPr xmlns="http://schemas.microsoft.com/office/spreadsheetml/2009/9/main" objectType="GBox" noThreeD="1"/>
</file>

<file path=xl/ctrlProps/ctrlProp384.xml><?xml version="1.0" encoding="utf-8"?>
<formControlPr xmlns="http://schemas.microsoft.com/office/spreadsheetml/2009/9/main" objectType="Radio" checked="Checked" firstButton="1" fmlaLink="$E$11" lockText="1" noThreeD="1"/>
</file>

<file path=xl/ctrlProps/ctrlProp385.xml><?xml version="1.0" encoding="utf-8"?>
<formControlPr xmlns="http://schemas.microsoft.com/office/spreadsheetml/2009/9/main" objectType="Radio" lockText="1" noThreeD="1"/>
</file>

<file path=xl/ctrlProps/ctrlProp386.xml><?xml version="1.0" encoding="utf-8"?>
<formControlPr xmlns="http://schemas.microsoft.com/office/spreadsheetml/2009/9/main" objectType="GBox" noThreeD="1"/>
</file>

<file path=xl/ctrlProps/ctrlProp387.xml><?xml version="1.0" encoding="utf-8"?>
<formControlPr xmlns="http://schemas.microsoft.com/office/spreadsheetml/2009/9/main" objectType="Radio" checked="Checked" firstButton="1" fmlaLink="$E$9" lockText="1" noThreeD="1"/>
</file>

<file path=xl/ctrlProps/ctrlProp388.xml><?xml version="1.0" encoding="utf-8"?>
<formControlPr xmlns="http://schemas.microsoft.com/office/spreadsheetml/2009/9/main" objectType="Radio" lockText="1" noThreeD="1"/>
</file>

<file path=xl/ctrlProps/ctrlProp389.xml><?xml version="1.0" encoding="utf-8"?>
<formControlPr xmlns="http://schemas.microsoft.com/office/spreadsheetml/2009/9/main" objectType="GBox" noThreeD="1"/>
</file>

<file path=xl/ctrlProps/ctrlProp390.xml><?xml version="1.0" encoding="utf-8"?>
<formControlPr xmlns="http://schemas.microsoft.com/office/spreadsheetml/2009/9/main" objectType="Radio" checked="Checked" firstButton="1" fmlaLink="$E$10" lockText="1" noThreeD="1"/>
</file>

<file path=xl/ctrlProps/ctrlProp391.xml><?xml version="1.0" encoding="utf-8"?>
<formControlPr xmlns="http://schemas.microsoft.com/office/spreadsheetml/2009/9/main" objectType="Radio" lockText="1" noThreeD="1"/>
</file>

<file path=xl/ctrlProps/ctrlProp392.xml><?xml version="1.0" encoding="utf-8"?>
<formControlPr xmlns="http://schemas.microsoft.com/office/spreadsheetml/2009/9/main" objectType="GBox" noThreeD="1"/>
</file>

<file path=xl/ctrlProps/ctrlProp393.xml><?xml version="1.0" encoding="utf-8"?>
<formControlPr xmlns="http://schemas.microsoft.com/office/spreadsheetml/2009/9/main" objectType="Radio" firstButton="1" fmlaLink="$E$13" lockText="1" noThreeD="1"/>
</file>

<file path=xl/ctrlProps/ctrlProp394.xml><?xml version="1.0" encoding="utf-8"?>
<formControlPr xmlns="http://schemas.microsoft.com/office/spreadsheetml/2009/9/main" objectType="Radio" checked="Checked" lockText="1" noThreeD="1"/>
</file>

<file path=xl/ctrlProps/ctrlProp395.xml><?xml version="1.0" encoding="utf-8"?>
<formControlPr xmlns="http://schemas.microsoft.com/office/spreadsheetml/2009/9/main" objectType="GBox" noThreeD="1"/>
</file>

<file path=xl/ctrlProps/ctrlProp396.xml><?xml version="1.0" encoding="utf-8"?>
<formControlPr xmlns="http://schemas.microsoft.com/office/spreadsheetml/2009/9/main" objectType="Radio" firstButton="1" fmlaLink="$E$14" lockText="1" noThreeD="1"/>
</file>

<file path=xl/ctrlProps/ctrlProp397.xml><?xml version="1.0" encoding="utf-8"?>
<formControlPr xmlns="http://schemas.microsoft.com/office/spreadsheetml/2009/9/main" objectType="Radio" checked="Checked" lockText="1" noThreeD="1"/>
</file>

<file path=xl/ctrlProps/ctrlProp398.xml><?xml version="1.0" encoding="utf-8"?>
<formControlPr xmlns="http://schemas.microsoft.com/office/spreadsheetml/2009/9/main" objectType="GBox" noThreeD="1"/>
</file>

<file path=xl/ctrlProps/ctrlProp399.xml><?xml version="1.0" encoding="utf-8"?>
<formControlPr xmlns="http://schemas.microsoft.com/office/spreadsheetml/2009/9/main" objectType="Radio" checked="Checked" firstButton="1" fmlaLink="$E$6" lockText="1" noThreeD="1"/>
</file>

<file path=xl/ctrlProps/ctrlProp400.xml><?xml version="1.0" encoding="utf-8"?>
<formControlPr xmlns="http://schemas.microsoft.com/office/spreadsheetml/2009/9/main" objectType="Radio" lockText="1" noThreeD="1"/>
</file>

<file path=xl/ctrlProps/ctrlProp401.xml><?xml version="1.0" encoding="utf-8"?>
<formControlPr xmlns="http://schemas.microsoft.com/office/spreadsheetml/2009/9/main" objectType="GBox" noThreeD="1"/>
</file>

<file path=xl/ctrlProps/ctrlProp402.xml><?xml version="1.0" encoding="utf-8"?>
<formControlPr xmlns="http://schemas.microsoft.com/office/spreadsheetml/2009/9/main" objectType="Radio" checked="Checked" firstButton="1" fmlaLink="$E$8" lockText="1" noThreeD="1"/>
</file>

<file path=xl/ctrlProps/ctrlProp403.xml><?xml version="1.0" encoding="utf-8"?>
<formControlPr xmlns="http://schemas.microsoft.com/office/spreadsheetml/2009/9/main" objectType="Radio" lockText="1" noThreeD="1"/>
</file>

<file path=xl/ctrlProps/ctrlProp404.xml><?xml version="1.0" encoding="utf-8"?>
<formControlPr xmlns="http://schemas.microsoft.com/office/spreadsheetml/2009/9/main" objectType="GBox" noThreeD="1"/>
</file>

<file path=xl/ctrlProps/ctrlProp405.xml><?xml version="1.0" encoding="utf-8"?>
<formControlPr xmlns="http://schemas.microsoft.com/office/spreadsheetml/2009/9/main" objectType="Radio" checked="Checked" firstButton="1" fmlaLink="$E$12" lockText="1" noThreeD="1"/>
</file>

<file path=xl/ctrlProps/ctrlProp406.xml><?xml version="1.0" encoding="utf-8"?>
<formControlPr xmlns="http://schemas.microsoft.com/office/spreadsheetml/2009/9/main" objectType="Radio" lockText="1" noThreeD="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4</xdr:row>
      <xdr:rowOff>0</xdr:rowOff>
    </xdr:from>
    <xdr:to>
      <xdr:col>4</xdr:col>
      <xdr:colOff>1</xdr:colOff>
      <xdr:row>4</xdr:row>
      <xdr:rowOff>228599</xdr:rowOff>
    </xdr:to>
    <xdr:sp macro="" textlink="">
      <xdr:nvSpPr>
        <xdr:cNvPr id="2" name="Textfeld 1"/>
        <xdr:cNvSpPr txBox="1"/>
      </xdr:nvSpPr>
      <xdr:spPr>
        <a:xfrm>
          <a:off x="2590801" y="762000"/>
          <a:ext cx="1371600" cy="228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b"/>
        <a:lstStyle/>
        <a:p>
          <a:r>
            <a:rPr lang="de-DE" sz="1100" b="1"/>
            <a:t>Leitfragenanalyse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2</xdr:row>
      <xdr:rowOff>22412</xdr:rowOff>
    </xdr:from>
    <xdr:to>
      <xdr:col>2</xdr:col>
      <xdr:colOff>1</xdr:colOff>
      <xdr:row>29</xdr:row>
      <xdr:rowOff>0</xdr:rowOff>
    </xdr:to>
    <xdr:graphicFrame macro="">
      <xdr:nvGraphicFramePr>
        <xdr:cNvPr id="3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224116</xdr:colOff>
      <xdr:row>2</xdr:row>
      <xdr:rowOff>0</xdr:rowOff>
    </xdr:from>
    <xdr:to>
      <xdr:col>8</xdr:col>
      <xdr:colOff>851646</xdr:colOff>
      <xdr:row>29</xdr:row>
      <xdr:rowOff>0</xdr:rowOff>
    </xdr:to>
    <xdr:graphicFrame macro="">
      <xdr:nvGraphicFramePr>
        <xdr:cNvPr id="4" name="Diagram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0</xdr:rowOff>
        </xdr:from>
        <xdr:to>
          <xdr:col>5</xdr:col>
          <xdr:colOff>0</xdr:colOff>
          <xdr:row>4</xdr:row>
          <xdr:rowOff>0</xdr:rowOff>
        </xdr:to>
        <xdr:sp macro="" textlink="">
          <xdr:nvSpPr>
            <xdr:cNvPr id="4100" name="Group Box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3</xdr:row>
          <xdr:rowOff>0</xdr:rowOff>
        </xdr:from>
        <xdr:to>
          <xdr:col>3</xdr:col>
          <xdr:colOff>485775</xdr:colOff>
          <xdr:row>4</xdr:row>
          <xdr:rowOff>0</xdr:rowOff>
        </xdr:to>
        <xdr:sp macro="" textlink="">
          <xdr:nvSpPr>
            <xdr:cNvPr id="4101" name="Option Button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3</xdr:row>
          <xdr:rowOff>0</xdr:rowOff>
        </xdr:from>
        <xdr:to>
          <xdr:col>4</xdr:col>
          <xdr:colOff>485775</xdr:colOff>
          <xdr:row>4</xdr:row>
          <xdr:rowOff>0</xdr:rowOff>
        </xdr:to>
        <xdr:sp macro="" textlink="">
          <xdr:nvSpPr>
            <xdr:cNvPr id="4102" name="Option Button 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0</xdr:rowOff>
        </xdr:from>
        <xdr:to>
          <xdr:col>5</xdr:col>
          <xdr:colOff>0</xdr:colOff>
          <xdr:row>5</xdr:row>
          <xdr:rowOff>0</xdr:rowOff>
        </xdr:to>
        <xdr:sp macro="" textlink="">
          <xdr:nvSpPr>
            <xdr:cNvPr id="4103" name="Group Box 7" hidden="1">
              <a:extLst>
                <a:ext uri="{63B3BB69-23CF-44E3-9099-C40C66FF867C}">
                  <a14:compatExt spid="_x0000_s4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4</xdr:row>
          <xdr:rowOff>0</xdr:rowOff>
        </xdr:from>
        <xdr:to>
          <xdr:col>3</xdr:col>
          <xdr:colOff>485775</xdr:colOff>
          <xdr:row>5</xdr:row>
          <xdr:rowOff>0</xdr:rowOff>
        </xdr:to>
        <xdr:sp macro="" textlink="">
          <xdr:nvSpPr>
            <xdr:cNvPr id="4104" name="Option Button 8" hidden="1">
              <a:extLst>
                <a:ext uri="{63B3BB69-23CF-44E3-9099-C40C66FF867C}">
                  <a14:compatExt spid="_x0000_s4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4</xdr:row>
          <xdr:rowOff>0</xdr:rowOff>
        </xdr:from>
        <xdr:to>
          <xdr:col>4</xdr:col>
          <xdr:colOff>485775</xdr:colOff>
          <xdr:row>5</xdr:row>
          <xdr:rowOff>0</xdr:rowOff>
        </xdr:to>
        <xdr:sp macro="" textlink="">
          <xdr:nvSpPr>
            <xdr:cNvPr id="4105" name="Option Button 9" hidden="1">
              <a:extLst>
                <a:ext uri="{63B3BB69-23CF-44E3-9099-C40C66FF867C}">
                  <a14:compatExt spid="_x0000_s4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</xdr:row>
          <xdr:rowOff>0</xdr:rowOff>
        </xdr:from>
        <xdr:to>
          <xdr:col>5</xdr:col>
          <xdr:colOff>0</xdr:colOff>
          <xdr:row>6</xdr:row>
          <xdr:rowOff>0</xdr:rowOff>
        </xdr:to>
        <xdr:sp macro="" textlink="">
          <xdr:nvSpPr>
            <xdr:cNvPr id="4106" name="Group Box 10" hidden="1">
              <a:extLst>
                <a:ext uri="{63B3BB69-23CF-44E3-9099-C40C66FF867C}">
                  <a14:compatExt spid="_x0000_s4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5</xdr:row>
          <xdr:rowOff>0</xdr:rowOff>
        </xdr:from>
        <xdr:to>
          <xdr:col>3</xdr:col>
          <xdr:colOff>485775</xdr:colOff>
          <xdr:row>6</xdr:row>
          <xdr:rowOff>0</xdr:rowOff>
        </xdr:to>
        <xdr:sp macro="" textlink="">
          <xdr:nvSpPr>
            <xdr:cNvPr id="4107" name="Option Button 11" hidden="1">
              <a:extLst>
                <a:ext uri="{63B3BB69-23CF-44E3-9099-C40C66FF867C}">
                  <a14:compatExt spid="_x0000_s4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5</xdr:row>
          <xdr:rowOff>0</xdr:rowOff>
        </xdr:from>
        <xdr:to>
          <xdr:col>4</xdr:col>
          <xdr:colOff>485775</xdr:colOff>
          <xdr:row>6</xdr:row>
          <xdr:rowOff>0</xdr:rowOff>
        </xdr:to>
        <xdr:sp macro="" textlink="">
          <xdr:nvSpPr>
            <xdr:cNvPr id="4108" name="Option Button 12" hidden="1">
              <a:extLst>
                <a:ext uri="{63B3BB69-23CF-44E3-9099-C40C66FF867C}">
                  <a14:compatExt spid="_x0000_s4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0</xdr:rowOff>
        </xdr:from>
        <xdr:to>
          <xdr:col>5</xdr:col>
          <xdr:colOff>0</xdr:colOff>
          <xdr:row>7</xdr:row>
          <xdr:rowOff>0</xdr:rowOff>
        </xdr:to>
        <xdr:sp macro="" textlink="">
          <xdr:nvSpPr>
            <xdr:cNvPr id="4109" name="Group Box 13" hidden="1">
              <a:extLst>
                <a:ext uri="{63B3BB69-23CF-44E3-9099-C40C66FF867C}">
                  <a14:compatExt spid="_x0000_s4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0</xdr:rowOff>
        </xdr:from>
        <xdr:to>
          <xdr:col>3</xdr:col>
          <xdr:colOff>485775</xdr:colOff>
          <xdr:row>7</xdr:row>
          <xdr:rowOff>0</xdr:rowOff>
        </xdr:to>
        <xdr:sp macro="" textlink="">
          <xdr:nvSpPr>
            <xdr:cNvPr id="4110" name="Option Button 14" hidden="1">
              <a:extLst>
                <a:ext uri="{63B3BB69-23CF-44E3-9099-C40C66FF867C}">
                  <a14:compatExt spid="_x0000_s4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6</xdr:row>
          <xdr:rowOff>0</xdr:rowOff>
        </xdr:from>
        <xdr:to>
          <xdr:col>4</xdr:col>
          <xdr:colOff>485775</xdr:colOff>
          <xdr:row>7</xdr:row>
          <xdr:rowOff>0</xdr:rowOff>
        </xdr:to>
        <xdr:sp macro="" textlink="">
          <xdr:nvSpPr>
            <xdr:cNvPr id="4111" name="Option Button 15" hidden="1">
              <a:extLst>
                <a:ext uri="{63B3BB69-23CF-44E3-9099-C40C66FF867C}">
                  <a14:compatExt spid="_x0000_s4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5</xdr:col>
          <xdr:colOff>0</xdr:colOff>
          <xdr:row>8</xdr:row>
          <xdr:rowOff>0</xdr:rowOff>
        </xdr:to>
        <xdr:sp macro="" textlink="">
          <xdr:nvSpPr>
            <xdr:cNvPr id="4112" name="Group Box 16" hidden="1">
              <a:extLst>
                <a:ext uri="{63B3BB69-23CF-44E3-9099-C40C66FF867C}">
                  <a14:compatExt spid="_x0000_s4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7</xdr:row>
          <xdr:rowOff>0</xdr:rowOff>
        </xdr:from>
        <xdr:to>
          <xdr:col>3</xdr:col>
          <xdr:colOff>485775</xdr:colOff>
          <xdr:row>8</xdr:row>
          <xdr:rowOff>0</xdr:rowOff>
        </xdr:to>
        <xdr:sp macro="" textlink="">
          <xdr:nvSpPr>
            <xdr:cNvPr id="4113" name="Option Button 17" hidden="1">
              <a:extLst>
                <a:ext uri="{63B3BB69-23CF-44E3-9099-C40C66FF867C}">
                  <a14:compatExt spid="_x0000_s4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7</xdr:row>
          <xdr:rowOff>0</xdr:rowOff>
        </xdr:from>
        <xdr:to>
          <xdr:col>4</xdr:col>
          <xdr:colOff>485775</xdr:colOff>
          <xdr:row>8</xdr:row>
          <xdr:rowOff>0</xdr:rowOff>
        </xdr:to>
        <xdr:sp macro="" textlink="">
          <xdr:nvSpPr>
            <xdr:cNvPr id="4114" name="Option Button 18" hidden="1">
              <a:extLst>
                <a:ext uri="{63B3BB69-23CF-44E3-9099-C40C66FF867C}">
                  <a14:compatExt spid="_x0000_s4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</xdr:row>
          <xdr:rowOff>0</xdr:rowOff>
        </xdr:from>
        <xdr:to>
          <xdr:col>5</xdr:col>
          <xdr:colOff>0</xdr:colOff>
          <xdr:row>9</xdr:row>
          <xdr:rowOff>0</xdr:rowOff>
        </xdr:to>
        <xdr:sp macro="" textlink="">
          <xdr:nvSpPr>
            <xdr:cNvPr id="4115" name="Group Box 19" hidden="1">
              <a:extLst>
                <a:ext uri="{63B3BB69-23CF-44E3-9099-C40C66FF867C}">
                  <a14:compatExt spid="_x0000_s4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8</xdr:row>
          <xdr:rowOff>0</xdr:rowOff>
        </xdr:from>
        <xdr:to>
          <xdr:col>3</xdr:col>
          <xdr:colOff>485775</xdr:colOff>
          <xdr:row>9</xdr:row>
          <xdr:rowOff>0</xdr:rowOff>
        </xdr:to>
        <xdr:sp macro="" textlink="">
          <xdr:nvSpPr>
            <xdr:cNvPr id="4116" name="Option Button 20" hidden="1">
              <a:extLst>
                <a:ext uri="{63B3BB69-23CF-44E3-9099-C40C66FF867C}">
                  <a14:compatExt spid="_x0000_s4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8</xdr:row>
          <xdr:rowOff>0</xdr:rowOff>
        </xdr:from>
        <xdr:to>
          <xdr:col>4</xdr:col>
          <xdr:colOff>485775</xdr:colOff>
          <xdr:row>9</xdr:row>
          <xdr:rowOff>0</xdr:rowOff>
        </xdr:to>
        <xdr:sp macro="" textlink="">
          <xdr:nvSpPr>
            <xdr:cNvPr id="4117" name="Option Button 21" hidden="1">
              <a:extLst>
                <a:ext uri="{63B3BB69-23CF-44E3-9099-C40C66FF867C}">
                  <a14:compatExt spid="_x0000_s41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</xdr:row>
          <xdr:rowOff>0</xdr:rowOff>
        </xdr:from>
        <xdr:to>
          <xdr:col>5</xdr:col>
          <xdr:colOff>0</xdr:colOff>
          <xdr:row>10</xdr:row>
          <xdr:rowOff>0</xdr:rowOff>
        </xdr:to>
        <xdr:sp macro="" textlink="">
          <xdr:nvSpPr>
            <xdr:cNvPr id="4118" name="Group Box 22" hidden="1">
              <a:extLst>
                <a:ext uri="{63B3BB69-23CF-44E3-9099-C40C66FF867C}">
                  <a14:compatExt spid="_x0000_s4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9</xdr:row>
          <xdr:rowOff>0</xdr:rowOff>
        </xdr:from>
        <xdr:to>
          <xdr:col>3</xdr:col>
          <xdr:colOff>485775</xdr:colOff>
          <xdr:row>10</xdr:row>
          <xdr:rowOff>0</xdr:rowOff>
        </xdr:to>
        <xdr:sp macro="" textlink="">
          <xdr:nvSpPr>
            <xdr:cNvPr id="4119" name="Option Button 23" hidden="1">
              <a:extLst>
                <a:ext uri="{63B3BB69-23CF-44E3-9099-C40C66FF867C}">
                  <a14:compatExt spid="_x0000_s41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9</xdr:row>
          <xdr:rowOff>0</xdr:rowOff>
        </xdr:from>
        <xdr:to>
          <xdr:col>4</xdr:col>
          <xdr:colOff>485775</xdr:colOff>
          <xdr:row>10</xdr:row>
          <xdr:rowOff>0</xdr:rowOff>
        </xdr:to>
        <xdr:sp macro="" textlink="">
          <xdr:nvSpPr>
            <xdr:cNvPr id="4120" name="Option Button 24" hidden="1">
              <a:extLst>
                <a:ext uri="{63B3BB69-23CF-44E3-9099-C40C66FF867C}">
                  <a14:compatExt spid="_x0000_s41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5</xdr:col>
          <xdr:colOff>0</xdr:colOff>
          <xdr:row>11</xdr:row>
          <xdr:rowOff>0</xdr:rowOff>
        </xdr:to>
        <xdr:sp macro="" textlink="">
          <xdr:nvSpPr>
            <xdr:cNvPr id="4121" name="Group Box 25" hidden="1">
              <a:extLst>
                <a:ext uri="{63B3BB69-23CF-44E3-9099-C40C66FF867C}">
                  <a14:compatExt spid="_x0000_s4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10</xdr:row>
          <xdr:rowOff>0</xdr:rowOff>
        </xdr:from>
        <xdr:to>
          <xdr:col>3</xdr:col>
          <xdr:colOff>485775</xdr:colOff>
          <xdr:row>11</xdr:row>
          <xdr:rowOff>0</xdr:rowOff>
        </xdr:to>
        <xdr:sp macro="" textlink="">
          <xdr:nvSpPr>
            <xdr:cNvPr id="4122" name="Option Button 26" hidden="1">
              <a:extLst>
                <a:ext uri="{63B3BB69-23CF-44E3-9099-C40C66FF867C}">
                  <a14:compatExt spid="_x0000_s4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10</xdr:row>
          <xdr:rowOff>0</xdr:rowOff>
        </xdr:from>
        <xdr:to>
          <xdr:col>4</xdr:col>
          <xdr:colOff>485775</xdr:colOff>
          <xdr:row>11</xdr:row>
          <xdr:rowOff>0</xdr:rowOff>
        </xdr:to>
        <xdr:sp macro="" textlink="">
          <xdr:nvSpPr>
            <xdr:cNvPr id="4123" name="Option Button 27" hidden="1">
              <a:extLst>
                <a:ext uri="{63B3BB69-23CF-44E3-9099-C40C66FF867C}">
                  <a14:compatExt spid="_x0000_s4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0</xdr:rowOff>
        </xdr:from>
        <xdr:to>
          <xdr:col>5</xdr:col>
          <xdr:colOff>0</xdr:colOff>
          <xdr:row>12</xdr:row>
          <xdr:rowOff>0</xdr:rowOff>
        </xdr:to>
        <xdr:sp macro="" textlink="">
          <xdr:nvSpPr>
            <xdr:cNvPr id="4124" name="Group Box 28" hidden="1">
              <a:extLst>
                <a:ext uri="{63B3BB69-23CF-44E3-9099-C40C66FF867C}">
                  <a14:compatExt spid="_x0000_s4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11</xdr:row>
          <xdr:rowOff>0</xdr:rowOff>
        </xdr:from>
        <xdr:to>
          <xdr:col>3</xdr:col>
          <xdr:colOff>485775</xdr:colOff>
          <xdr:row>12</xdr:row>
          <xdr:rowOff>0</xdr:rowOff>
        </xdr:to>
        <xdr:sp macro="" textlink="">
          <xdr:nvSpPr>
            <xdr:cNvPr id="4125" name="Option Button 29" hidden="1">
              <a:extLst>
                <a:ext uri="{63B3BB69-23CF-44E3-9099-C40C66FF867C}">
                  <a14:compatExt spid="_x0000_s4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11</xdr:row>
          <xdr:rowOff>0</xdr:rowOff>
        </xdr:from>
        <xdr:to>
          <xdr:col>4</xdr:col>
          <xdr:colOff>485775</xdr:colOff>
          <xdr:row>12</xdr:row>
          <xdr:rowOff>0</xdr:rowOff>
        </xdr:to>
        <xdr:sp macro="" textlink="">
          <xdr:nvSpPr>
            <xdr:cNvPr id="4126" name="Option Button 30" hidden="1">
              <a:extLst>
                <a:ext uri="{63B3BB69-23CF-44E3-9099-C40C66FF867C}">
                  <a14:compatExt spid="_x0000_s4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5</xdr:col>
          <xdr:colOff>0</xdr:colOff>
          <xdr:row>13</xdr:row>
          <xdr:rowOff>0</xdr:rowOff>
        </xdr:to>
        <xdr:sp macro="" textlink="">
          <xdr:nvSpPr>
            <xdr:cNvPr id="4127" name="Group Box 31" hidden="1">
              <a:extLst>
                <a:ext uri="{63B3BB69-23CF-44E3-9099-C40C66FF867C}">
                  <a14:compatExt spid="_x0000_s4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12</xdr:row>
          <xdr:rowOff>0</xdr:rowOff>
        </xdr:from>
        <xdr:to>
          <xdr:col>3</xdr:col>
          <xdr:colOff>485775</xdr:colOff>
          <xdr:row>13</xdr:row>
          <xdr:rowOff>0</xdr:rowOff>
        </xdr:to>
        <xdr:sp macro="" textlink="">
          <xdr:nvSpPr>
            <xdr:cNvPr id="4128" name="Option Button 32" hidden="1">
              <a:extLst>
                <a:ext uri="{63B3BB69-23CF-44E3-9099-C40C66FF867C}">
                  <a14:compatExt spid="_x0000_s4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12</xdr:row>
          <xdr:rowOff>0</xdr:rowOff>
        </xdr:from>
        <xdr:to>
          <xdr:col>4</xdr:col>
          <xdr:colOff>485775</xdr:colOff>
          <xdr:row>13</xdr:row>
          <xdr:rowOff>0</xdr:rowOff>
        </xdr:to>
        <xdr:sp macro="" textlink="">
          <xdr:nvSpPr>
            <xdr:cNvPr id="4129" name="Option Button 33" hidden="1">
              <a:extLst>
                <a:ext uri="{63B3BB69-23CF-44E3-9099-C40C66FF867C}">
                  <a14:compatExt spid="_x0000_s4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7</xdr:row>
      <xdr:rowOff>0</xdr:rowOff>
    </xdr:from>
    <xdr:to>
      <xdr:col>1</xdr:col>
      <xdr:colOff>1</xdr:colOff>
      <xdr:row>8</xdr:row>
      <xdr:rowOff>0</xdr:rowOff>
    </xdr:to>
    <xdr:sp macro="" textlink="">
      <xdr:nvSpPr>
        <xdr:cNvPr id="4" name="Textfeld 3"/>
        <xdr:cNvSpPr txBox="1"/>
      </xdr:nvSpPr>
      <xdr:spPr>
        <a:xfrm>
          <a:off x="1" y="2375647"/>
          <a:ext cx="347382" cy="347382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de-DE" sz="1800" b="1"/>
            <a:t>O</a:t>
          </a:r>
        </a:p>
      </xdr:txBody>
    </xdr:sp>
    <xdr:clientData/>
  </xdr:twoCellAnchor>
  <xdr:twoCellAnchor>
    <xdr:from>
      <xdr:col>0</xdr:col>
      <xdr:colOff>1</xdr:colOff>
      <xdr:row>12</xdr:row>
      <xdr:rowOff>324969</xdr:rowOff>
    </xdr:from>
    <xdr:to>
      <xdr:col>1</xdr:col>
      <xdr:colOff>1</xdr:colOff>
      <xdr:row>14</xdr:row>
      <xdr:rowOff>-1</xdr:rowOff>
    </xdr:to>
    <xdr:sp macro="" textlink="">
      <xdr:nvSpPr>
        <xdr:cNvPr id="5" name="Textfeld 4"/>
        <xdr:cNvSpPr txBox="1"/>
      </xdr:nvSpPr>
      <xdr:spPr>
        <a:xfrm>
          <a:off x="1" y="4347881"/>
          <a:ext cx="347382" cy="35858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de-DE" sz="1800" b="1"/>
            <a:t>T</a:t>
          </a:r>
        </a:p>
      </xdr:txBody>
    </xdr:sp>
    <xdr:clientData/>
  </xdr:twoCellAnchor>
  <xdr:twoCellAnchor>
    <xdr:from>
      <xdr:col>2</xdr:col>
      <xdr:colOff>1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17" name="Textfeld 16"/>
        <xdr:cNvSpPr txBox="1"/>
      </xdr:nvSpPr>
      <xdr:spPr>
        <a:xfrm>
          <a:off x="3048001" y="347382"/>
          <a:ext cx="358587" cy="403412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de-DE" sz="1800" b="1"/>
            <a:t>S</a:t>
          </a:r>
        </a:p>
      </xdr:txBody>
    </xdr:sp>
    <xdr:clientData/>
  </xdr:twoCellAnchor>
  <xdr:twoCellAnchor>
    <xdr:from>
      <xdr:col>5</xdr:col>
      <xdr:colOff>1</xdr:colOff>
      <xdr:row>1</xdr:row>
      <xdr:rowOff>0</xdr:rowOff>
    </xdr:from>
    <xdr:to>
      <xdr:col>7</xdr:col>
      <xdr:colOff>0</xdr:colOff>
      <xdr:row>2</xdr:row>
      <xdr:rowOff>0</xdr:rowOff>
    </xdr:to>
    <xdr:sp macro="" textlink="">
      <xdr:nvSpPr>
        <xdr:cNvPr id="18" name="Textfeld 17"/>
        <xdr:cNvSpPr txBox="1"/>
      </xdr:nvSpPr>
      <xdr:spPr>
        <a:xfrm>
          <a:off x="6118413" y="347382"/>
          <a:ext cx="403411" cy="403412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de-DE" sz="1800" b="1"/>
            <a:t>W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0</xdr:rowOff>
        </xdr:from>
        <xdr:to>
          <xdr:col>4</xdr:col>
          <xdr:colOff>0</xdr:colOff>
          <xdr:row>6</xdr:row>
          <xdr:rowOff>0</xdr:rowOff>
        </xdr:to>
        <xdr:sp macro="" textlink="">
          <xdr:nvSpPr>
            <xdr:cNvPr id="5123" name="Group Box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5</xdr:row>
          <xdr:rowOff>0</xdr:rowOff>
        </xdr:from>
        <xdr:to>
          <xdr:col>2</xdr:col>
          <xdr:colOff>361950</xdr:colOff>
          <xdr:row>5</xdr:row>
          <xdr:rowOff>276225</xdr:rowOff>
        </xdr:to>
        <xdr:sp macro="" textlink="">
          <xdr:nvSpPr>
            <xdr:cNvPr id="5124" name="Option Button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5</xdr:row>
          <xdr:rowOff>19050</xdr:rowOff>
        </xdr:from>
        <xdr:to>
          <xdr:col>3</xdr:col>
          <xdr:colOff>342900</xdr:colOff>
          <xdr:row>5</xdr:row>
          <xdr:rowOff>238125</xdr:rowOff>
        </xdr:to>
        <xdr:sp macro="" textlink="">
          <xdr:nvSpPr>
            <xdr:cNvPr id="5125" name="Option Button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</xdr:row>
          <xdr:rowOff>0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5127" name="Group Box 7" hidden="1">
              <a:extLst>
                <a:ext uri="{63B3BB69-23CF-44E3-9099-C40C66FF867C}">
                  <a14:compatExt spid="_x0000_s5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0</xdr:rowOff>
        </xdr:from>
        <xdr:to>
          <xdr:col>2</xdr:col>
          <xdr:colOff>361950</xdr:colOff>
          <xdr:row>7</xdr:row>
          <xdr:rowOff>0</xdr:rowOff>
        </xdr:to>
        <xdr:sp macro="" textlink="">
          <xdr:nvSpPr>
            <xdr:cNvPr id="5128" name="Option Button 8" hidden="1">
              <a:extLst>
                <a:ext uri="{63B3BB69-23CF-44E3-9099-C40C66FF867C}">
                  <a14:compatExt spid="_x0000_s5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6</xdr:row>
          <xdr:rowOff>19050</xdr:rowOff>
        </xdr:from>
        <xdr:to>
          <xdr:col>3</xdr:col>
          <xdr:colOff>342900</xdr:colOff>
          <xdr:row>6</xdr:row>
          <xdr:rowOff>238125</xdr:rowOff>
        </xdr:to>
        <xdr:sp macro="" textlink="">
          <xdr:nvSpPr>
            <xdr:cNvPr id="5129" name="Option Button 9" hidden="1">
              <a:extLst>
                <a:ext uri="{63B3BB69-23CF-44E3-9099-C40C66FF867C}">
                  <a14:compatExt spid="_x0000_s5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5130" name="Group Box 10" hidden="1">
              <a:extLst>
                <a:ext uri="{63B3BB69-23CF-44E3-9099-C40C66FF867C}">
                  <a14:compatExt spid="_x0000_s5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7</xdr:row>
          <xdr:rowOff>0</xdr:rowOff>
        </xdr:from>
        <xdr:to>
          <xdr:col>2</xdr:col>
          <xdr:colOff>361950</xdr:colOff>
          <xdr:row>8</xdr:row>
          <xdr:rowOff>0</xdr:rowOff>
        </xdr:to>
        <xdr:sp macro="" textlink="">
          <xdr:nvSpPr>
            <xdr:cNvPr id="5131" name="Option Button 11" hidden="1">
              <a:extLst>
                <a:ext uri="{63B3BB69-23CF-44E3-9099-C40C66FF867C}">
                  <a14:compatExt spid="_x0000_s5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7</xdr:row>
          <xdr:rowOff>19050</xdr:rowOff>
        </xdr:from>
        <xdr:to>
          <xdr:col>3</xdr:col>
          <xdr:colOff>342900</xdr:colOff>
          <xdr:row>7</xdr:row>
          <xdr:rowOff>238125</xdr:rowOff>
        </xdr:to>
        <xdr:sp macro="" textlink="">
          <xdr:nvSpPr>
            <xdr:cNvPr id="5132" name="Option Button 12" hidden="1">
              <a:extLst>
                <a:ext uri="{63B3BB69-23CF-44E3-9099-C40C66FF867C}">
                  <a14:compatExt spid="_x0000_s5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5133" name="Group Box 13" hidden="1">
              <a:extLst>
                <a:ext uri="{63B3BB69-23CF-44E3-9099-C40C66FF867C}">
                  <a14:compatExt spid="_x0000_s5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8</xdr:row>
          <xdr:rowOff>0</xdr:rowOff>
        </xdr:from>
        <xdr:to>
          <xdr:col>2</xdr:col>
          <xdr:colOff>361950</xdr:colOff>
          <xdr:row>9</xdr:row>
          <xdr:rowOff>0</xdr:rowOff>
        </xdr:to>
        <xdr:sp macro="" textlink="">
          <xdr:nvSpPr>
            <xdr:cNvPr id="5134" name="Option Button 14" hidden="1">
              <a:extLst>
                <a:ext uri="{63B3BB69-23CF-44E3-9099-C40C66FF867C}">
                  <a14:compatExt spid="_x0000_s5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8</xdr:row>
          <xdr:rowOff>19050</xdr:rowOff>
        </xdr:from>
        <xdr:to>
          <xdr:col>3</xdr:col>
          <xdr:colOff>342900</xdr:colOff>
          <xdr:row>8</xdr:row>
          <xdr:rowOff>238125</xdr:rowOff>
        </xdr:to>
        <xdr:sp macro="" textlink="">
          <xdr:nvSpPr>
            <xdr:cNvPr id="5135" name="Option Button 15" hidden="1">
              <a:extLst>
                <a:ext uri="{63B3BB69-23CF-44E3-9099-C40C66FF867C}">
                  <a14:compatExt spid="_x0000_s5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0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5136" name="Group Box 16" hidden="1">
              <a:extLst>
                <a:ext uri="{63B3BB69-23CF-44E3-9099-C40C66FF867C}">
                  <a14:compatExt spid="_x0000_s5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9</xdr:row>
          <xdr:rowOff>0</xdr:rowOff>
        </xdr:from>
        <xdr:to>
          <xdr:col>2</xdr:col>
          <xdr:colOff>361950</xdr:colOff>
          <xdr:row>10</xdr:row>
          <xdr:rowOff>0</xdr:rowOff>
        </xdr:to>
        <xdr:sp macro="" textlink="">
          <xdr:nvSpPr>
            <xdr:cNvPr id="5137" name="Option Button 17" hidden="1">
              <a:extLst>
                <a:ext uri="{63B3BB69-23CF-44E3-9099-C40C66FF867C}">
                  <a14:compatExt spid="_x0000_s5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9</xdr:row>
          <xdr:rowOff>19050</xdr:rowOff>
        </xdr:from>
        <xdr:to>
          <xdr:col>3</xdr:col>
          <xdr:colOff>342900</xdr:colOff>
          <xdr:row>9</xdr:row>
          <xdr:rowOff>238125</xdr:rowOff>
        </xdr:to>
        <xdr:sp macro="" textlink="">
          <xdr:nvSpPr>
            <xdr:cNvPr id="5138" name="Option Button 18" hidden="1">
              <a:extLst>
                <a:ext uri="{63B3BB69-23CF-44E3-9099-C40C66FF867C}">
                  <a14:compatExt spid="_x0000_s5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4</xdr:col>
          <xdr:colOff>0</xdr:colOff>
          <xdr:row>11</xdr:row>
          <xdr:rowOff>0</xdr:rowOff>
        </xdr:to>
        <xdr:sp macro="" textlink="">
          <xdr:nvSpPr>
            <xdr:cNvPr id="5139" name="Group Box 19" hidden="1">
              <a:extLst>
                <a:ext uri="{63B3BB69-23CF-44E3-9099-C40C66FF867C}">
                  <a14:compatExt spid="_x0000_s51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10</xdr:row>
          <xdr:rowOff>0</xdr:rowOff>
        </xdr:from>
        <xdr:to>
          <xdr:col>2</xdr:col>
          <xdr:colOff>361950</xdr:colOff>
          <xdr:row>11</xdr:row>
          <xdr:rowOff>0</xdr:rowOff>
        </xdr:to>
        <xdr:sp macro="" textlink="">
          <xdr:nvSpPr>
            <xdr:cNvPr id="5140" name="Option Button 20" hidden="1">
              <a:extLst>
                <a:ext uri="{63B3BB69-23CF-44E3-9099-C40C66FF867C}">
                  <a14:compatExt spid="_x0000_s51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10</xdr:row>
          <xdr:rowOff>19050</xdr:rowOff>
        </xdr:from>
        <xdr:to>
          <xdr:col>3</xdr:col>
          <xdr:colOff>342900</xdr:colOff>
          <xdr:row>10</xdr:row>
          <xdr:rowOff>238125</xdr:rowOff>
        </xdr:to>
        <xdr:sp macro="" textlink="">
          <xdr:nvSpPr>
            <xdr:cNvPr id="5141" name="Option Button 21" hidden="1">
              <a:extLst>
                <a:ext uri="{63B3BB69-23CF-44E3-9099-C40C66FF867C}">
                  <a14:compatExt spid="_x0000_s5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0</xdr:rowOff>
        </xdr:from>
        <xdr:to>
          <xdr:col>4</xdr:col>
          <xdr:colOff>0</xdr:colOff>
          <xdr:row>12</xdr:row>
          <xdr:rowOff>0</xdr:rowOff>
        </xdr:to>
        <xdr:sp macro="" textlink="">
          <xdr:nvSpPr>
            <xdr:cNvPr id="5142" name="Group Box 22" hidden="1">
              <a:extLst>
                <a:ext uri="{63B3BB69-23CF-44E3-9099-C40C66FF867C}">
                  <a14:compatExt spid="_x0000_s5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11</xdr:row>
          <xdr:rowOff>0</xdr:rowOff>
        </xdr:from>
        <xdr:to>
          <xdr:col>2</xdr:col>
          <xdr:colOff>361950</xdr:colOff>
          <xdr:row>12</xdr:row>
          <xdr:rowOff>0</xdr:rowOff>
        </xdr:to>
        <xdr:sp macro="" textlink="">
          <xdr:nvSpPr>
            <xdr:cNvPr id="5143" name="Option Button 23" hidden="1">
              <a:extLst>
                <a:ext uri="{63B3BB69-23CF-44E3-9099-C40C66FF867C}">
                  <a14:compatExt spid="_x0000_s5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11</xdr:row>
          <xdr:rowOff>19050</xdr:rowOff>
        </xdr:from>
        <xdr:to>
          <xdr:col>3</xdr:col>
          <xdr:colOff>342900</xdr:colOff>
          <xdr:row>11</xdr:row>
          <xdr:rowOff>238125</xdr:rowOff>
        </xdr:to>
        <xdr:sp macro="" textlink="">
          <xdr:nvSpPr>
            <xdr:cNvPr id="5144" name="Option Button 24" hidden="1">
              <a:extLst>
                <a:ext uri="{63B3BB69-23CF-44E3-9099-C40C66FF867C}">
                  <a14:compatExt spid="_x0000_s5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4</xdr:col>
          <xdr:colOff>0</xdr:colOff>
          <xdr:row>13</xdr:row>
          <xdr:rowOff>0</xdr:rowOff>
        </xdr:to>
        <xdr:sp macro="" textlink="">
          <xdr:nvSpPr>
            <xdr:cNvPr id="5145" name="Group Box 25" hidden="1">
              <a:extLst>
                <a:ext uri="{63B3BB69-23CF-44E3-9099-C40C66FF867C}">
                  <a14:compatExt spid="_x0000_s5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12</xdr:row>
          <xdr:rowOff>0</xdr:rowOff>
        </xdr:from>
        <xdr:to>
          <xdr:col>2</xdr:col>
          <xdr:colOff>361950</xdr:colOff>
          <xdr:row>13</xdr:row>
          <xdr:rowOff>0</xdr:rowOff>
        </xdr:to>
        <xdr:sp macro="" textlink="">
          <xdr:nvSpPr>
            <xdr:cNvPr id="5146" name="Option Button 26" hidden="1">
              <a:extLst>
                <a:ext uri="{63B3BB69-23CF-44E3-9099-C40C66FF867C}">
                  <a14:compatExt spid="_x0000_s5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12</xdr:row>
          <xdr:rowOff>19050</xdr:rowOff>
        </xdr:from>
        <xdr:to>
          <xdr:col>3</xdr:col>
          <xdr:colOff>342900</xdr:colOff>
          <xdr:row>12</xdr:row>
          <xdr:rowOff>238125</xdr:rowOff>
        </xdr:to>
        <xdr:sp macro="" textlink="">
          <xdr:nvSpPr>
            <xdr:cNvPr id="5147" name="Option Button 27" hidden="1">
              <a:extLst>
                <a:ext uri="{63B3BB69-23CF-44E3-9099-C40C66FF867C}">
                  <a14:compatExt spid="_x0000_s5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4</xdr:col>
          <xdr:colOff>0</xdr:colOff>
          <xdr:row>14</xdr:row>
          <xdr:rowOff>0</xdr:rowOff>
        </xdr:to>
        <xdr:sp macro="" textlink="">
          <xdr:nvSpPr>
            <xdr:cNvPr id="5148" name="Group Box 28" hidden="1">
              <a:extLst>
                <a:ext uri="{63B3BB69-23CF-44E3-9099-C40C66FF867C}">
                  <a14:compatExt spid="_x0000_s5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13</xdr:row>
          <xdr:rowOff>0</xdr:rowOff>
        </xdr:from>
        <xdr:to>
          <xdr:col>2</xdr:col>
          <xdr:colOff>361950</xdr:colOff>
          <xdr:row>14</xdr:row>
          <xdr:rowOff>0</xdr:rowOff>
        </xdr:to>
        <xdr:sp macro="" textlink="">
          <xdr:nvSpPr>
            <xdr:cNvPr id="5149" name="Option Button 29" hidden="1">
              <a:extLst>
                <a:ext uri="{63B3BB69-23CF-44E3-9099-C40C66FF867C}">
                  <a14:compatExt spid="_x0000_s5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13</xdr:row>
          <xdr:rowOff>19050</xdr:rowOff>
        </xdr:from>
        <xdr:to>
          <xdr:col>3</xdr:col>
          <xdr:colOff>342900</xdr:colOff>
          <xdr:row>13</xdr:row>
          <xdr:rowOff>238125</xdr:rowOff>
        </xdr:to>
        <xdr:sp macro="" textlink="">
          <xdr:nvSpPr>
            <xdr:cNvPr id="5150" name="Option Button 30" hidden="1">
              <a:extLst>
                <a:ext uri="{63B3BB69-23CF-44E3-9099-C40C66FF867C}">
                  <a14:compatExt spid="_x0000_s5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4</xdr:col>
          <xdr:colOff>0</xdr:colOff>
          <xdr:row>15</xdr:row>
          <xdr:rowOff>0</xdr:rowOff>
        </xdr:to>
        <xdr:sp macro="" textlink="">
          <xdr:nvSpPr>
            <xdr:cNvPr id="5151" name="Group Box 31" hidden="1">
              <a:extLst>
                <a:ext uri="{63B3BB69-23CF-44E3-9099-C40C66FF867C}">
                  <a14:compatExt spid="_x0000_s5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14</xdr:row>
          <xdr:rowOff>0</xdr:rowOff>
        </xdr:from>
        <xdr:to>
          <xdr:col>2</xdr:col>
          <xdr:colOff>361950</xdr:colOff>
          <xdr:row>15</xdr:row>
          <xdr:rowOff>0</xdr:rowOff>
        </xdr:to>
        <xdr:sp macro="" textlink="">
          <xdr:nvSpPr>
            <xdr:cNvPr id="5152" name="Option Button 32" hidden="1">
              <a:extLst>
                <a:ext uri="{63B3BB69-23CF-44E3-9099-C40C66FF867C}">
                  <a14:compatExt spid="_x0000_s5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14</xdr:row>
          <xdr:rowOff>19050</xdr:rowOff>
        </xdr:from>
        <xdr:to>
          <xdr:col>3</xdr:col>
          <xdr:colOff>342900</xdr:colOff>
          <xdr:row>14</xdr:row>
          <xdr:rowOff>238125</xdr:rowOff>
        </xdr:to>
        <xdr:sp macro="" textlink="">
          <xdr:nvSpPr>
            <xdr:cNvPr id="5153" name="Option Button 33" hidden="1">
              <a:extLst>
                <a:ext uri="{63B3BB69-23CF-44E3-9099-C40C66FF867C}">
                  <a14:compatExt spid="_x0000_s5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15</xdr:row>
          <xdr:rowOff>0</xdr:rowOff>
        </xdr:from>
        <xdr:to>
          <xdr:col>4</xdr:col>
          <xdr:colOff>0</xdr:colOff>
          <xdr:row>16</xdr:row>
          <xdr:rowOff>0</xdr:rowOff>
        </xdr:to>
        <xdr:sp macro="" textlink="">
          <xdr:nvSpPr>
            <xdr:cNvPr id="5154" name="Group Box 34" hidden="1">
              <a:extLst>
                <a:ext uri="{63B3BB69-23CF-44E3-9099-C40C66FF867C}">
                  <a14:compatExt spid="_x0000_s5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15</xdr:row>
          <xdr:rowOff>0</xdr:rowOff>
        </xdr:from>
        <xdr:to>
          <xdr:col>2</xdr:col>
          <xdr:colOff>361950</xdr:colOff>
          <xdr:row>16</xdr:row>
          <xdr:rowOff>0</xdr:rowOff>
        </xdr:to>
        <xdr:sp macro="" textlink="">
          <xdr:nvSpPr>
            <xdr:cNvPr id="5155" name="Option Button 35" hidden="1">
              <a:extLst>
                <a:ext uri="{63B3BB69-23CF-44E3-9099-C40C66FF867C}">
                  <a14:compatExt spid="_x0000_s51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15</xdr:row>
          <xdr:rowOff>19050</xdr:rowOff>
        </xdr:from>
        <xdr:to>
          <xdr:col>3</xdr:col>
          <xdr:colOff>342900</xdr:colOff>
          <xdr:row>15</xdr:row>
          <xdr:rowOff>238125</xdr:rowOff>
        </xdr:to>
        <xdr:sp macro="" textlink="">
          <xdr:nvSpPr>
            <xdr:cNvPr id="5156" name="Option Button 36" hidden="1">
              <a:extLst>
                <a:ext uri="{63B3BB69-23CF-44E3-9099-C40C66FF867C}">
                  <a14:compatExt spid="_x0000_s51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0</xdr:rowOff>
        </xdr:from>
        <xdr:to>
          <xdr:col>4</xdr:col>
          <xdr:colOff>0</xdr:colOff>
          <xdr:row>17</xdr:row>
          <xdr:rowOff>0</xdr:rowOff>
        </xdr:to>
        <xdr:sp macro="" textlink="">
          <xdr:nvSpPr>
            <xdr:cNvPr id="5157" name="Group Box 37" hidden="1">
              <a:extLst>
                <a:ext uri="{63B3BB69-23CF-44E3-9099-C40C66FF867C}">
                  <a14:compatExt spid="_x0000_s51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16</xdr:row>
          <xdr:rowOff>0</xdr:rowOff>
        </xdr:from>
        <xdr:to>
          <xdr:col>2</xdr:col>
          <xdr:colOff>361950</xdr:colOff>
          <xdr:row>17</xdr:row>
          <xdr:rowOff>0</xdr:rowOff>
        </xdr:to>
        <xdr:sp macro="" textlink="">
          <xdr:nvSpPr>
            <xdr:cNvPr id="5158" name="Option Button 38" hidden="1">
              <a:extLst>
                <a:ext uri="{63B3BB69-23CF-44E3-9099-C40C66FF867C}">
                  <a14:compatExt spid="_x0000_s5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16</xdr:row>
          <xdr:rowOff>19050</xdr:rowOff>
        </xdr:from>
        <xdr:to>
          <xdr:col>3</xdr:col>
          <xdr:colOff>342900</xdr:colOff>
          <xdr:row>16</xdr:row>
          <xdr:rowOff>238125</xdr:rowOff>
        </xdr:to>
        <xdr:sp macro="" textlink="">
          <xdr:nvSpPr>
            <xdr:cNvPr id="5159" name="Option Button 39" hidden="1">
              <a:extLst>
                <a:ext uri="{63B3BB69-23CF-44E3-9099-C40C66FF867C}">
                  <a14:compatExt spid="_x0000_s51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0</xdr:rowOff>
        </xdr:from>
        <xdr:to>
          <xdr:col>4</xdr:col>
          <xdr:colOff>0</xdr:colOff>
          <xdr:row>18</xdr:row>
          <xdr:rowOff>0</xdr:rowOff>
        </xdr:to>
        <xdr:sp macro="" textlink="">
          <xdr:nvSpPr>
            <xdr:cNvPr id="5160" name="Group Box 40" hidden="1">
              <a:extLst>
                <a:ext uri="{63B3BB69-23CF-44E3-9099-C40C66FF867C}">
                  <a14:compatExt spid="_x0000_s5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17</xdr:row>
          <xdr:rowOff>0</xdr:rowOff>
        </xdr:from>
        <xdr:to>
          <xdr:col>2</xdr:col>
          <xdr:colOff>361950</xdr:colOff>
          <xdr:row>18</xdr:row>
          <xdr:rowOff>0</xdr:rowOff>
        </xdr:to>
        <xdr:sp macro="" textlink="">
          <xdr:nvSpPr>
            <xdr:cNvPr id="5161" name="Option Button 41" hidden="1">
              <a:extLst>
                <a:ext uri="{63B3BB69-23CF-44E3-9099-C40C66FF867C}">
                  <a14:compatExt spid="_x0000_s5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17</xdr:row>
          <xdr:rowOff>19050</xdr:rowOff>
        </xdr:from>
        <xdr:to>
          <xdr:col>3</xdr:col>
          <xdr:colOff>342900</xdr:colOff>
          <xdr:row>17</xdr:row>
          <xdr:rowOff>238125</xdr:rowOff>
        </xdr:to>
        <xdr:sp macro="" textlink="">
          <xdr:nvSpPr>
            <xdr:cNvPr id="5162" name="Option Button 42" hidden="1">
              <a:extLst>
                <a:ext uri="{63B3BB69-23CF-44E3-9099-C40C66FF867C}">
                  <a14:compatExt spid="_x0000_s5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0</xdr:rowOff>
        </xdr:from>
        <xdr:to>
          <xdr:col>4</xdr:col>
          <xdr:colOff>0</xdr:colOff>
          <xdr:row>19</xdr:row>
          <xdr:rowOff>0</xdr:rowOff>
        </xdr:to>
        <xdr:sp macro="" textlink="">
          <xdr:nvSpPr>
            <xdr:cNvPr id="5163" name="Group Box 43" hidden="1">
              <a:extLst>
                <a:ext uri="{63B3BB69-23CF-44E3-9099-C40C66FF867C}">
                  <a14:compatExt spid="_x0000_s51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18</xdr:row>
          <xdr:rowOff>0</xdr:rowOff>
        </xdr:from>
        <xdr:to>
          <xdr:col>2</xdr:col>
          <xdr:colOff>361950</xdr:colOff>
          <xdr:row>19</xdr:row>
          <xdr:rowOff>0</xdr:rowOff>
        </xdr:to>
        <xdr:sp macro="" textlink="">
          <xdr:nvSpPr>
            <xdr:cNvPr id="5164" name="Option Button 44" hidden="1">
              <a:extLst>
                <a:ext uri="{63B3BB69-23CF-44E3-9099-C40C66FF867C}">
                  <a14:compatExt spid="_x0000_s5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18</xdr:row>
          <xdr:rowOff>19050</xdr:rowOff>
        </xdr:from>
        <xdr:to>
          <xdr:col>3</xdr:col>
          <xdr:colOff>342900</xdr:colOff>
          <xdr:row>18</xdr:row>
          <xdr:rowOff>238125</xdr:rowOff>
        </xdr:to>
        <xdr:sp macro="" textlink="">
          <xdr:nvSpPr>
            <xdr:cNvPr id="5165" name="Option Button 45" hidden="1">
              <a:extLst>
                <a:ext uri="{63B3BB69-23CF-44E3-9099-C40C66FF867C}">
                  <a14:compatExt spid="_x0000_s5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4</xdr:col>
          <xdr:colOff>0</xdr:colOff>
          <xdr:row>20</xdr:row>
          <xdr:rowOff>0</xdr:rowOff>
        </xdr:to>
        <xdr:sp macro="" textlink="">
          <xdr:nvSpPr>
            <xdr:cNvPr id="5166" name="Group Box 46" hidden="1">
              <a:extLst>
                <a:ext uri="{63B3BB69-23CF-44E3-9099-C40C66FF867C}">
                  <a14:compatExt spid="_x0000_s5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19</xdr:row>
          <xdr:rowOff>0</xdr:rowOff>
        </xdr:from>
        <xdr:to>
          <xdr:col>2</xdr:col>
          <xdr:colOff>361950</xdr:colOff>
          <xdr:row>20</xdr:row>
          <xdr:rowOff>0</xdr:rowOff>
        </xdr:to>
        <xdr:sp macro="" textlink="">
          <xdr:nvSpPr>
            <xdr:cNvPr id="5167" name="Option Button 47" hidden="1">
              <a:extLst>
                <a:ext uri="{63B3BB69-23CF-44E3-9099-C40C66FF867C}">
                  <a14:compatExt spid="_x0000_s51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19</xdr:row>
          <xdr:rowOff>19050</xdr:rowOff>
        </xdr:from>
        <xdr:to>
          <xdr:col>3</xdr:col>
          <xdr:colOff>342900</xdr:colOff>
          <xdr:row>19</xdr:row>
          <xdr:rowOff>238125</xdr:rowOff>
        </xdr:to>
        <xdr:sp macro="" textlink="">
          <xdr:nvSpPr>
            <xdr:cNvPr id="5168" name="Option Button 48" hidden="1">
              <a:extLst>
                <a:ext uri="{63B3BB69-23CF-44E3-9099-C40C66FF867C}">
                  <a14:compatExt spid="_x0000_s51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20</xdr:row>
          <xdr:rowOff>0</xdr:rowOff>
        </xdr:from>
        <xdr:to>
          <xdr:col>4</xdr:col>
          <xdr:colOff>0</xdr:colOff>
          <xdr:row>21</xdr:row>
          <xdr:rowOff>0</xdr:rowOff>
        </xdr:to>
        <xdr:sp macro="" textlink="">
          <xdr:nvSpPr>
            <xdr:cNvPr id="5169" name="Group Box 49" hidden="1">
              <a:extLst>
                <a:ext uri="{63B3BB69-23CF-44E3-9099-C40C66FF867C}">
                  <a14:compatExt spid="_x0000_s5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20</xdr:row>
          <xdr:rowOff>0</xdr:rowOff>
        </xdr:from>
        <xdr:to>
          <xdr:col>2</xdr:col>
          <xdr:colOff>361950</xdr:colOff>
          <xdr:row>21</xdr:row>
          <xdr:rowOff>0</xdr:rowOff>
        </xdr:to>
        <xdr:sp macro="" textlink="">
          <xdr:nvSpPr>
            <xdr:cNvPr id="5170" name="Option Button 50" hidden="1">
              <a:extLst>
                <a:ext uri="{63B3BB69-23CF-44E3-9099-C40C66FF867C}">
                  <a14:compatExt spid="_x0000_s5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20</xdr:row>
          <xdr:rowOff>19050</xdr:rowOff>
        </xdr:from>
        <xdr:to>
          <xdr:col>3</xdr:col>
          <xdr:colOff>342900</xdr:colOff>
          <xdr:row>20</xdr:row>
          <xdr:rowOff>238125</xdr:rowOff>
        </xdr:to>
        <xdr:sp macro="" textlink="">
          <xdr:nvSpPr>
            <xdr:cNvPr id="5171" name="Option Button 51" hidden="1">
              <a:extLst>
                <a:ext uri="{63B3BB69-23CF-44E3-9099-C40C66FF867C}">
                  <a14:compatExt spid="_x0000_s5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4</xdr:col>
          <xdr:colOff>0</xdr:colOff>
          <xdr:row>22</xdr:row>
          <xdr:rowOff>0</xdr:rowOff>
        </xdr:to>
        <xdr:sp macro="" textlink="">
          <xdr:nvSpPr>
            <xdr:cNvPr id="5172" name="Group Box 52" hidden="1">
              <a:extLst>
                <a:ext uri="{63B3BB69-23CF-44E3-9099-C40C66FF867C}">
                  <a14:compatExt spid="_x0000_s51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21</xdr:row>
          <xdr:rowOff>0</xdr:rowOff>
        </xdr:from>
        <xdr:to>
          <xdr:col>2</xdr:col>
          <xdr:colOff>361950</xdr:colOff>
          <xdr:row>22</xdr:row>
          <xdr:rowOff>0</xdr:rowOff>
        </xdr:to>
        <xdr:sp macro="" textlink="">
          <xdr:nvSpPr>
            <xdr:cNvPr id="5173" name="Option Button 53" hidden="1">
              <a:extLst>
                <a:ext uri="{63B3BB69-23CF-44E3-9099-C40C66FF867C}">
                  <a14:compatExt spid="_x0000_s51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21</xdr:row>
          <xdr:rowOff>19050</xdr:rowOff>
        </xdr:from>
        <xdr:to>
          <xdr:col>3</xdr:col>
          <xdr:colOff>342900</xdr:colOff>
          <xdr:row>21</xdr:row>
          <xdr:rowOff>238125</xdr:rowOff>
        </xdr:to>
        <xdr:sp macro="" textlink="">
          <xdr:nvSpPr>
            <xdr:cNvPr id="5174" name="Option Button 54" hidden="1">
              <a:extLst>
                <a:ext uri="{63B3BB69-23CF-44E3-9099-C40C66FF867C}">
                  <a14:compatExt spid="_x0000_s51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4</xdr:col>
          <xdr:colOff>0</xdr:colOff>
          <xdr:row>11</xdr:row>
          <xdr:rowOff>0</xdr:rowOff>
        </xdr:to>
        <xdr:sp macro="" textlink="">
          <xdr:nvSpPr>
            <xdr:cNvPr id="7176" name="Group Box 1032" hidden="1">
              <a:extLst>
                <a:ext uri="{63B3BB69-23CF-44E3-9099-C40C66FF867C}">
                  <a14:compatExt spid="_x0000_s71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10</xdr:row>
          <xdr:rowOff>0</xdr:rowOff>
        </xdr:from>
        <xdr:to>
          <xdr:col>2</xdr:col>
          <xdr:colOff>476250</xdr:colOff>
          <xdr:row>11</xdr:row>
          <xdr:rowOff>0</xdr:rowOff>
        </xdr:to>
        <xdr:sp macro="" textlink="">
          <xdr:nvSpPr>
            <xdr:cNvPr id="7177" name="Option Button 1033" hidden="1">
              <a:extLst>
                <a:ext uri="{63B3BB69-23CF-44E3-9099-C40C66FF867C}">
                  <a14:compatExt spid="_x0000_s71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10</xdr:row>
          <xdr:rowOff>19050</xdr:rowOff>
        </xdr:from>
        <xdr:to>
          <xdr:col>3</xdr:col>
          <xdr:colOff>552450</xdr:colOff>
          <xdr:row>10</xdr:row>
          <xdr:rowOff>238125</xdr:rowOff>
        </xdr:to>
        <xdr:sp macro="" textlink="">
          <xdr:nvSpPr>
            <xdr:cNvPr id="7178" name="Option Button 1034" hidden="1">
              <a:extLst>
                <a:ext uri="{63B3BB69-23CF-44E3-9099-C40C66FF867C}">
                  <a14:compatExt spid="_x0000_s71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0</xdr:rowOff>
        </xdr:from>
        <xdr:to>
          <xdr:col>4</xdr:col>
          <xdr:colOff>0</xdr:colOff>
          <xdr:row>12</xdr:row>
          <xdr:rowOff>0</xdr:rowOff>
        </xdr:to>
        <xdr:sp macro="" textlink="">
          <xdr:nvSpPr>
            <xdr:cNvPr id="7221" name="Group Box 1077" hidden="1">
              <a:extLst>
                <a:ext uri="{63B3BB69-23CF-44E3-9099-C40C66FF867C}">
                  <a14:compatExt spid="_x0000_s7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11</xdr:row>
          <xdr:rowOff>0</xdr:rowOff>
        </xdr:from>
        <xdr:to>
          <xdr:col>2</xdr:col>
          <xdr:colOff>476250</xdr:colOff>
          <xdr:row>12</xdr:row>
          <xdr:rowOff>0</xdr:rowOff>
        </xdr:to>
        <xdr:sp macro="" textlink="">
          <xdr:nvSpPr>
            <xdr:cNvPr id="7222" name="Option Button 1078" hidden="1">
              <a:extLst>
                <a:ext uri="{63B3BB69-23CF-44E3-9099-C40C66FF867C}">
                  <a14:compatExt spid="_x0000_s7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11</xdr:row>
          <xdr:rowOff>19050</xdr:rowOff>
        </xdr:from>
        <xdr:to>
          <xdr:col>3</xdr:col>
          <xdr:colOff>552450</xdr:colOff>
          <xdr:row>11</xdr:row>
          <xdr:rowOff>238125</xdr:rowOff>
        </xdr:to>
        <xdr:sp macro="" textlink="">
          <xdr:nvSpPr>
            <xdr:cNvPr id="7223" name="Option Button 1079" hidden="1">
              <a:extLst>
                <a:ext uri="{63B3BB69-23CF-44E3-9099-C40C66FF867C}">
                  <a14:compatExt spid="_x0000_s7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4</xdr:col>
          <xdr:colOff>0</xdr:colOff>
          <xdr:row>20</xdr:row>
          <xdr:rowOff>0</xdr:rowOff>
        </xdr:to>
        <xdr:sp macro="" textlink="">
          <xdr:nvSpPr>
            <xdr:cNvPr id="7224" name="Group Box 1080" hidden="1">
              <a:extLst>
                <a:ext uri="{63B3BB69-23CF-44E3-9099-C40C66FF867C}">
                  <a14:compatExt spid="_x0000_s7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19</xdr:row>
          <xdr:rowOff>0</xdr:rowOff>
        </xdr:from>
        <xdr:to>
          <xdr:col>2</xdr:col>
          <xdr:colOff>476250</xdr:colOff>
          <xdr:row>20</xdr:row>
          <xdr:rowOff>0</xdr:rowOff>
        </xdr:to>
        <xdr:sp macro="" textlink="">
          <xdr:nvSpPr>
            <xdr:cNvPr id="7225" name="Option Button 1081" hidden="1">
              <a:extLst>
                <a:ext uri="{63B3BB69-23CF-44E3-9099-C40C66FF867C}">
                  <a14:compatExt spid="_x0000_s7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19</xdr:row>
          <xdr:rowOff>19050</xdr:rowOff>
        </xdr:from>
        <xdr:to>
          <xdr:col>3</xdr:col>
          <xdr:colOff>552450</xdr:colOff>
          <xdr:row>19</xdr:row>
          <xdr:rowOff>238125</xdr:rowOff>
        </xdr:to>
        <xdr:sp macro="" textlink="">
          <xdr:nvSpPr>
            <xdr:cNvPr id="7226" name="Option Button 1082" hidden="1">
              <a:extLst>
                <a:ext uri="{63B3BB69-23CF-44E3-9099-C40C66FF867C}">
                  <a14:compatExt spid="_x0000_s7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20</xdr:row>
          <xdr:rowOff>0</xdr:rowOff>
        </xdr:from>
        <xdr:to>
          <xdr:col>4</xdr:col>
          <xdr:colOff>0</xdr:colOff>
          <xdr:row>21</xdr:row>
          <xdr:rowOff>0</xdr:rowOff>
        </xdr:to>
        <xdr:sp macro="" textlink="">
          <xdr:nvSpPr>
            <xdr:cNvPr id="7227" name="Group Box 1083" hidden="1">
              <a:extLst>
                <a:ext uri="{63B3BB69-23CF-44E3-9099-C40C66FF867C}">
                  <a14:compatExt spid="_x0000_s7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20</xdr:row>
          <xdr:rowOff>0</xdr:rowOff>
        </xdr:from>
        <xdr:to>
          <xdr:col>2</xdr:col>
          <xdr:colOff>476250</xdr:colOff>
          <xdr:row>21</xdr:row>
          <xdr:rowOff>0</xdr:rowOff>
        </xdr:to>
        <xdr:sp macro="" textlink="">
          <xdr:nvSpPr>
            <xdr:cNvPr id="7228" name="Option Button 1084" hidden="1">
              <a:extLst>
                <a:ext uri="{63B3BB69-23CF-44E3-9099-C40C66FF867C}">
                  <a14:compatExt spid="_x0000_s7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20</xdr:row>
          <xdr:rowOff>19050</xdr:rowOff>
        </xdr:from>
        <xdr:to>
          <xdr:col>3</xdr:col>
          <xdr:colOff>552450</xdr:colOff>
          <xdr:row>20</xdr:row>
          <xdr:rowOff>238125</xdr:rowOff>
        </xdr:to>
        <xdr:sp macro="" textlink="">
          <xdr:nvSpPr>
            <xdr:cNvPr id="7229" name="Option Button 1085" hidden="1">
              <a:extLst>
                <a:ext uri="{63B3BB69-23CF-44E3-9099-C40C66FF867C}">
                  <a14:compatExt spid="_x0000_s7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4</xdr:col>
          <xdr:colOff>0</xdr:colOff>
          <xdr:row>13</xdr:row>
          <xdr:rowOff>0</xdr:rowOff>
        </xdr:to>
        <xdr:sp macro="" textlink="">
          <xdr:nvSpPr>
            <xdr:cNvPr id="7230" name="Group Box 1086" hidden="1">
              <a:extLst>
                <a:ext uri="{63B3BB69-23CF-44E3-9099-C40C66FF867C}">
                  <a14:compatExt spid="_x0000_s7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12</xdr:row>
          <xdr:rowOff>0</xdr:rowOff>
        </xdr:from>
        <xdr:to>
          <xdr:col>2</xdr:col>
          <xdr:colOff>476250</xdr:colOff>
          <xdr:row>13</xdr:row>
          <xdr:rowOff>0</xdr:rowOff>
        </xdr:to>
        <xdr:sp macro="" textlink="">
          <xdr:nvSpPr>
            <xdr:cNvPr id="7231" name="Option Button 1087" hidden="1">
              <a:extLst>
                <a:ext uri="{63B3BB69-23CF-44E3-9099-C40C66FF867C}">
                  <a14:compatExt spid="_x0000_s72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12</xdr:row>
          <xdr:rowOff>19050</xdr:rowOff>
        </xdr:from>
        <xdr:to>
          <xdr:col>3</xdr:col>
          <xdr:colOff>552450</xdr:colOff>
          <xdr:row>12</xdr:row>
          <xdr:rowOff>238125</xdr:rowOff>
        </xdr:to>
        <xdr:sp macro="" textlink="">
          <xdr:nvSpPr>
            <xdr:cNvPr id="7232" name="Option Button 1088" hidden="1">
              <a:extLst>
                <a:ext uri="{63B3BB69-23CF-44E3-9099-C40C66FF867C}">
                  <a14:compatExt spid="_x0000_s7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4</xdr:col>
          <xdr:colOff>0</xdr:colOff>
          <xdr:row>22</xdr:row>
          <xdr:rowOff>0</xdr:rowOff>
        </xdr:to>
        <xdr:sp macro="" textlink="">
          <xdr:nvSpPr>
            <xdr:cNvPr id="7233" name="Group Box 1089" hidden="1">
              <a:extLst>
                <a:ext uri="{63B3BB69-23CF-44E3-9099-C40C66FF867C}">
                  <a14:compatExt spid="_x0000_s72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21</xdr:row>
          <xdr:rowOff>38100</xdr:rowOff>
        </xdr:from>
        <xdr:to>
          <xdr:col>2</xdr:col>
          <xdr:colOff>476250</xdr:colOff>
          <xdr:row>21</xdr:row>
          <xdr:rowOff>314325</xdr:rowOff>
        </xdr:to>
        <xdr:sp macro="" textlink="">
          <xdr:nvSpPr>
            <xdr:cNvPr id="7234" name="Option Button 1090" hidden="1">
              <a:extLst>
                <a:ext uri="{63B3BB69-23CF-44E3-9099-C40C66FF867C}">
                  <a14:compatExt spid="_x0000_s7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21</xdr:row>
          <xdr:rowOff>66675</xdr:rowOff>
        </xdr:from>
        <xdr:to>
          <xdr:col>3</xdr:col>
          <xdr:colOff>552450</xdr:colOff>
          <xdr:row>21</xdr:row>
          <xdr:rowOff>285750</xdr:rowOff>
        </xdr:to>
        <xdr:sp macro="" textlink="">
          <xdr:nvSpPr>
            <xdr:cNvPr id="7235" name="Option Button 1091" hidden="1">
              <a:extLst>
                <a:ext uri="{63B3BB69-23CF-44E3-9099-C40C66FF867C}">
                  <a14:compatExt spid="_x0000_s72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15</xdr:row>
          <xdr:rowOff>0</xdr:rowOff>
        </xdr:from>
        <xdr:to>
          <xdr:col>4</xdr:col>
          <xdr:colOff>0</xdr:colOff>
          <xdr:row>16</xdr:row>
          <xdr:rowOff>0</xdr:rowOff>
        </xdr:to>
        <xdr:sp macro="" textlink="">
          <xdr:nvSpPr>
            <xdr:cNvPr id="7251" name="Group Box 1107" hidden="1">
              <a:extLst>
                <a:ext uri="{63B3BB69-23CF-44E3-9099-C40C66FF867C}">
                  <a14:compatExt spid="_x0000_s72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15</xdr:row>
          <xdr:rowOff>0</xdr:rowOff>
        </xdr:from>
        <xdr:to>
          <xdr:col>2</xdr:col>
          <xdr:colOff>476250</xdr:colOff>
          <xdr:row>15</xdr:row>
          <xdr:rowOff>276225</xdr:rowOff>
        </xdr:to>
        <xdr:sp macro="" textlink="">
          <xdr:nvSpPr>
            <xdr:cNvPr id="7252" name="Option Button 1108" hidden="1">
              <a:extLst>
                <a:ext uri="{63B3BB69-23CF-44E3-9099-C40C66FF867C}">
                  <a14:compatExt spid="_x0000_s72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15</xdr:row>
          <xdr:rowOff>19050</xdr:rowOff>
        </xdr:from>
        <xdr:to>
          <xdr:col>3</xdr:col>
          <xdr:colOff>552450</xdr:colOff>
          <xdr:row>15</xdr:row>
          <xdr:rowOff>238125</xdr:rowOff>
        </xdr:to>
        <xdr:sp macro="" textlink="">
          <xdr:nvSpPr>
            <xdr:cNvPr id="7253" name="Option Button 1109" hidden="1">
              <a:extLst>
                <a:ext uri="{63B3BB69-23CF-44E3-9099-C40C66FF867C}">
                  <a14:compatExt spid="_x0000_s7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4</xdr:col>
          <xdr:colOff>0</xdr:colOff>
          <xdr:row>14</xdr:row>
          <xdr:rowOff>0</xdr:rowOff>
        </xdr:to>
        <xdr:sp macro="" textlink="">
          <xdr:nvSpPr>
            <xdr:cNvPr id="7260" name="Group Box 1116" hidden="1">
              <a:extLst>
                <a:ext uri="{63B3BB69-23CF-44E3-9099-C40C66FF867C}">
                  <a14:compatExt spid="_x0000_s72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13</xdr:row>
          <xdr:rowOff>0</xdr:rowOff>
        </xdr:from>
        <xdr:to>
          <xdr:col>2</xdr:col>
          <xdr:colOff>476250</xdr:colOff>
          <xdr:row>14</xdr:row>
          <xdr:rowOff>0</xdr:rowOff>
        </xdr:to>
        <xdr:sp macro="" textlink="">
          <xdr:nvSpPr>
            <xdr:cNvPr id="7261" name="Option Button 1117" hidden="1">
              <a:extLst>
                <a:ext uri="{63B3BB69-23CF-44E3-9099-C40C66FF867C}">
                  <a14:compatExt spid="_x0000_s72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13</xdr:row>
          <xdr:rowOff>19050</xdr:rowOff>
        </xdr:from>
        <xdr:to>
          <xdr:col>3</xdr:col>
          <xdr:colOff>552450</xdr:colOff>
          <xdr:row>13</xdr:row>
          <xdr:rowOff>238125</xdr:rowOff>
        </xdr:to>
        <xdr:sp macro="" textlink="">
          <xdr:nvSpPr>
            <xdr:cNvPr id="7262" name="Option Button 1118" hidden="1">
              <a:extLst>
                <a:ext uri="{63B3BB69-23CF-44E3-9099-C40C66FF867C}">
                  <a14:compatExt spid="_x0000_s72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4</xdr:col>
          <xdr:colOff>0</xdr:colOff>
          <xdr:row>15</xdr:row>
          <xdr:rowOff>0</xdr:rowOff>
        </xdr:to>
        <xdr:sp macro="" textlink="">
          <xdr:nvSpPr>
            <xdr:cNvPr id="7263" name="Group Box 1119" hidden="1">
              <a:extLst>
                <a:ext uri="{63B3BB69-23CF-44E3-9099-C40C66FF867C}">
                  <a14:compatExt spid="_x0000_s72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14</xdr:row>
          <xdr:rowOff>0</xdr:rowOff>
        </xdr:from>
        <xdr:to>
          <xdr:col>2</xdr:col>
          <xdr:colOff>476250</xdr:colOff>
          <xdr:row>15</xdr:row>
          <xdr:rowOff>0</xdr:rowOff>
        </xdr:to>
        <xdr:sp macro="" textlink="">
          <xdr:nvSpPr>
            <xdr:cNvPr id="7264" name="Option Button 1120" hidden="1">
              <a:extLst>
                <a:ext uri="{63B3BB69-23CF-44E3-9099-C40C66FF867C}">
                  <a14:compatExt spid="_x0000_s72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14</xdr:row>
          <xdr:rowOff>19050</xdr:rowOff>
        </xdr:from>
        <xdr:to>
          <xdr:col>3</xdr:col>
          <xdr:colOff>552450</xdr:colOff>
          <xdr:row>14</xdr:row>
          <xdr:rowOff>238125</xdr:rowOff>
        </xdr:to>
        <xdr:sp macro="" textlink="">
          <xdr:nvSpPr>
            <xdr:cNvPr id="7265" name="Option Button 1121" hidden="1">
              <a:extLst>
                <a:ext uri="{63B3BB69-23CF-44E3-9099-C40C66FF867C}">
                  <a14:compatExt spid="_x0000_s72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22</xdr:row>
          <xdr:rowOff>0</xdr:rowOff>
        </xdr:from>
        <xdr:to>
          <xdr:col>4</xdr:col>
          <xdr:colOff>0</xdr:colOff>
          <xdr:row>23</xdr:row>
          <xdr:rowOff>0</xdr:rowOff>
        </xdr:to>
        <xdr:sp macro="" textlink="">
          <xdr:nvSpPr>
            <xdr:cNvPr id="7266" name="Group Box 1122" hidden="1">
              <a:extLst>
                <a:ext uri="{63B3BB69-23CF-44E3-9099-C40C66FF867C}">
                  <a14:compatExt spid="_x0000_s72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22</xdr:row>
          <xdr:rowOff>0</xdr:rowOff>
        </xdr:from>
        <xdr:to>
          <xdr:col>2</xdr:col>
          <xdr:colOff>476250</xdr:colOff>
          <xdr:row>23</xdr:row>
          <xdr:rowOff>0</xdr:rowOff>
        </xdr:to>
        <xdr:sp macro="" textlink="">
          <xdr:nvSpPr>
            <xdr:cNvPr id="7267" name="Option Button 1123" hidden="1">
              <a:extLst>
                <a:ext uri="{63B3BB69-23CF-44E3-9099-C40C66FF867C}">
                  <a14:compatExt spid="_x0000_s72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22</xdr:row>
          <xdr:rowOff>19050</xdr:rowOff>
        </xdr:from>
        <xdr:to>
          <xdr:col>3</xdr:col>
          <xdr:colOff>552450</xdr:colOff>
          <xdr:row>22</xdr:row>
          <xdr:rowOff>238125</xdr:rowOff>
        </xdr:to>
        <xdr:sp macro="" textlink="">
          <xdr:nvSpPr>
            <xdr:cNvPr id="7268" name="Option Button 1124" hidden="1">
              <a:extLst>
                <a:ext uri="{63B3BB69-23CF-44E3-9099-C40C66FF867C}">
                  <a14:compatExt spid="_x0000_s72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</xdr:row>
          <xdr:rowOff>0</xdr:rowOff>
        </xdr:from>
        <xdr:to>
          <xdr:col>4</xdr:col>
          <xdr:colOff>0</xdr:colOff>
          <xdr:row>24</xdr:row>
          <xdr:rowOff>0</xdr:rowOff>
        </xdr:to>
        <xdr:sp macro="" textlink="">
          <xdr:nvSpPr>
            <xdr:cNvPr id="7269" name="Group Box 1125" hidden="1">
              <a:extLst>
                <a:ext uri="{63B3BB69-23CF-44E3-9099-C40C66FF867C}">
                  <a14:compatExt spid="_x0000_s72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23</xdr:row>
          <xdr:rowOff>0</xdr:rowOff>
        </xdr:from>
        <xdr:to>
          <xdr:col>2</xdr:col>
          <xdr:colOff>476250</xdr:colOff>
          <xdr:row>24</xdr:row>
          <xdr:rowOff>0</xdr:rowOff>
        </xdr:to>
        <xdr:sp macro="" textlink="">
          <xdr:nvSpPr>
            <xdr:cNvPr id="7270" name="Option Button 1126" hidden="1">
              <a:extLst>
                <a:ext uri="{63B3BB69-23CF-44E3-9099-C40C66FF867C}">
                  <a14:compatExt spid="_x0000_s72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23</xdr:row>
          <xdr:rowOff>19050</xdr:rowOff>
        </xdr:from>
        <xdr:to>
          <xdr:col>3</xdr:col>
          <xdr:colOff>552450</xdr:colOff>
          <xdr:row>23</xdr:row>
          <xdr:rowOff>238125</xdr:rowOff>
        </xdr:to>
        <xdr:sp macro="" textlink="">
          <xdr:nvSpPr>
            <xdr:cNvPr id="7271" name="Option Button 1127" hidden="1">
              <a:extLst>
                <a:ext uri="{63B3BB69-23CF-44E3-9099-C40C66FF867C}">
                  <a14:compatExt spid="_x0000_s72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24</xdr:row>
          <xdr:rowOff>0</xdr:rowOff>
        </xdr:from>
        <xdr:to>
          <xdr:col>4</xdr:col>
          <xdr:colOff>0</xdr:colOff>
          <xdr:row>25</xdr:row>
          <xdr:rowOff>0</xdr:rowOff>
        </xdr:to>
        <xdr:sp macro="" textlink="">
          <xdr:nvSpPr>
            <xdr:cNvPr id="7272" name="Group Box 1128" hidden="1">
              <a:extLst>
                <a:ext uri="{63B3BB69-23CF-44E3-9099-C40C66FF867C}">
                  <a14:compatExt spid="_x0000_s72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24</xdr:row>
          <xdr:rowOff>0</xdr:rowOff>
        </xdr:from>
        <xdr:to>
          <xdr:col>2</xdr:col>
          <xdr:colOff>476250</xdr:colOff>
          <xdr:row>25</xdr:row>
          <xdr:rowOff>0</xdr:rowOff>
        </xdr:to>
        <xdr:sp macro="" textlink="">
          <xdr:nvSpPr>
            <xdr:cNvPr id="7273" name="Option Button 1129" hidden="1">
              <a:extLst>
                <a:ext uri="{63B3BB69-23CF-44E3-9099-C40C66FF867C}">
                  <a14:compatExt spid="_x0000_s72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24</xdr:row>
          <xdr:rowOff>19050</xdr:rowOff>
        </xdr:from>
        <xdr:to>
          <xdr:col>3</xdr:col>
          <xdr:colOff>552450</xdr:colOff>
          <xdr:row>24</xdr:row>
          <xdr:rowOff>238125</xdr:rowOff>
        </xdr:to>
        <xdr:sp macro="" textlink="">
          <xdr:nvSpPr>
            <xdr:cNvPr id="7274" name="Option Button 1130" hidden="1">
              <a:extLst>
                <a:ext uri="{63B3BB69-23CF-44E3-9099-C40C66FF867C}">
                  <a14:compatExt spid="_x0000_s72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0</xdr:rowOff>
        </xdr:from>
        <xdr:to>
          <xdr:col>4</xdr:col>
          <xdr:colOff>0</xdr:colOff>
          <xdr:row>27</xdr:row>
          <xdr:rowOff>0</xdr:rowOff>
        </xdr:to>
        <xdr:sp macro="" textlink="">
          <xdr:nvSpPr>
            <xdr:cNvPr id="7275" name="Group Box 1131" hidden="1">
              <a:extLst>
                <a:ext uri="{63B3BB69-23CF-44E3-9099-C40C66FF867C}">
                  <a14:compatExt spid="_x0000_s72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26</xdr:row>
          <xdr:rowOff>28575</xdr:rowOff>
        </xdr:from>
        <xdr:to>
          <xdr:col>2</xdr:col>
          <xdr:colOff>476250</xdr:colOff>
          <xdr:row>26</xdr:row>
          <xdr:rowOff>304800</xdr:rowOff>
        </xdr:to>
        <xdr:sp macro="" textlink="">
          <xdr:nvSpPr>
            <xdr:cNvPr id="7276" name="Option Button 1132" hidden="1">
              <a:extLst>
                <a:ext uri="{63B3BB69-23CF-44E3-9099-C40C66FF867C}">
                  <a14:compatExt spid="_x0000_s72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26</xdr:row>
          <xdr:rowOff>47625</xdr:rowOff>
        </xdr:from>
        <xdr:to>
          <xdr:col>3</xdr:col>
          <xdr:colOff>552450</xdr:colOff>
          <xdr:row>26</xdr:row>
          <xdr:rowOff>266700</xdr:rowOff>
        </xdr:to>
        <xdr:sp macro="" textlink="">
          <xdr:nvSpPr>
            <xdr:cNvPr id="7277" name="Option Button 1133" hidden="1">
              <a:extLst>
                <a:ext uri="{63B3BB69-23CF-44E3-9099-C40C66FF867C}">
                  <a14:compatExt spid="_x0000_s72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0</xdr:rowOff>
        </xdr:from>
        <xdr:to>
          <xdr:col>4</xdr:col>
          <xdr:colOff>0</xdr:colOff>
          <xdr:row>30</xdr:row>
          <xdr:rowOff>0</xdr:rowOff>
        </xdr:to>
        <xdr:sp macro="" textlink="">
          <xdr:nvSpPr>
            <xdr:cNvPr id="7278" name="Group Box 1134" hidden="1">
              <a:extLst>
                <a:ext uri="{63B3BB69-23CF-44E3-9099-C40C66FF867C}">
                  <a14:compatExt spid="_x0000_s72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29</xdr:row>
          <xdr:rowOff>38100</xdr:rowOff>
        </xdr:from>
        <xdr:to>
          <xdr:col>2</xdr:col>
          <xdr:colOff>476250</xdr:colOff>
          <xdr:row>29</xdr:row>
          <xdr:rowOff>314325</xdr:rowOff>
        </xdr:to>
        <xdr:sp macro="" textlink="">
          <xdr:nvSpPr>
            <xdr:cNvPr id="7279" name="Option Button 1135" hidden="1">
              <a:extLst>
                <a:ext uri="{63B3BB69-23CF-44E3-9099-C40C66FF867C}">
                  <a14:compatExt spid="_x0000_s72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29</xdr:row>
          <xdr:rowOff>57150</xdr:rowOff>
        </xdr:from>
        <xdr:to>
          <xdr:col>3</xdr:col>
          <xdr:colOff>552450</xdr:colOff>
          <xdr:row>29</xdr:row>
          <xdr:rowOff>276225</xdr:rowOff>
        </xdr:to>
        <xdr:sp macro="" textlink="">
          <xdr:nvSpPr>
            <xdr:cNvPr id="7280" name="Option Button 1136" hidden="1">
              <a:extLst>
                <a:ext uri="{63B3BB69-23CF-44E3-9099-C40C66FF867C}">
                  <a14:compatExt spid="_x0000_s72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0</xdr:rowOff>
        </xdr:from>
        <xdr:to>
          <xdr:col>4</xdr:col>
          <xdr:colOff>0</xdr:colOff>
          <xdr:row>18</xdr:row>
          <xdr:rowOff>0</xdr:rowOff>
        </xdr:to>
        <xdr:sp macro="" textlink="">
          <xdr:nvSpPr>
            <xdr:cNvPr id="7311" name="Group Box 1167" hidden="1">
              <a:extLst>
                <a:ext uri="{63B3BB69-23CF-44E3-9099-C40C66FF867C}">
                  <a14:compatExt spid="_x0000_s73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17</xdr:row>
          <xdr:rowOff>0</xdr:rowOff>
        </xdr:from>
        <xdr:to>
          <xdr:col>2</xdr:col>
          <xdr:colOff>476250</xdr:colOff>
          <xdr:row>18</xdr:row>
          <xdr:rowOff>0</xdr:rowOff>
        </xdr:to>
        <xdr:sp macro="" textlink="">
          <xdr:nvSpPr>
            <xdr:cNvPr id="7312" name="Option Button 1168" hidden="1">
              <a:extLst>
                <a:ext uri="{63B3BB69-23CF-44E3-9099-C40C66FF867C}">
                  <a14:compatExt spid="_x0000_s73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17</xdr:row>
          <xdr:rowOff>19050</xdr:rowOff>
        </xdr:from>
        <xdr:to>
          <xdr:col>3</xdr:col>
          <xdr:colOff>552450</xdr:colOff>
          <xdr:row>17</xdr:row>
          <xdr:rowOff>238125</xdr:rowOff>
        </xdr:to>
        <xdr:sp macro="" textlink="">
          <xdr:nvSpPr>
            <xdr:cNvPr id="7313" name="Option Button 1169" hidden="1">
              <a:extLst>
                <a:ext uri="{63B3BB69-23CF-44E3-9099-C40C66FF867C}">
                  <a14:compatExt spid="_x0000_s73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0</xdr:rowOff>
        </xdr:from>
        <xdr:to>
          <xdr:col>4</xdr:col>
          <xdr:colOff>0</xdr:colOff>
          <xdr:row>19</xdr:row>
          <xdr:rowOff>0</xdr:rowOff>
        </xdr:to>
        <xdr:sp macro="" textlink="">
          <xdr:nvSpPr>
            <xdr:cNvPr id="7314" name="Group Box 1170" hidden="1">
              <a:extLst>
                <a:ext uri="{63B3BB69-23CF-44E3-9099-C40C66FF867C}">
                  <a14:compatExt spid="_x0000_s73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18</xdr:row>
          <xdr:rowOff>0</xdr:rowOff>
        </xdr:from>
        <xdr:to>
          <xdr:col>2</xdr:col>
          <xdr:colOff>476250</xdr:colOff>
          <xdr:row>19</xdr:row>
          <xdr:rowOff>0</xdr:rowOff>
        </xdr:to>
        <xdr:sp macro="" textlink="">
          <xdr:nvSpPr>
            <xdr:cNvPr id="7315" name="Option Button 1171" hidden="1">
              <a:extLst>
                <a:ext uri="{63B3BB69-23CF-44E3-9099-C40C66FF867C}">
                  <a14:compatExt spid="_x0000_s73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18</xdr:row>
          <xdr:rowOff>19050</xdr:rowOff>
        </xdr:from>
        <xdr:to>
          <xdr:col>3</xdr:col>
          <xdr:colOff>552450</xdr:colOff>
          <xdr:row>18</xdr:row>
          <xdr:rowOff>238125</xdr:rowOff>
        </xdr:to>
        <xdr:sp macro="" textlink="">
          <xdr:nvSpPr>
            <xdr:cNvPr id="7316" name="Option Button 1172" hidden="1">
              <a:extLst>
                <a:ext uri="{63B3BB69-23CF-44E3-9099-C40C66FF867C}">
                  <a14:compatExt spid="_x0000_s73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</xdr:row>
          <xdr:rowOff>0</xdr:rowOff>
        </xdr:from>
        <xdr:to>
          <xdr:col>4</xdr:col>
          <xdr:colOff>0</xdr:colOff>
          <xdr:row>31</xdr:row>
          <xdr:rowOff>0</xdr:rowOff>
        </xdr:to>
        <xdr:sp macro="" textlink="">
          <xdr:nvSpPr>
            <xdr:cNvPr id="7317" name="Group Box 1173" hidden="1">
              <a:extLst>
                <a:ext uri="{63B3BB69-23CF-44E3-9099-C40C66FF867C}">
                  <a14:compatExt spid="_x0000_s73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30</xdr:row>
          <xdr:rowOff>38100</xdr:rowOff>
        </xdr:from>
        <xdr:to>
          <xdr:col>2</xdr:col>
          <xdr:colOff>476250</xdr:colOff>
          <xdr:row>30</xdr:row>
          <xdr:rowOff>257175</xdr:rowOff>
        </xdr:to>
        <xdr:sp macro="" textlink="">
          <xdr:nvSpPr>
            <xdr:cNvPr id="7318" name="Option Button 1174" hidden="1">
              <a:extLst>
                <a:ext uri="{63B3BB69-23CF-44E3-9099-C40C66FF867C}">
                  <a14:compatExt spid="_x0000_s73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30</xdr:row>
          <xdr:rowOff>47625</xdr:rowOff>
        </xdr:from>
        <xdr:to>
          <xdr:col>3</xdr:col>
          <xdr:colOff>552450</xdr:colOff>
          <xdr:row>30</xdr:row>
          <xdr:rowOff>266700</xdr:rowOff>
        </xdr:to>
        <xdr:sp macro="" textlink="">
          <xdr:nvSpPr>
            <xdr:cNvPr id="7319" name="Option Button 1175" hidden="1">
              <a:extLst>
                <a:ext uri="{63B3BB69-23CF-44E3-9099-C40C66FF867C}">
                  <a14:compatExt spid="_x0000_s73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</xdr:row>
          <xdr:rowOff>0</xdr:rowOff>
        </xdr:from>
        <xdr:to>
          <xdr:col>4</xdr:col>
          <xdr:colOff>0</xdr:colOff>
          <xdr:row>32</xdr:row>
          <xdr:rowOff>0</xdr:rowOff>
        </xdr:to>
        <xdr:sp macro="" textlink="">
          <xdr:nvSpPr>
            <xdr:cNvPr id="7320" name="Group Box 1176" hidden="1">
              <a:extLst>
                <a:ext uri="{63B3BB69-23CF-44E3-9099-C40C66FF867C}">
                  <a14:compatExt spid="_x0000_s73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31</xdr:row>
          <xdr:rowOff>47625</xdr:rowOff>
        </xdr:from>
        <xdr:to>
          <xdr:col>2</xdr:col>
          <xdr:colOff>476250</xdr:colOff>
          <xdr:row>31</xdr:row>
          <xdr:rowOff>266700</xdr:rowOff>
        </xdr:to>
        <xdr:sp macro="" textlink="">
          <xdr:nvSpPr>
            <xdr:cNvPr id="7321" name="Option Button 1177" hidden="1">
              <a:extLst>
                <a:ext uri="{63B3BB69-23CF-44E3-9099-C40C66FF867C}">
                  <a14:compatExt spid="_x0000_s73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31</xdr:row>
          <xdr:rowOff>57150</xdr:rowOff>
        </xdr:from>
        <xdr:to>
          <xdr:col>3</xdr:col>
          <xdr:colOff>552450</xdr:colOff>
          <xdr:row>31</xdr:row>
          <xdr:rowOff>276225</xdr:rowOff>
        </xdr:to>
        <xdr:sp macro="" textlink="">
          <xdr:nvSpPr>
            <xdr:cNvPr id="7322" name="Option Button 1178" hidden="1">
              <a:extLst>
                <a:ext uri="{63B3BB69-23CF-44E3-9099-C40C66FF867C}">
                  <a14:compatExt spid="_x0000_s73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4</xdr:col>
          <xdr:colOff>0</xdr:colOff>
          <xdr:row>33</xdr:row>
          <xdr:rowOff>0</xdr:rowOff>
        </xdr:to>
        <xdr:sp macro="" textlink="">
          <xdr:nvSpPr>
            <xdr:cNvPr id="7323" name="Group Box 1179" hidden="1">
              <a:extLst>
                <a:ext uri="{63B3BB69-23CF-44E3-9099-C40C66FF867C}">
                  <a14:compatExt spid="_x0000_s73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32</xdr:row>
          <xdr:rowOff>47625</xdr:rowOff>
        </xdr:from>
        <xdr:to>
          <xdr:col>2</xdr:col>
          <xdr:colOff>476250</xdr:colOff>
          <xdr:row>32</xdr:row>
          <xdr:rowOff>266700</xdr:rowOff>
        </xdr:to>
        <xdr:sp macro="" textlink="">
          <xdr:nvSpPr>
            <xdr:cNvPr id="7324" name="Option Button 1180" hidden="1">
              <a:extLst>
                <a:ext uri="{63B3BB69-23CF-44E3-9099-C40C66FF867C}">
                  <a14:compatExt spid="_x0000_s73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32</xdr:row>
          <xdr:rowOff>57150</xdr:rowOff>
        </xdr:from>
        <xdr:to>
          <xdr:col>3</xdr:col>
          <xdr:colOff>552450</xdr:colOff>
          <xdr:row>32</xdr:row>
          <xdr:rowOff>276225</xdr:rowOff>
        </xdr:to>
        <xdr:sp macro="" textlink="">
          <xdr:nvSpPr>
            <xdr:cNvPr id="7325" name="Option Button 1181" hidden="1">
              <a:extLst>
                <a:ext uri="{63B3BB69-23CF-44E3-9099-C40C66FF867C}">
                  <a14:compatExt spid="_x0000_s73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4</xdr:col>
          <xdr:colOff>0</xdr:colOff>
          <xdr:row>34</xdr:row>
          <xdr:rowOff>0</xdr:rowOff>
        </xdr:to>
        <xdr:sp macro="" textlink="">
          <xdr:nvSpPr>
            <xdr:cNvPr id="7326" name="Group Box 1182" hidden="1">
              <a:extLst>
                <a:ext uri="{63B3BB69-23CF-44E3-9099-C40C66FF867C}">
                  <a14:compatExt spid="_x0000_s73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33</xdr:row>
          <xdr:rowOff>47625</xdr:rowOff>
        </xdr:from>
        <xdr:to>
          <xdr:col>2</xdr:col>
          <xdr:colOff>476250</xdr:colOff>
          <xdr:row>33</xdr:row>
          <xdr:rowOff>266700</xdr:rowOff>
        </xdr:to>
        <xdr:sp macro="" textlink="">
          <xdr:nvSpPr>
            <xdr:cNvPr id="7327" name="Option Button 1183" hidden="1">
              <a:extLst>
                <a:ext uri="{63B3BB69-23CF-44E3-9099-C40C66FF867C}">
                  <a14:compatExt spid="_x0000_s73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33</xdr:row>
          <xdr:rowOff>57150</xdr:rowOff>
        </xdr:from>
        <xdr:to>
          <xdr:col>3</xdr:col>
          <xdr:colOff>552450</xdr:colOff>
          <xdr:row>33</xdr:row>
          <xdr:rowOff>276225</xdr:rowOff>
        </xdr:to>
        <xdr:sp macro="" textlink="">
          <xdr:nvSpPr>
            <xdr:cNvPr id="7328" name="Option Button 1184" hidden="1">
              <a:extLst>
                <a:ext uri="{63B3BB69-23CF-44E3-9099-C40C66FF867C}">
                  <a14:compatExt spid="_x0000_s73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4</xdr:col>
          <xdr:colOff>0</xdr:colOff>
          <xdr:row>29</xdr:row>
          <xdr:rowOff>0</xdr:rowOff>
        </xdr:to>
        <xdr:sp macro="" textlink="">
          <xdr:nvSpPr>
            <xdr:cNvPr id="7332" name="Group Box 1188" hidden="1">
              <a:extLst>
                <a:ext uri="{63B3BB69-23CF-44E3-9099-C40C66FF867C}">
                  <a14:compatExt spid="_x0000_s73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28</xdr:row>
          <xdr:rowOff>38100</xdr:rowOff>
        </xdr:from>
        <xdr:to>
          <xdr:col>2</xdr:col>
          <xdr:colOff>476250</xdr:colOff>
          <xdr:row>28</xdr:row>
          <xdr:rowOff>257175</xdr:rowOff>
        </xdr:to>
        <xdr:sp macro="" textlink="">
          <xdr:nvSpPr>
            <xdr:cNvPr id="7333" name="Option Button 1189" hidden="1">
              <a:extLst>
                <a:ext uri="{63B3BB69-23CF-44E3-9099-C40C66FF867C}">
                  <a14:compatExt spid="_x0000_s73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28</xdr:row>
          <xdr:rowOff>47625</xdr:rowOff>
        </xdr:from>
        <xdr:to>
          <xdr:col>3</xdr:col>
          <xdr:colOff>552450</xdr:colOff>
          <xdr:row>28</xdr:row>
          <xdr:rowOff>266700</xdr:rowOff>
        </xdr:to>
        <xdr:sp macro="" textlink="">
          <xdr:nvSpPr>
            <xdr:cNvPr id="7334" name="Option Button 1190" hidden="1">
              <a:extLst>
                <a:ext uri="{63B3BB69-23CF-44E3-9099-C40C66FF867C}">
                  <a14:compatExt spid="_x0000_s73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285750</xdr:colOff>
          <xdr:row>34</xdr:row>
          <xdr:rowOff>9525</xdr:rowOff>
        </xdr:from>
        <xdr:to>
          <xdr:col>4</xdr:col>
          <xdr:colOff>0</xdr:colOff>
          <xdr:row>35</xdr:row>
          <xdr:rowOff>9525</xdr:rowOff>
        </xdr:to>
        <xdr:sp macro="" textlink="">
          <xdr:nvSpPr>
            <xdr:cNvPr id="7336" name="Spinner 1192" hidden="1">
              <a:extLst>
                <a:ext uri="{63B3BB69-23CF-44E3-9099-C40C66FF867C}">
                  <a14:compatExt spid="_x0000_s73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</xdr:row>
          <xdr:rowOff>0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8196" name="Group Box 4" hidden="1">
              <a:extLst>
                <a:ext uri="{63B3BB69-23CF-44E3-9099-C40C66FF867C}">
                  <a14:compatExt spid="_x0000_s81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0</xdr:rowOff>
        </xdr:from>
        <xdr:to>
          <xdr:col>2</xdr:col>
          <xdr:colOff>476250</xdr:colOff>
          <xdr:row>7</xdr:row>
          <xdr:rowOff>0</xdr:rowOff>
        </xdr:to>
        <xdr:sp macro="" textlink="">
          <xdr:nvSpPr>
            <xdr:cNvPr id="8197" name="Option Button 5" hidden="1">
              <a:extLst>
                <a:ext uri="{63B3BB69-23CF-44E3-9099-C40C66FF867C}">
                  <a14:compatExt spid="_x0000_s81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6</xdr:row>
          <xdr:rowOff>19050</xdr:rowOff>
        </xdr:from>
        <xdr:to>
          <xdr:col>3</xdr:col>
          <xdr:colOff>552450</xdr:colOff>
          <xdr:row>6</xdr:row>
          <xdr:rowOff>238125</xdr:rowOff>
        </xdr:to>
        <xdr:sp macro="" textlink="">
          <xdr:nvSpPr>
            <xdr:cNvPr id="8198" name="Option Button 6" hidden="1">
              <a:extLst>
                <a:ext uri="{63B3BB69-23CF-44E3-9099-C40C66FF867C}">
                  <a14:compatExt spid="_x0000_s81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4</xdr:col>
          <xdr:colOff>0</xdr:colOff>
          <xdr:row>15</xdr:row>
          <xdr:rowOff>0</xdr:rowOff>
        </xdr:to>
        <xdr:sp macro="" textlink="">
          <xdr:nvSpPr>
            <xdr:cNvPr id="8199" name="Group Box 7" hidden="1">
              <a:extLst>
                <a:ext uri="{63B3BB69-23CF-44E3-9099-C40C66FF867C}">
                  <a14:compatExt spid="_x0000_s81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14</xdr:row>
          <xdr:rowOff>0</xdr:rowOff>
        </xdr:from>
        <xdr:to>
          <xdr:col>2</xdr:col>
          <xdr:colOff>476250</xdr:colOff>
          <xdr:row>15</xdr:row>
          <xdr:rowOff>0</xdr:rowOff>
        </xdr:to>
        <xdr:sp macro="" textlink="">
          <xdr:nvSpPr>
            <xdr:cNvPr id="8200" name="Option Button 8" hidden="1">
              <a:extLst>
                <a:ext uri="{63B3BB69-23CF-44E3-9099-C40C66FF867C}">
                  <a14:compatExt spid="_x0000_s82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14</xdr:row>
          <xdr:rowOff>19050</xdr:rowOff>
        </xdr:from>
        <xdr:to>
          <xdr:col>3</xdr:col>
          <xdr:colOff>552450</xdr:colOff>
          <xdr:row>14</xdr:row>
          <xdr:rowOff>238125</xdr:rowOff>
        </xdr:to>
        <xdr:sp macro="" textlink="">
          <xdr:nvSpPr>
            <xdr:cNvPr id="8201" name="Option Button 9" hidden="1">
              <a:extLst>
                <a:ext uri="{63B3BB69-23CF-44E3-9099-C40C66FF867C}">
                  <a14:compatExt spid="_x0000_s8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15</xdr:row>
          <xdr:rowOff>0</xdr:rowOff>
        </xdr:from>
        <xdr:to>
          <xdr:col>4</xdr:col>
          <xdr:colOff>0</xdr:colOff>
          <xdr:row>16</xdr:row>
          <xdr:rowOff>0</xdr:rowOff>
        </xdr:to>
        <xdr:sp macro="" textlink="">
          <xdr:nvSpPr>
            <xdr:cNvPr id="8202" name="Group Box 10" hidden="1">
              <a:extLst>
                <a:ext uri="{63B3BB69-23CF-44E3-9099-C40C66FF867C}">
                  <a14:compatExt spid="_x0000_s82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15</xdr:row>
          <xdr:rowOff>0</xdr:rowOff>
        </xdr:from>
        <xdr:to>
          <xdr:col>2</xdr:col>
          <xdr:colOff>476250</xdr:colOff>
          <xdr:row>15</xdr:row>
          <xdr:rowOff>276225</xdr:rowOff>
        </xdr:to>
        <xdr:sp macro="" textlink="">
          <xdr:nvSpPr>
            <xdr:cNvPr id="8203" name="Option Button 11" hidden="1">
              <a:extLst>
                <a:ext uri="{63B3BB69-23CF-44E3-9099-C40C66FF867C}">
                  <a14:compatExt spid="_x0000_s82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15</xdr:row>
          <xdr:rowOff>19050</xdr:rowOff>
        </xdr:from>
        <xdr:to>
          <xdr:col>3</xdr:col>
          <xdr:colOff>552450</xdr:colOff>
          <xdr:row>15</xdr:row>
          <xdr:rowOff>238125</xdr:rowOff>
        </xdr:to>
        <xdr:sp macro="" textlink="">
          <xdr:nvSpPr>
            <xdr:cNvPr id="8204" name="Option Button 12" hidden="1">
              <a:extLst>
                <a:ext uri="{63B3BB69-23CF-44E3-9099-C40C66FF867C}">
                  <a14:compatExt spid="_x0000_s82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8205" name="Group Box 13" hidden="1">
              <a:extLst>
                <a:ext uri="{63B3BB69-23CF-44E3-9099-C40C66FF867C}">
                  <a14:compatExt spid="_x0000_s82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7</xdr:row>
          <xdr:rowOff>0</xdr:rowOff>
        </xdr:from>
        <xdr:to>
          <xdr:col>2</xdr:col>
          <xdr:colOff>476250</xdr:colOff>
          <xdr:row>8</xdr:row>
          <xdr:rowOff>0</xdr:rowOff>
        </xdr:to>
        <xdr:sp macro="" textlink="">
          <xdr:nvSpPr>
            <xdr:cNvPr id="8206" name="Option Button 14" hidden="1">
              <a:extLst>
                <a:ext uri="{63B3BB69-23CF-44E3-9099-C40C66FF867C}">
                  <a14:compatExt spid="_x0000_s82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7</xdr:row>
          <xdr:rowOff>19050</xdr:rowOff>
        </xdr:from>
        <xdr:to>
          <xdr:col>3</xdr:col>
          <xdr:colOff>552450</xdr:colOff>
          <xdr:row>7</xdr:row>
          <xdr:rowOff>238125</xdr:rowOff>
        </xdr:to>
        <xdr:sp macro="" textlink="">
          <xdr:nvSpPr>
            <xdr:cNvPr id="8207" name="Option Button 15" hidden="1">
              <a:extLst>
                <a:ext uri="{63B3BB69-23CF-44E3-9099-C40C66FF867C}">
                  <a14:compatExt spid="_x0000_s82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0</xdr:rowOff>
        </xdr:from>
        <xdr:to>
          <xdr:col>4</xdr:col>
          <xdr:colOff>0</xdr:colOff>
          <xdr:row>17</xdr:row>
          <xdr:rowOff>0</xdr:rowOff>
        </xdr:to>
        <xdr:sp macro="" textlink="">
          <xdr:nvSpPr>
            <xdr:cNvPr id="8208" name="Group Box 16" hidden="1">
              <a:extLst>
                <a:ext uri="{63B3BB69-23CF-44E3-9099-C40C66FF867C}">
                  <a14:compatExt spid="_x0000_s82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16</xdr:row>
          <xdr:rowOff>38100</xdr:rowOff>
        </xdr:from>
        <xdr:to>
          <xdr:col>2</xdr:col>
          <xdr:colOff>476250</xdr:colOff>
          <xdr:row>16</xdr:row>
          <xdr:rowOff>314325</xdr:rowOff>
        </xdr:to>
        <xdr:sp macro="" textlink="">
          <xdr:nvSpPr>
            <xdr:cNvPr id="8209" name="Option Button 17" hidden="1">
              <a:extLst>
                <a:ext uri="{63B3BB69-23CF-44E3-9099-C40C66FF867C}">
                  <a14:compatExt spid="_x0000_s82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16</xdr:row>
          <xdr:rowOff>66675</xdr:rowOff>
        </xdr:from>
        <xdr:to>
          <xdr:col>3</xdr:col>
          <xdr:colOff>552450</xdr:colOff>
          <xdr:row>16</xdr:row>
          <xdr:rowOff>285750</xdr:rowOff>
        </xdr:to>
        <xdr:sp macro="" textlink="">
          <xdr:nvSpPr>
            <xdr:cNvPr id="8210" name="Option Button 18" hidden="1">
              <a:extLst>
                <a:ext uri="{63B3BB69-23CF-44E3-9099-C40C66FF867C}">
                  <a14:compatExt spid="_x0000_s82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4</xdr:col>
          <xdr:colOff>0</xdr:colOff>
          <xdr:row>11</xdr:row>
          <xdr:rowOff>0</xdr:rowOff>
        </xdr:to>
        <xdr:sp macro="" textlink="">
          <xdr:nvSpPr>
            <xdr:cNvPr id="8211" name="Group Box 19" hidden="1">
              <a:extLst>
                <a:ext uri="{63B3BB69-23CF-44E3-9099-C40C66FF867C}">
                  <a14:compatExt spid="_x0000_s82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10</xdr:row>
          <xdr:rowOff>47625</xdr:rowOff>
        </xdr:from>
        <xdr:to>
          <xdr:col>2</xdr:col>
          <xdr:colOff>476250</xdr:colOff>
          <xdr:row>11</xdr:row>
          <xdr:rowOff>0</xdr:rowOff>
        </xdr:to>
        <xdr:sp macro="" textlink="">
          <xdr:nvSpPr>
            <xdr:cNvPr id="8212" name="Option Button 20" hidden="1">
              <a:extLst>
                <a:ext uri="{63B3BB69-23CF-44E3-9099-C40C66FF867C}">
                  <a14:compatExt spid="_x0000_s82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10</xdr:row>
          <xdr:rowOff>66675</xdr:rowOff>
        </xdr:from>
        <xdr:to>
          <xdr:col>3</xdr:col>
          <xdr:colOff>552450</xdr:colOff>
          <xdr:row>10</xdr:row>
          <xdr:rowOff>285750</xdr:rowOff>
        </xdr:to>
        <xdr:sp macro="" textlink="">
          <xdr:nvSpPr>
            <xdr:cNvPr id="8213" name="Option Button 21" hidden="1">
              <a:extLst>
                <a:ext uri="{63B3BB69-23CF-44E3-9099-C40C66FF867C}">
                  <a14:compatExt spid="_x0000_s82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8214" name="Group Box 22" hidden="1">
              <a:extLst>
                <a:ext uri="{63B3BB69-23CF-44E3-9099-C40C66FF867C}">
                  <a14:compatExt spid="_x0000_s82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8</xdr:row>
          <xdr:rowOff>0</xdr:rowOff>
        </xdr:from>
        <xdr:to>
          <xdr:col>2</xdr:col>
          <xdr:colOff>476250</xdr:colOff>
          <xdr:row>9</xdr:row>
          <xdr:rowOff>0</xdr:rowOff>
        </xdr:to>
        <xdr:sp macro="" textlink="">
          <xdr:nvSpPr>
            <xdr:cNvPr id="8215" name="Option Button 23" hidden="1">
              <a:extLst>
                <a:ext uri="{63B3BB69-23CF-44E3-9099-C40C66FF867C}">
                  <a14:compatExt spid="_x0000_s82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8</xdr:row>
          <xdr:rowOff>19050</xdr:rowOff>
        </xdr:from>
        <xdr:to>
          <xdr:col>3</xdr:col>
          <xdr:colOff>552450</xdr:colOff>
          <xdr:row>8</xdr:row>
          <xdr:rowOff>238125</xdr:rowOff>
        </xdr:to>
        <xdr:sp macro="" textlink="">
          <xdr:nvSpPr>
            <xdr:cNvPr id="8216" name="Option Button 24" hidden="1">
              <a:extLst>
                <a:ext uri="{63B3BB69-23CF-44E3-9099-C40C66FF867C}">
                  <a14:compatExt spid="_x0000_s82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0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8217" name="Group Box 25" hidden="1">
              <a:extLst>
                <a:ext uri="{63B3BB69-23CF-44E3-9099-C40C66FF867C}">
                  <a14:compatExt spid="_x0000_s8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9</xdr:row>
          <xdr:rowOff>0</xdr:rowOff>
        </xdr:from>
        <xdr:to>
          <xdr:col>2</xdr:col>
          <xdr:colOff>476250</xdr:colOff>
          <xdr:row>9</xdr:row>
          <xdr:rowOff>276225</xdr:rowOff>
        </xdr:to>
        <xdr:sp macro="" textlink="">
          <xdr:nvSpPr>
            <xdr:cNvPr id="8218" name="Option Button 26" hidden="1">
              <a:extLst>
                <a:ext uri="{63B3BB69-23CF-44E3-9099-C40C66FF867C}">
                  <a14:compatExt spid="_x0000_s8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9</xdr:row>
          <xdr:rowOff>19050</xdr:rowOff>
        </xdr:from>
        <xdr:to>
          <xdr:col>3</xdr:col>
          <xdr:colOff>552450</xdr:colOff>
          <xdr:row>9</xdr:row>
          <xdr:rowOff>238125</xdr:rowOff>
        </xdr:to>
        <xdr:sp macro="" textlink="">
          <xdr:nvSpPr>
            <xdr:cNvPr id="8219" name="Option Button 27" hidden="1">
              <a:extLst>
                <a:ext uri="{63B3BB69-23CF-44E3-9099-C40C66FF867C}">
                  <a14:compatExt spid="_x0000_s8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0</xdr:rowOff>
        </xdr:from>
        <xdr:to>
          <xdr:col>4</xdr:col>
          <xdr:colOff>0</xdr:colOff>
          <xdr:row>18</xdr:row>
          <xdr:rowOff>0</xdr:rowOff>
        </xdr:to>
        <xdr:sp macro="" textlink="">
          <xdr:nvSpPr>
            <xdr:cNvPr id="8220" name="Group Box 28" hidden="1">
              <a:extLst>
                <a:ext uri="{63B3BB69-23CF-44E3-9099-C40C66FF867C}">
                  <a14:compatExt spid="_x0000_s8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17</xdr:row>
          <xdr:rowOff>0</xdr:rowOff>
        </xdr:from>
        <xdr:to>
          <xdr:col>2</xdr:col>
          <xdr:colOff>476250</xdr:colOff>
          <xdr:row>18</xdr:row>
          <xdr:rowOff>0</xdr:rowOff>
        </xdr:to>
        <xdr:sp macro="" textlink="">
          <xdr:nvSpPr>
            <xdr:cNvPr id="8221" name="Option Button 29" hidden="1">
              <a:extLst>
                <a:ext uri="{63B3BB69-23CF-44E3-9099-C40C66FF867C}">
                  <a14:compatExt spid="_x0000_s8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17</xdr:row>
          <xdr:rowOff>19050</xdr:rowOff>
        </xdr:from>
        <xdr:to>
          <xdr:col>3</xdr:col>
          <xdr:colOff>552450</xdr:colOff>
          <xdr:row>17</xdr:row>
          <xdr:rowOff>238125</xdr:rowOff>
        </xdr:to>
        <xdr:sp macro="" textlink="">
          <xdr:nvSpPr>
            <xdr:cNvPr id="8222" name="Option Button 30" hidden="1">
              <a:extLst>
                <a:ext uri="{63B3BB69-23CF-44E3-9099-C40C66FF867C}">
                  <a14:compatExt spid="_x0000_s8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0</xdr:rowOff>
        </xdr:from>
        <xdr:to>
          <xdr:col>4</xdr:col>
          <xdr:colOff>0</xdr:colOff>
          <xdr:row>19</xdr:row>
          <xdr:rowOff>0</xdr:rowOff>
        </xdr:to>
        <xdr:sp macro="" textlink="">
          <xdr:nvSpPr>
            <xdr:cNvPr id="8223" name="Group Box 31" hidden="1">
              <a:extLst>
                <a:ext uri="{63B3BB69-23CF-44E3-9099-C40C66FF867C}">
                  <a14:compatExt spid="_x0000_s8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18</xdr:row>
          <xdr:rowOff>0</xdr:rowOff>
        </xdr:from>
        <xdr:to>
          <xdr:col>2</xdr:col>
          <xdr:colOff>476250</xdr:colOff>
          <xdr:row>18</xdr:row>
          <xdr:rowOff>276225</xdr:rowOff>
        </xdr:to>
        <xdr:sp macro="" textlink="">
          <xdr:nvSpPr>
            <xdr:cNvPr id="8224" name="Option Button 32" hidden="1">
              <a:extLst>
                <a:ext uri="{63B3BB69-23CF-44E3-9099-C40C66FF867C}">
                  <a14:compatExt spid="_x0000_s8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18</xdr:row>
          <xdr:rowOff>19050</xdr:rowOff>
        </xdr:from>
        <xdr:to>
          <xdr:col>3</xdr:col>
          <xdr:colOff>552450</xdr:colOff>
          <xdr:row>18</xdr:row>
          <xdr:rowOff>238125</xdr:rowOff>
        </xdr:to>
        <xdr:sp macro="" textlink="">
          <xdr:nvSpPr>
            <xdr:cNvPr id="8225" name="Option Button 33" hidden="1">
              <a:extLst>
                <a:ext uri="{63B3BB69-23CF-44E3-9099-C40C66FF867C}">
                  <a14:compatExt spid="_x0000_s8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4</xdr:col>
          <xdr:colOff>0</xdr:colOff>
          <xdr:row>20</xdr:row>
          <xdr:rowOff>0</xdr:rowOff>
        </xdr:to>
        <xdr:sp macro="" textlink="">
          <xdr:nvSpPr>
            <xdr:cNvPr id="8226" name="Group Box 34" hidden="1">
              <a:extLst>
                <a:ext uri="{63B3BB69-23CF-44E3-9099-C40C66FF867C}">
                  <a14:compatExt spid="_x0000_s8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19</xdr:row>
          <xdr:rowOff>66675</xdr:rowOff>
        </xdr:from>
        <xdr:to>
          <xdr:col>2</xdr:col>
          <xdr:colOff>476250</xdr:colOff>
          <xdr:row>19</xdr:row>
          <xdr:rowOff>342900</xdr:rowOff>
        </xdr:to>
        <xdr:sp macro="" textlink="">
          <xdr:nvSpPr>
            <xdr:cNvPr id="8227" name="Option Button 35" hidden="1">
              <a:extLst>
                <a:ext uri="{63B3BB69-23CF-44E3-9099-C40C66FF867C}">
                  <a14:compatExt spid="_x0000_s8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19</xdr:row>
          <xdr:rowOff>85725</xdr:rowOff>
        </xdr:from>
        <xdr:to>
          <xdr:col>3</xdr:col>
          <xdr:colOff>552450</xdr:colOff>
          <xdr:row>19</xdr:row>
          <xdr:rowOff>304800</xdr:rowOff>
        </xdr:to>
        <xdr:sp macro="" textlink="">
          <xdr:nvSpPr>
            <xdr:cNvPr id="8228" name="Option Button 36" hidden="1">
              <a:extLst>
                <a:ext uri="{63B3BB69-23CF-44E3-9099-C40C66FF867C}">
                  <a14:compatExt spid="_x0000_s8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4</xdr:col>
          <xdr:colOff>0</xdr:colOff>
          <xdr:row>22</xdr:row>
          <xdr:rowOff>0</xdr:rowOff>
        </xdr:to>
        <xdr:sp macro="" textlink="">
          <xdr:nvSpPr>
            <xdr:cNvPr id="8229" name="Group Box 37" hidden="1">
              <a:extLst>
                <a:ext uri="{63B3BB69-23CF-44E3-9099-C40C66FF867C}">
                  <a14:compatExt spid="_x0000_s8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21</xdr:row>
          <xdr:rowOff>28575</xdr:rowOff>
        </xdr:from>
        <xdr:to>
          <xdr:col>2</xdr:col>
          <xdr:colOff>476250</xdr:colOff>
          <xdr:row>21</xdr:row>
          <xdr:rowOff>304800</xdr:rowOff>
        </xdr:to>
        <xdr:sp macro="" textlink="">
          <xdr:nvSpPr>
            <xdr:cNvPr id="8230" name="Option Button 38" hidden="1">
              <a:extLst>
                <a:ext uri="{63B3BB69-23CF-44E3-9099-C40C66FF867C}">
                  <a14:compatExt spid="_x0000_s8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21</xdr:row>
          <xdr:rowOff>47625</xdr:rowOff>
        </xdr:from>
        <xdr:to>
          <xdr:col>3</xdr:col>
          <xdr:colOff>552450</xdr:colOff>
          <xdr:row>21</xdr:row>
          <xdr:rowOff>266700</xdr:rowOff>
        </xdr:to>
        <xdr:sp macro="" textlink="">
          <xdr:nvSpPr>
            <xdr:cNvPr id="8231" name="Option Button 39" hidden="1">
              <a:extLst>
                <a:ext uri="{63B3BB69-23CF-44E3-9099-C40C66FF867C}">
                  <a14:compatExt spid="_x0000_s82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24</xdr:row>
          <xdr:rowOff>0</xdr:rowOff>
        </xdr:from>
        <xdr:to>
          <xdr:col>4</xdr:col>
          <xdr:colOff>0</xdr:colOff>
          <xdr:row>25</xdr:row>
          <xdr:rowOff>0</xdr:rowOff>
        </xdr:to>
        <xdr:sp macro="" textlink="">
          <xdr:nvSpPr>
            <xdr:cNvPr id="8232" name="Group Box 40" hidden="1">
              <a:extLst>
                <a:ext uri="{63B3BB69-23CF-44E3-9099-C40C66FF867C}">
                  <a14:compatExt spid="_x0000_s8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24</xdr:row>
          <xdr:rowOff>38100</xdr:rowOff>
        </xdr:from>
        <xdr:to>
          <xdr:col>2</xdr:col>
          <xdr:colOff>476250</xdr:colOff>
          <xdr:row>24</xdr:row>
          <xdr:rowOff>314325</xdr:rowOff>
        </xdr:to>
        <xdr:sp macro="" textlink="">
          <xdr:nvSpPr>
            <xdr:cNvPr id="8233" name="Option Button 41" hidden="1">
              <a:extLst>
                <a:ext uri="{63B3BB69-23CF-44E3-9099-C40C66FF867C}">
                  <a14:compatExt spid="_x0000_s82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24</xdr:row>
          <xdr:rowOff>57150</xdr:rowOff>
        </xdr:from>
        <xdr:to>
          <xdr:col>3</xdr:col>
          <xdr:colOff>552450</xdr:colOff>
          <xdr:row>24</xdr:row>
          <xdr:rowOff>276225</xdr:rowOff>
        </xdr:to>
        <xdr:sp macro="" textlink="">
          <xdr:nvSpPr>
            <xdr:cNvPr id="8234" name="Option Button 42" hidden="1">
              <a:extLst>
                <a:ext uri="{63B3BB69-23CF-44E3-9099-C40C66FF867C}">
                  <a14:compatExt spid="_x0000_s8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4</xdr:col>
          <xdr:colOff>0</xdr:colOff>
          <xdr:row>13</xdr:row>
          <xdr:rowOff>0</xdr:rowOff>
        </xdr:to>
        <xdr:sp macro="" textlink="">
          <xdr:nvSpPr>
            <xdr:cNvPr id="8235" name="Group Box 43" hidden="1">
              <a:extLst>
                <a:ext uri="{63B3BB69-23CF-44E3-9099-C40C66FF867C}">
                  <a14:compatExt spid="_x0000_s82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12</xdr:row>
          <xdr:rowOff>0</xdr:rowOff>
        </xdr:from>
        <xdr:to>
          <xdr:col>2</xdr:col>
          <xdr:colOff>476250</xdr:colOff>
          <xdr:row>13</xdr:row>
          <xdr:rowOff>0</xdr:rowOff>
        </xdr:to>
        <xdr:sp macro="" textlink="">
          <xdr:nvSpPr>
            <xdr:cNvPr id="8236" name="Option Button 44" hidden="1">
              <a:extLst>
                <a:ext uri="{63B3BB69-23CF-44E3-9099-C40C66FF867C}">
                  <a14:compatExt spid="_x0000_s82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12</xdr:row>
          <xdr:rowOff>19050</xdr:rowOff>
        </xdr:from>
        <xdr:to>
          <xdr:col>3</xdr:col>
          <xdr:colOff>552450</xdr:colOff>
          <xdr:row>12</xdr:row>
          <xdr:rowOff>238125</xdr:rowOff>
        </xdr:to>
        <xdr:sp macro="" textlink="">
          <xdr:nvSpPr>
            <xdr:cNvPr id="8237" name="Option Button 45" hidden="1">
              <a:extLst>
                <a:ext uri="{63B3BB69-23CF-44E3-9099-C40C66FF867C}">
                  <a14:compatExt spid="_x0000_s82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4</xdr:col>
          <xdr:colOff>0</xdr:colOff>
          <xdr:row>14</xdr:row>
          <xdr:rowOff>0</xdr:rowOff>
        </xdr:to>
        <xdr:sp macro="" textlink="">
          <xdr:nvSpPr>
            <xdr:cNvPr id="8238" name="Group Box 46" hidden="1">
              <a:extLst>
                <a:ext uri="{63B3BB69-23CF-44E3-9099-C40C66FF867C}">
                  <a14:compatExt spid="_x0000_s82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13</xdr:row>
          <xdr:rowOff>0</xdr:rowOff>
        </xdr:from>
        <xdr:to>
          <xdr:col>2</xdr:col>
          <xdr:colOff>476250</xdr:colOff>
          <xdr:row>14</xdr:row>
          <xdr:rowOff>0</xdr:rowOff>
        </xdr:to>
        <xdr:sp macro="" textlink="">
          <xdr:nvSpPr>
            <xdr:cNvPr id="8239" name="Option Button 47" hidden="1">
              <a:extLst>
                <a:ext uri="{63B3BB69-23CF-44E3-9099-C40C66FF867C}">
                  <a14:compatExt spid="_x0000_s82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13</xdr:row>
          <xdr:rowOff>19050</xdr:rowOff>
        </xdr:from>
        <xdr:to>
          <xdr:col>3</xdr:col>
          <xdr:colOff>552450</xdr:colOff>
          <xdr:row>13</xdr:row>
          <xdr:rowOff>238125</xdr:rowOff>
        </xdr:to>
        <xdr:sp macro="" textlink="">
          <xdr:nvSpPr>
            <xdr:cNvPr id="8240" name="Option Button 48" hidden="1">
              <a:extLst>
                <a:ext uri="{63B3BB69-23CF-44E3-9099-C40C66FF867C}">
                  <a14:compatExt spid="_x0000_s82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0</xdr:rowOff>
        </xdr:from>
        <xdr:to>
          <xdr:col>4</xdr:col>
          <xdr:colOff>0</xdr:colOff>
          <xdr:row>26</xdr:row>
          <xdr:rowOff>0</xdr:rowOff>
        </xdr:to>
        <xdr:sp macro="" textlink="">
          <xdr:nvSpPr>
            <xdr:cNvPr id="8241" name="Group Box 49" hidden="1">
              <a:extLst>
                <a:ext uri="{63B3BB69-23CF-44E3-9099-C40C66FF867C}">
                  <a14:compatExt spid="_x0000_s8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25</xdr:row>
          <xdr:rowOff>38100</xdr:rowOff>
        </xdr:from>
        <xdr:to>
          <xdr:col>2</xdr:col>
          <xdr:colOff>476250</xdr:colOff>
          <xdr:row>25</xdr:row>
          <xdr:rowOff>257175</xdr:rowOff>
        </xdr:to>
        <xdr:sp macro="" textlink="">
          <xdr:nvSpPr>
            <xdr:cNvPr id="8242" name="Option Button 50" hidden="1">
              <a:extLst>
                <a:ext uri="{63B3BB69-23CF-44E3-9099-C40C66FF867C}">
                  <a14:compatExt spid="_x0000_s8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25</xdr:row>
          <xdr:rowOff>47625</xdr:rowOff>
        </xdr:from>
        <xdr:to>
          <xdr:col>3</xdr:col>
          <xdr:colOff>552450</xdr:colOff>
          <xdr:row>25</xdr:row>
          <xdr:rowOff>266700</xdr:rowOff>
        </xdr:to>
        <xdr:sp macro="" textlink="">
          <xdr:nvSpPr>
            <xdr:cNvPr id="8243" name="Option Button 51" hidden="1">
              <a:extLst>
                <a:ext uri="{63B3BB69-23CF-44E3-9099-C40C66FF867C}">
                  <a14:compatExt spid="_x0000_s8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</xdr:row>
          <xdr:rowOff>0</xdr:rowOff>
        </xdr:from>
        <xdr:to>
          <xdr:col>4</xdr:col>
          <xdr:colOff>0</xdr:colOff>
          <xdr:row>24</xdr:row>
          <xdr:rowOff>0</xdr:rowOff>
        </xdr:to>
        <xdr:sp macro="" textlink="">
          <xdr:nvSpPr>
            <xdr:cNvPr id="8253" name="Group Box 61" hidden="1">
              <a:extLst>
                <a:ext uri="{63B3BB69-23CF-44E3-9099-C40C66FF867C}">
                  <a14:compatExt spid="_x0000_s8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23</xdr:row>
          <xdr:rowOff>38100</xdr:rowOff>
        </xdr:from>
        <xdr:to>
          <xdr:col>2</xdr:col>
          <xdr:colOff>476250</xdr:colOff>
          <xdr:row>23</xdr:row>
          <xdr:rowOff>257175</xdr:rowOff>
        </xdr:to>
        <xdr:sp macro="" textlink="">
          <xdr:nvSpPr>
            <xdr:cNvPr id="8254" name="Option Button 62" hidden="1">
              <a:extLst>
                <a:ext uri="{63B3BB69-23CF-44E3-9099-C40C66FF867C}">
                  <a14:compatExt spid="_x0000_s82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23</xdr:row>
          <xdr:rowOff>47625</xdr:rowOff>
        </xdr:from>
        <xdr:to>
          <xdr:col>3</xdr:col>
          <xdr:colOff>552450</xdr:colOff>
          <xdr:row>23</xdr:row>
          <xdr:rowOff>266700</xdr:rowOff>
        </xdr:to>
        <xdr:sp macro="" textlink="">
          <xdr:nvSpPr>
            <xdr:cNvPr id="8255" name="Option Button 63" hidden="1">
              <a:extLst>
                <a:ext uri="{63B3BB69-23CF-44E3-9099-C40C66FF867C}">
                  <a14:compatExt spid="_x0000_s82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0</xdr:rowOff>
        </xdr:from>
        <xdr:to>
          <xdr:col>4</xdr:col>
          <xdr:colOff>0</xdr:colOff>
          <xdr:row>12</xdr:row>
          <xdr:rowOff>0</xdr:rowOff>
        </xdr:to>
        <xdr:sp macro="" textlink="">
          <xdr:nvSpPr>
            <xdr:cNvPr id="8256" name="Group Box 64" hidden="1">
              <a:extLst>
                <a:ext uri="{63B3BB69-23CF-44E3-9099-C40C66FF867C}">
                  <a14:compatExt spid="_x0000_s82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11</xdr:row>
          <xdr:rowOff>9525</xdr:rowOff>
        </xdr:from>
        <xdr:to>
          <xdr:col>2</xdr:col>
          <xdr:colOff>485775</xdr:colOff>
          <xdr:row>11</xdr:row>
          <xdr:rowOff>285750</xdr:rowOff>
        </xdr:to>
        <xdr:sp macro="" textlink="">
          <xdr:nvSpPr>
            <xdr:cNvPr id="8257" name="Option Button 65" hidden="1">
              <a:extLst>
                <a:ext uri="{63B3BB69-23CF-44E3-9099-C40C66FF867C}">
                  <a14:compatExt spid="_x0000_s82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11</xdr:row>
          <xdr:rowOff>47625</xdr:rowOff>
        </xdr:from>
        <xdr:to>
          <xdr:col>3</xdr:col>
          <xdr:colOff>552450</xdr:colOff>
          <xdr:row>11</xdr:row>
          <xdr:rowOff>266700</xdr:rowOff>
        </xdr:to>
        <xdr:sp macro="" textlink="">
          <xdr:nvSpPr>
            <xdr:cNvPr id="8258" name="Option Button 66" hidden="1">
              <a:extLst>
                <a:ext uri="{63B3BB69-23CF-44E3-9099-C40C66FF867C}">
                  <a14:compatExt spid="_x0000_s82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20</xdr:row>
          <xdr:rowOff>0</xdr:rowOff>
        </xdr:from>
        <xdr:to>
          <xdr:col>4</xdr:col>
          <xdr:colOff>0</xdr:colOff>
          <xdr:row>21</xdr:row>
          <xdr:rowOff>0</xdr:rowOff>
        </xdr:to>
        <xdr:sp macro="" textlink="">
          <xdr:nvSpPr>
            <xdr:cNvPr id="8259" name="Group Box 67" hidden="1">
              <a:extLst>
                <a:ext uri="{63B3BB69-23CF-44E3-9099-C40C66FF867C}">
                  <a14:compatExt spid="_x0000_s82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20</xdr:row>
          <xdr:rowOff>28575</xdr:rowOff>
        </xdr:from>
        <xdr:to>
          <xdr:col>2</xdr:col>
          <xdr:colOff>476250</xdr:colOff>
          <xdr:row>20</xdr:row>
          <xdr:rowOff>304800</xdr:rowOff>
        </xdr:to>
        <xdr:sp macro="" textlink="">
          <xdr:nvSpPr>
            <xdr:cNvPr id="8260" name="Option Button 68" hidden="1">
              <a:extLst>
                <a:ext uri="{63B3BB69-23CF-44E3-9099-C40C66FF867C}">
                  <a14:compatExt spid="_x0000_s82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20</xdr:row>
          <xdr:rowOff>47625</xdr:rowOff>
        </xdr:from>
        <xdr:to>
          <xdr:col>3</xdr:col>
          <xdr:colOff>542925</xdr:colOff>
          <xdr:row>20</xdr:row>
          <xdr:rowOff>266700</xdr:rowOff>
        </xdr:to>
        <xdr:sp macro="" textlink="">
          <xdr:nvSpPr>
            <xdr:cNvPr id="8261" name="Option Button 69" hidden="1">
              <a:extLst>
                <a:ext uri="{63B3BB69-23CF-44E3-9099-C40C66FF867C}">
                  <a14:compatExt spid="_x0000_s82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22</xdr:row>
          <xdr:rowOff>0</xdr:rowOff>
        </xdr:from>
        <xdr:to>
          <xdr:col>4</xdr:col>
          <xdr:colOff>0</xdr:colOff>
          <xdr:row>23</xdr:row>
          <xdr:rowOff>9525</xdr:rowOff>
        </xdr:to>
        <xdr:sp macro="" textlink="">
          <xdr:nvSpPr>
            <xdr:cNvPr id="8262" name="Group Box 70" hidden="1">
              <a:extLst>
                <a:ext uri="{63B3BB69-23CF-44E3-9099-C40C66FF867C}">
                  <a14:compatExt spid="_x0000_s82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22</xdr:row>
          <xdr:rowOff>9525</xdr:rowOff>
        </xdr:from>
        <xdr:to>
          <xdr:col>2</xdr:col>
          <xdr:colOff>485775</xdr:colOff>
          <xdr:row>22</xdr:row>
          <xdr:rowOff>285750</xdr:rowOff>
        </xdr:to>
        <xdr:sp macro="" textlink="">
          <xdr:nvSpPr>
            <xdr:cNvPr id="8265" name="Option Button 73" hidden="1">
              <a:extLst>
                <a:ext uri="{63B3BB69-23CF-44E3-9099-C40C66FF867C}">
                  <a14:compatExt spid="_x0000_s82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22</xdr:row>
          <xdr:rowOff>38100</xdr:rowOff>
        </xdr:from>
        <xdr:to>
          <xdr:col>3</xdr:col>
          <xdr:colOff>552450</xdr:colOff>
          <xdr:row>22</xdr:row>
          <xdr:rowOff>257175</xdr:rowOff>
        </xdr:to>
        <xdr:sp macro="" textlink="">
          <xdr:nvSpPr>
            <xdr:cNvPr id="8266" name="Option Button 74" hidden="1">
              <a:extLst>
                <a:ext uri="{63B3BB69-23CF-44E3-9099-C40C66FF867C}">
                  <a14:compatExt spid="_x0000_s82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</xdr:row>
          <xdr:rowOff>0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9217" name="Group Box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47625</xdr:rowOff>
        </xdr:from>
        <xdr:to>
          <xdr:col>2</xdr:col>
          <xdr:colOff>476250</xdr:colOff>
          <xdr:row>6</xdr:row>
          <xdr:rowOff>323850</xdr:rowOff>
        </xdr:to>
        <xdr:sp macro="" textlink="">
          <xdr:nvSpPr>
            <xdr:cNvPr id="9218" name="Option 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6</xdr:row>
          <xdr:rowOff>66675</xdr:rowOff>
        </xdr:from>
        <xdr:to>
          <xdr:col>3</xdr:col>
          <xdr:colOff>552450</xdr:colOff>
          <xdr:row>6</xdr:row>
          <xdr:rowOff>285750</xdr:rowOff>
        </xdr:to>
        <xdr:sp macro="" textlink="">
          <xdr:nvSpPr>
            <xdr:cNvPr id="9219" name="Option 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4</xdr:col>
          <xdr:colOff>0</xdr:colOff>
          <xdr:row>15</xdr:row>
          <xdr:rowOff>0</xdr:rowOff>
        </xdr:to>
        <xdr:sp macro="" textlink="">
          <xdr:nvSpPr>
            <xdr:cNvPr id="9220" name="Group Box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14</xdr:row>
          <xdr:rowOff>0</xdr:rowOff>
        </xdr:from>
        <xdr:to>
          <xdr:col>2</xdr:col>
          <xdr:colOff>476250</xdr:colOff>
          <xdr:row>15</xdr:row>
          <xdr:rowOff>0</xdr:rowOff>
        </xdr:to>
        <xdr:sp macro="" textlink="">
          <xdr:nvSpPr>
            <xdr:cNvPr id="9221" name="Option Button 5" hidden="1">
              <a:extLst>
                <a:ext uri="{63B3BB69-23CF-44E3-9099-C40C66FF867C}">
                  <a14:compatExt spid="_x0000_s9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14</xdr:row>
          <xdr:rowOff>19050</xdr:rowOff>
        </xdr:from>
        <xdr:to>
          <xdr:col>3</xdr:col>
          <xdr:colOff>552450</xdr:colOff>
          <xdr:row>14</xdr:row>
          <xdr:rowOff>238125</xdr:rowOff>
        </xdr:to>
        <xdr:sp macro="" textlink="">
          <xdr:nvSpPr>
            <xdr:cNvPr id="9222" name="Option 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15</xdr:row>
          <xdr:rowOff>0</xdr:rowOff>
        </xdr:from>
        <xdr:to>
          <xdr:col>4</xdr:col>
          <xdr:colOff>0</xdr:colOff>
          <xdr:row>16</xdr:row>
          <xdr:rowOff>0</xdr:rowOff>
        </xdr:to>
        <xdr:sp macro="" textlink="">
          <xdr:nvSpPr>
            <xdr:cNvPr id="9223" name="Group Box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15</xdr:row>
          <xdr:rowOff>0</xdr:rowOff>
        </xdr:from>
        <xdr:to>
          <xdr:col>2</xdr:col>
          <xdr:colOff>476250</xdr:colOff>
          <xdr:row>15</xdr:row>
          <xdr:rowOff>276225</xdr:rowOff>
        </xdr:to>
        <xdr:sp macro="" textlink="">
          <xdr:nvSpPr>
            <xdr:cNvPr id="9224" name="Option 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15</xdr:row>
          <xdr:rowOff>19050</xdr:rowOff>
        </xdr:from>
        <xdr:to>
          <xdr:col>3</xdr:col>
          <xdr:colOff>552450</xdr:colOff>
          <xdr:row>15</xdr:row>
          <xdr:rowOff>238125</xdr:rowOff>
        </xdr:to>
        <xdr:sp macro="" textlink="">
          <xdr:nvSpPr>
            <xdr:cNvPr id="9225" name="Option Button 9" hidden="1">
              <a:extLst>
                <a:ext uri="{63B3BB69-23CF-44E3-9099-C40C66FF867C}">
                  <a14:compatExt spid="_x0000_s9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0</xdr:rowOff>
        </xdr:from>
        <xdr:to>
          <xdr:col>4</xdr:col>
          <xdr:colOff>0</xdr:colOff>
          <xdr:row>17</xdr:row>
          <xdr:rowOff>0</xdr:rowOff>
        </xdr:to>
        <xdr:sp macro="" textlink="">
          <xdr:nvSpPr>
            <xdr:cNvPr id="9229" name="Group Box 13" hidden="1">
              <a:extLst>
                <a:ext uri="{63B3BB69-23CF-44E3-9099-C40C66FF867C}">
                  <a14:compatExt spid="_x0000_s9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16</xdr:row>
          <xdr:rowOff>38100</xdr:rowOff>
        </xdr:from>
        <xdr:to>
          <xdr:col>2</xdr:col>
          <xdr:colOff>476250</xdr:colOff>
          <xdr:row>16</xdr:row>
          <xdr:rowOff>314325</xdr:rowOff>
        </xdr:to>
        <xdr:sp macro="" textlink="">
          <xdr:nvSpPr>
            <xdr:cNvPr id="9230" name="Option Button 14" hidden="1">
              <a:extLst>
                <a:ext uri="{63B3BB69-23CF-44E3-9099-C40C66FF867C}">
                  <a14:compatExt spid="_x0000_s9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16</xdr:row>
          <xdr:rowOff>66675</xdr:rowOff>
        </xdr:from>
        <xdr:to>
          <xdr:col>3</xdr:col>
          <xdr:colOff>552450</xdr:colOff>
          <xdr:row>16</xdr:row>
          <xdr:rowOff>285750</xdr:rowOff>
        </xdr:to>
        <xdr:sp macro="" textlink="">
          <xdr:nvSpPr>
            <xdr:cNvPr id="9231" name="Option Button 15" hidden="1">
              <a:extLst>
                <a:ext uri="{63B3BB69-23CF-44E3-9099-C40C66FF867C}">
                  <a14:compatExt spid="_x0000_s92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4</xdr:col>
          <xdr:colOff>0</xdr:colOff>
          <xdr:row>11</xdr:row>
          <xdr:rowOff>0</xdr:rowOff>
        </xdr:to>
        <xdr:sp macro="" textlink="">
          <xdr:nvSpPr>
            <xdr:cNvPr id="9232" name="Group Box 16" hidden="1">
              <a:extLst>
                <a:ext uri="{63B3BB69-23CF-44E3-9099-C40C66FF867C}">
                  <a14:compatExt spid="_x0000_s9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10</xdr:row>
          <xdr:rowOff>47625</xdr:rowOff>
        </xdr:from>
        <xdr:to>
          <xdr:col>2</xdr:col>
          <xdr:colOff>476250</xdr:colOff>
          <xdr:row>10</xdr:row>
          <xdr:rowOff>323850</xdr:rowOff>
        </xdr:to>
        <xdr:sp macro="" textlink="">
          <xdr:nvSpPr>
            <xdr:cNvPr id="9233" name="Option Button 17" hidden="1">
              <a:extLst>
                <a:ext uri="{63B3BB69-23CF-44E3-9099-C40C66FF867C}">
                  <a14:compatExt spid="_x0000_s92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10</xdr:row>
          <xdr:rowOff>66675</xdr:rowOff>
        </xdr:from>
        <xdr:to>
          <xdr:col>3</xdr:col>
          <xdr:colOff>552450</xdr:colOff>
          <xdr:row>10</xdr:row>
          <xdr:rowOff>285750</xdr:rowOff>
        </xdr:to>
        <xdr:sp macro="" textlink="">
          <xdr:nvSpPr>
            <xdr:cNvPr id="9234" name="Option Button 18" hidden="1">
              <a:extLst>
                <a:ext uri="{63B3BB69-23CF-44E3-9099-C40C66FF867C}">
                  <a14:compatExt spid="_x0000_s9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9235" name="Group Box 19" hidden="1">
              <a:extLst>
                <a:ext uri="{63B3BB69-23CF-44E3-9099-C40C66FF867C}">
                  <a14:compatExt spid="_x0000_s92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8</xdr:row>
          <xdr:rowOff>0</xdr:rowOff>
        </xdr:from>
        <xdr:to>
          <xdr:col>2</xdr:col>
          <xdr:colOff>476250</xdr:colOff>
          <xdr:row>9</xdr:row>
          <xdr:rowOff>0</xdr:rowOff>
        </xdr:to>
        <xdr:sp macro="" textlink="">
          <xdr:nvSpPr>
            <xdr:cNvPr id="9236" name="Option Button 20" hidden="1">
              <a:extLst>
                <a:ext uri="{63B3BB69-23CF-44E3-9099-C40C66FF867C}">
                  <a14:compatExt spid="_x0000_s92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8</xdr:row>
          <xdr:rowOff>19050</xdr:rowOff>
        </xdr:from>
        <xdr:to>
          <xdr:col>3</xdr:col>
          <xdr:colOff>552450</xdr:colOff>
          <xdr:row>8</xdr:row>
          <xdr:rowOff>238125</xdr:rowOff>
        </xdr:to>
        <xdr:sp macro="" textlink="">
          <xdr:nvSpPr>
            <xdr:cNvPr id="9237" name="Option Button 21" hidden="1">
              <a:extLst>
                <a:ext uri="{63B3BB69-23CF-44E3-9099-C40C66FF867C}">
                  <a14:compatExt spid="_x0000_s92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0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9238" name="Group Box 22" hidden="1">
              <a:extLst>
                <a:ext uri="{63B3BB69-23CF-44E3-9099-C40C66FF867C}">
                  <a14:compatExt spid="_x0000_s92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9</xdr:row>
          <xdr:rowOff>0</xdr:rowOff>
        </xdr:from>
        <xdr:to>
          <xdr:col>2</xdr:col>
          <xdr:colOff>476250</xdr:colOff>
          <xdr:row>9</xdr:row>
          <xdr:rowOff>276225</xdr:rowOff>
        </xdr:to>
        <xdr:sp macro="" textlink="">
          <xdr:nvSpPr>
            <xdr:cNvPr id="9239" name="Option Button 23" hidden="1">
              <a:extLst>
                <a:ext uri="{63B3BB69-23CF-44E3-9099-C40C66FF867C}">
                  <a14:compatExt spid="_x0000_s92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9</xdr:row>
          <xdr:rowOff>19050</xdr:rowOff>
        </xdr:from>
        <xdr:to>
          <xdr:col>3</xdr:col>
          <xdr:colOff>552450</xdr:colOff>
          <xdr:row>9</xdr:row>
          <xdr:rowOff>238125</xdr:rowOff>
        </xdr:to>
        <xdr:sp macro="" textlink="">
          <xdr:nvSpPr>
            <xdr:cNvPr id="9240" name="Option Button 24" hidden="1">
              <a:extLst>
                <a:ext uri="{63B3BB69-23CF-44E3-9099-C40C66FF867C}">
                  <a14:compatExt spid="_x0000_s92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0</xdr:rowOff>
        </xdr:from>
        <xdr:to>
          <xdr:col>4</xdr:col>
          <xdr:colOff>0</xdr:colOff>
          <xdr:row>18</xdr:row>
          <xdr:rowOff>0</xdr:rowOff>
        </xdr:to>
        <xdr:sp macro="" textlink="">
          <xdr:nvSpPr>
            <xdr:cNvPr id="9241" name="Group Box 25" hidden="1">
              <a:extLst>
                <a:ext uri="{63B3BB69-23CF-44E3-9099-C40C66FF867C}">
                  <a14:compatExt spid="_x0000_s9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17</xdr:row>
          <xdr:rowOff>0</xdr:rowOff>
        </xdr:from>
        <xdr:to>
          <xdr:col>2</xdr:col>
          <xdr:colOff>476250</xdr:colOff>
          <xdr:row>18</xdr:row>
          <xdr:rowOff>0</xdr:rowOff>
        </xdr:to>
        <xdr:sp macro="" textlink="">
          <xdr:nvSpPr>
            <xdr:cNvPr id="9242" name="Option Button 26" hidden="1">
              <a:extLst>
                <a:ext uri="{63B3BB69-23CF-44E3-9099-C40C66FF867C}">
                  <a14:compatExt spid="_x0000_s9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17</xdr:row>
          <xdr:rowOff>19050</xdr:rowOff>
        </xdr:from>
        <xdr:to>
          <xdr:col>3</xdr:col>
          <xdr:colOff>552450</xdr:colOff>
          <xdr:row>17</xdr:row>
          <xdr:rowOff>238125</xdr:rowOff>
        </xdr:to>
        <xdr:sp macro="" textlink="">
          <xdr:nvSpPr>
            <xdr:cNvPr id="9243" name="Option Button 27" hidden="1">
              <a:extLst>
                <a:ext uri="{63B3BB69-23CF-44E3-9099-C40C66FF867C}">
                  <a14:compatExt spid="_x0000_s9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0</xdr:rowOff>
        </xdr:from>
        <xdr:to>
          <xdr:col>4</xdr:col>
          <xdr:colOff>0</xdr:colOff>
          <xdr:row>19</xdr:row>
          <xdr:rowOff>0</xdr:rowOff>
        </xdr:to>
        <xdr:sp macro="" textlink="">
          <xdr:nvSpPr>
            <xdr:cNvPr id="9244" name="Group Box 28" hidden="1">
              <a:extLst>
                <a:ext uri="{63B3BB69-23CF-44E3-9099-C40C66FF867C}">
                  <a14:compatExt spid="_x0000_s9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18</xdr:row>
          <xdr:rowOff>0</xdr:rowOff>
        </xdr:from>
        <xdr:to>
          <xdr:col>2</xdr:col>
          <xdr:colOff>476250</xdr:colOff>
          <xdr:row>18</xdr:row>
          <xdr:rowOff>276225</xdr:rowOff>
        </xdr:to>
        <xdr:sp macro="" textlink="">
          <xdr:nvSpPr>
            <xdr:cNvPr id="9245" name="Option Button 29" hidden="1">
              <a:extLst>
                <a:ext uri="{63B3BB69-23CF-44E3-9099-C40C66FF867C}">
                  <a14:compatExt spid="_x0000_s92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18</xdr:row>
          <xdr:rowOff>19050</xdr:rowOff>
        </xdr:from>
        <xdr:to>
          <xdr:col>3</xdr:col>
          <xdr:colOff>552450</xdr:colOff>
          <xdr:row>18</xdr:row>
          <xdr:rowOff>238125</xdr:rowOff>
        </xdr:to>
        <xdr:sp macro="" textlink="">
          <xdr:nvSpPr>
            <xdr:cNvPr id="9246" name="Option Button 30" hidden="1">
              <a:extLst>
                <a:ext uri="{63B3BB69-23CF-44E3-9099-C40C66FF867C}">
                  <a14:compatExt spid="_x0000_s92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4</xdr:col>
          <xdr:colOff>0</xdr:colOff>
          <xdr:row>22</xdr:row>
          <xdr:rowOff>0</xdr:rowOff>
        </xdr:to>
        <xdr:sp macro="" textlink="">
          <xdr:nvSpPr>
            <xdr:cNvPr id="9250" name="Group Box 34" hidden="1">
              <a:extLst>
                <a:ext uri="{63B3BB69-23CF-44E3-9099-C40C66FF867C}">
                  <a14:compatExt spid="_x0000_s92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21</xdr:row>
          <xdr:rowOff>28575</xdr:rowOff>
        </xdr:from>
        <xdr:to>
          <xdr:col>2</xdr:col>
          <xdr:colOff>476250</xdr:colOff>
          <xdr:row>21</xdr:row>
          <xdr:rowOff>304800</xdr:rowOff>
        </xdr:to>
        <xdr:sp macro="" textlink="">
          <xdr:nvSpPr>
            <xdr:cNvPr id="9251" name="Option Button 35" hidden="1">
              <a:extLst>
                <a:ext uri="{63B3BB69-23CF-44E3-9099-C40C66FF867C}">
                  <a14:compatExt spid="_x0000_s92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21</xdr:row>
          <xdr:rowOff>47625</xdr:rowOff>
        </xdr:from>
        <xdr:to>
          <xdr:col>3</xdr:col>
          <xdr:colOff>552450</xdr:colOff>
          <xdr:row>21</xdr:row>
          <xdr:rowOff>266700</xdr:rowOff>
        </xdr:to>
        <xdr:sp macro="" textlink="">
          <xdr:nvSpPr>
            <xdr:cNvPr id="9252" name="Option Button 36" hidden="1">
              <a:extLst>
                <a:ext uri="{63B3BB69-23CF-44E3-9099-C40C66FF867C}">
                  <a14:compatExt spid="_x0000_s92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24</xdr:row>
          <xdr:rowOff>0</xdr:rowOff>
        </xdr:from>
        <xdr:to>
          <xdr:col>4</xdr:col>
          <xdr:colOff>0</xdr:colOff>
          <xdr:row>25</xdr:row>
          <xdr:rowOff>0</xdr:rowOff>
        </xdr:to>
        <xdr:sp macro="" textlink="">
          <xdr:nvSpPr>
            <xdr:cNvPr id="9253" name="Group Box 37" hidden="1">
              <a:extLst>
                <a:ext uri="{63B3BB69-23CF-44E3-9099-C40C66FF867C}">
                  <a14:compatExt spid="_x0000_s9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24</xdr:row>
          <xdr:rowOff>38100</xdr:rowOff>
        </xdr:from>
        <xdr:to>
          <xdr:col>2</xdr:col>
          <xdr:colOff>476250</xdr:colOff>
          <xdr:row>24</xdr:row>
          <xdr:rowOff>314325</xdr:rowOff>
        </xdr:to>
        <xdr:sp macro="" textlink="">
          <xdr:nvSpPr>
            <xdr:cNvPr id="9254" name="Option Button 38" hidden="1">
              <a:extLst>
                <a:ext uri="{63B3BB69-23CF-44E3-9099-C40C66FF867C}">
                  <a14:compatExt spid="_x0000_s92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24</xdr:row>
          <xdr:rowOff>57150</xdr:rowOff>
        </xdr:from>
        <xdr:to>
          <xdr:col>3</xdr:col>
          <xdr:colOff>552450</xdr:colOff>
          <xdr:row>24</xdr:row>
          <xdr:rowOff>276225</xdr:rowOff>
        </xdr:to>
        <xdr:sp macro="" textlink="">
          <xdr:nvSpPr>
            <xdr:cNvPr id="9255" name="Option Button 39" hidden="1">
              <a:extLst>
                <a:ext uri="{63B3BB69-23CF-44E3-9099-C40C66FF867C}">
                  <a14:compatExt spid="_x0000_s92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4</xdr:col>
          <xdr:colOff>0</xdr:colOff>
          <xdr:row>13</xdr:row>
          <xdr:rowOff>0</xdr:rowOff>
        </xdr:to>
        <xdr:sp macro="" textlink="">
          <xdr:nvSpPr>
            <xdr:cNvPr id="9256" name="Group Box 40" hidden="1">
              <a:extLst>
                <a:ext uri="{63B3BB69-23CF-44E3-9099-C40C66FF867C}">
                  <a14:compatExt spid="_x0000_s92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12</xdr:row>
          <xdr:rowOff>0</xdr:rowOff>
        </xdr:from>
        <xdr:to>
          <xdr:col>2</xdr:col>
          <xdr:colOff>476250</xdr:colOff>
          <xdr:row>13</xdr:row>
          <xdr:rowOff>0</xdr:rowOff>
        </xdr:to>
        <xdr:sp macro="" textlink="">
          <xdr:nvSpPr>
            <xdr:cNvPr id="9257" name="Option Button 41" hidden="1">
              <a:extLst>
                <a:ext uri="{63B3BB69-23CF-44E3-9099-C40C66FF867C}">
                  <a14:compatExt spid="_x0000_s92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12</xdr:row>
          <xdr:rowOff>19050</xdr:rowOff>
        </xdr:from>
        <xdr:to>
          <xdr:col>3</xdr:col>
          <xdr:colOff>552450</xdr:colOff>
          <xdr:row>12</xdr:row>
          <xdr:rowOff>238125</xdr:rowOff>
        </xdr:to>
        <xdr:sp macro="" textlink="">
          <xdr:nvSpPr>
            <xdr:cNvPr id="9258" name="Option Button 42" hidden="1">
              <a:extLst>
                <a:ext uri="{63B3BB69-23CF-44E3-9099-C40C66FF867C}">
                  <a14:compatExt spid="_x0000_s92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4</xdr:col>
          <xdr:colOff>0</xdr:colOff>
          <xdr:row>14</xdr:row>
          <xdr:rowOff>0</xdr:rowOff>
        </xdr:to>
        <xdr:sp macro="" textlink="">
          <xdr:nvSpPr>
            <xdr:cNvPr id="9259" name="Group Box 43" hidden="1">
              <a:extLst>
                <a:ext uri="{63B3BB69-23CF-44E3-9099-C40C66FF867C}">
                  <a14:compatExt spid="_x0000_s92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13</xdr:row>
          <xdr:rowOff>0</xdr:rowOff>
        </xdr:from>
        <xdr:to>
          <xdr:col>2</xdr:col>
          <xdr:colOff>476250</xdr:colOff>
          <xdr:row>14</xdr:row>
          <xdr:rowOff>0</xdr:rowOff>
        </xdr:to>
        <xdr:sp macro="" textlink="">
          <xdr:nvSpPr>
            <xdr:cNvPr id="9260" name="Option Button 44" hidden="1">
              <a:extLst>
                <a:ext uri="{63B3BB69-23CF-44E3-9099-C40C66FF867C}">
                  <a14:compatExt spid="_x0000_s92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13</xdr:row>
          <xdr:rowOff>19050</xdr:rowOff>
        </xdr:from>
        <xdr:to>
          <xdr:col>3</xdr:col>
          <xdr:colOff>552450</xdr:colOff>
          <xdr:row>13</xdr:row>
          <xdr:rowOff>238125</xdr:rowOff>
        </xdr:to>
        <xdr:sp macro="" textlink="">
          <xdr:nvSpPr>
            <xdr:cNvPr id="9261" name="Option Button 45" hidden="1">
              <a:extLst>
                <a:ext uri="{63B3BB69-23CF-44E3-9099-C40C66FF867C}">
                  <a14:compatExt spid="_x0000_s92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0</xdr:rowOff>
        </xdr:from>
        <xdr:to>
          <xdr:col>4</xdr:col>
          <xdr:colOff>0</xdr:colOff>
          <xdr:row>27</xdr:row>
          <xdr:rowOff>0</xdr:rowOff>
        </xdr:to>
        <xdr:sp macro="" textlink="">
          <xdr:nvSpPr>
            <xdr:cNvPr id="9262" name="Group Box 46" hidden="1">
              <a:extLst>
                <a:ext uri="{63B3BB69-23CF-44E3-9099-C40C66FF867C}">
                  <a14:compatExt spid="_x0000_s92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26</xdr:row>
          <xdr:rowOff>38100</xdr:rowOff>
        </xdr:from>
        <xdr:to>
          <xdr:col>2</xdr:col>
          <xdr:colOff>476250</xdr:colOff>
          <xdr:row>26</xdr:row>
          <xdr:rowOff>257175</xdr:rowOff>
        </xdr:to>
        <xdr:sp macro="" textlink="">
          <xdr:nvSpPr>
            <xdr:cNvPr id="9263" name="Option Button 47" hidden="1">
              <a:extLst>
                <a:ext uri="{63B3BB69-23CF-44E3-9099-C40C66FF867C}">
                  <a14:compatExt spid="_x0000_s92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26</xdr:row>
          <xdr:rowOff>47625</xdr:rowOff>
        </xdr:from>
        <xdr:to>
          <xdr:col>3</xdr:col>
          <xdr:colOff>552450</xdr:colOff>
          <xdr:row>26</xdr:row>
          <xdr:rowOff>266700</xdr:rowOff>
        </xdr:to>
        <xdr:sp macro="" textlink="">
          <xdr:nvSpPr>
            <xdr:cNvPr id="9264" name="Option Button 48" hidden="1">
              <a:extLst>
                <a:ext uri="{63B3BB69-23CF-44E3-9099-C40C66FF867C}">
                  <a14:compatExt spid="_x0000_s92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</xdr:row>
          <xdr:rowOff>0</xdr:rowOff>
        </xdr:from>
        <xdr:to>
          <xdr:col>4</xdr:col>
          <xdr:colOff>0</xdr:colOff>
          <xdr:row>24</xdr:row>
          <xdr:rowOff>0</xdr:rowOff>
        </xdr:to>
        <xdr:sp macro="" textlink="">
          <xdr:nvSpPr>
            <xdr:cNvPr id="9265" name="Group Box 49" hidden="1">
              <a:extLst>
                <a:ext uri="{63B3BB69-23CF-44E3-9099-C40C66FF867C}">
                  <a14:compatExt spid="_x0000_s92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23</xdr:row>
          <xdr:rowOff>38100</xdr:rowOff>
        </xdr:from>
        <xdr:to>
          <xdr:col>2</xdr:col>
          <xdr:colOff>476250</xdr:colOff>
          <xdr:row>23</xdr:row>
          <xdr:rowOff>257175</xdr:rowOff>
        </xdr:to>
        <xdr:sp macro="" textlink="">
          <xdr:nvSpPr>
            <xdr:cNvPr id="9266" name="Option Button 50" hidden="1">
              <a:extLst>
                <a:ext uri="{63B3BB69-23CF-44E3-9099-C40C66FF867C}">
                  <a14:compatExt spid="_x0000_s92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23</xdr:row>
          <xdr:rowOff>47625</xdr:rowOff>
        </xdr:from>
        <xdr:to>
          <xdr:col>3</xdr:col>
          <xdr:colOff>552450</xdr:colOff>
          <xdr:row>23</xdr:row>
          <xdr:rowOff>266700</xdr:rowOff>
        </xdr:to>
        <xdr:sp macro="" textlink="">
          <xdr:nvSpPr>
            <xdr:cNvPr id="9267" name="Option Button 51" hidden="1">
              <a:extLst>
                <a:ext uri="{63B3BB69-23CF-44E3-9099-C40C66FF867C}">
                  <a14:compatExt spid="_x0000_s92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0</xdr:rowOff>
        </xdr:from>
        <xdr:to>
          <xdr:col>4</xdr:col>
          <xdr:colOff>0</xdr:colOff>
          <xdr:row>28</xdr:row>
          <xdr:rowOff>0</xdr:rowOff>
        </xdr:to>
        <xdr:sp macro="" textlink="">
          <xdr:nvSpPr>
            <xdr:cNvPr id="9268" name="Group Box 52" hidden="1">
              <a:extLst>
                <a:ext uri="{63B3BB69-23CF-44E3-9099-C40C66FF867C}">
                  <a14:compatExt spid="_x0000_s92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27</xdr:row>
          <xdr:rowOff>38100</xdr:rowOff>
        </xdr:from>
        <xdr:to>
          <xdr:col>2</xdr:col>
          <xdr:colOff>476250</xdr:colOff>
          <xdr:row>27</xdr:row>
          <xdr:rowOff>257175</xdr:rowOff>
        </xdr:to>
        <xdr:sp macro="" textlink="">
          <xdr:nvSpPr>
            <xdr:cNvPr id="9269" name="Option Button 53" hidden="1">
              <a:extLst>
                <a:ext uri="{63B3BB69-23CF-44E3-9099-C40C66FF867C}">
                  <a14:compatExt spid="_x0000_s92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27</xdr:row>
          <xdr:rowOff>47625</xdr:rowOff>
        </xdr:from>
        <xdr:to>
          <xdr:col>3</xdr:col>
          <xdr:colOff>552450</xdr:colOff>
          <xdr:row>27</xdr:row>
          <xdr:rowOff>266700</xdr:rowOff>
        </xdr:to>
        <xdr:sp macro="" textlink="">
          <xdr:nvSpPr>
            <xdr:cNvPr id="9270" name="Option Button 54" hidden="1">
              <a:extLst>
                <a:ext uri="{63B3BB69-23CF-44E3-9099-C40C66FF867C}">
                  <a14:compatExt spid="_x0000_s92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4</xdr:col>
          <xdr:colOff>0</xdr:colOff>
          <xdr:row>29</xdr:row>
          <xdr:rowOff>0</xdr:rowOff>
        </xdr:to>
        <xdr:sp macro="" textlink="">
          <xdr:nvSpPr>
            <xdr:cNvPr id="9271" name="Group Box 55" hidden="1">
              <a:extLst>
                <a:ext uri="{63B3BB69-23CF-44E3-9099-C40C66FF867C}">
                  <a14:compatExt spid="_x0000_s92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28</xdr:row>
          <xdr:rowOff>38100</xdr:rowOff>
        </xdr:from>
        <xdr:to>
          <xdr:col>2</xdr:col>
          <xdr:colOff>476250</xdr:colOff>
          <xdr:row>28</xdr:row>
          <xdr:rowOff>257175</xdr:rowOff>
        </xdr:to>
        <xdr:sp macro="" textlink="">
          <xdr:nvSpPr>
            <xdr:cNvPr id="9272" name="Option Button 56" hidden="1">
              <a:extLst>
                <a:ext uri="{63B3BB69-23CF-44E3-9099-C40C66FF867C}">
                  <a14:compatExt spid="_x0000_s92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28</xdr:row>
          <xdr:rowOff>47625</xdr:rowOff>
        </xdr:from>
        <xdr:to>
          <xdr:col>3</xdr:col>
          <xdr:colOff>552450</xdr:colOff>
          <xdr:row>28</xdr:row>
          <xdr:rowOff>266700</xdr:rowOff>
        </xdr:to>
        <xdr:sp macro="" textlink="">
          <xdr:nvSpPr>
            <xdr:cNvPr id="9273" name="Option Button 57" hidden="1">
              <a:extLst>
                <a:ext uri="{63B3BB69-23CF-44E3-9099-C40C66FF867C}">
                  <a14:compatExt spid="_x0000_s92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0</xdr:rowOff>
        </xdr:from>
        <xdr:to>
          <xdr:col>4</xdr:col>
          <xdr:colOff>0</xdr:colOff>
          <xdr:row>30</xdr:row>
          <xdr:rowOff>0</xdr:rowOff>
        </xdr:to>
        <xdr:sp macro="" textlink="">
          <xdr:nvSpPr>
            <xdr:cNvPr id="9274" name="Group Box 58" hidden="1">
              <a:extLst>
                <a:ext uri="{63B3BB69-23CF-44E3-9099-C40C66FF867C}">
                  <a14:compatExt spid="_x0000_s92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29</xdr:row>
          <xdr:rowOff>38100</xdr:rowOff>
        </xdr:from>
        <xdr:to>
          <xdr:col>2</xdr:col>
          <xdr:colOff>476250</xdr:colOff>
          <xdr:row>29</xdr:row>
          <xdr:rowOff>257175</xdr:rowOff>
        </xdr:to>
        <xdr:sp macro="" textlink="">
          <xdr:nvSpPr>
            <xdr:cNvPr id="9275" name="Option Button 59" hidden="1">
              <a:extLst>
                <a:ext uri="{63B3BB69-23CF-44E3-9099-C40C66FF867C}">
                  <a14:compatExt spid="_x0000_s92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29</xdr:row>
          <xdr:rowOff>47625</xdr:rowOff>
        </xdr:from>
        <xdr:to>
          <xdr:col>3</xdr:col>
          <xdr:colOff>552450</xdr:colOff>
          <xdr:row>29</xdr:row>
          <xdr:rowOff>266700</xdr:rowOff>
        </xdr:to>
        <xdr:sp macro="" textlink="">
          <xdr:nvSpPr>
            <xdr:cNvPr id="9276" name="Option Button 60" hidden="1">
              <a:extLst>
                <a:ext uri="{63B3BB69-23CF-44E3-9099-C40C66FF867C}">
                  <a14:compatExt spid="_x0000_s92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</xdr:row>
          <xdr:rowOff>0</xdr:rowOff>
        </xdr:from>
        <xdr:to>
          <xdr:col>4</xdr:col>
          <xdr:colOff>0</xdr:colOff>
          <xdr:row>31</xdr:row>
          <xdr:rowOff>0</xdr:rowOff>
        </xdr:to>
        <xdr:sp macro="" textlink="">
          <xdr:nvSpPr>
            <xdr:cNvPr id="9277" name="Group Box 61" hidden="1">
              <a:extLst>
                <a:ext uri="{63B3BB69-23CF-44E3-9099-C40C66FF867C}">
                  <a14:compatExt spid="_x0000_s92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30</xdr:row>
          <xdr:rowOff>38100</xdr:rowOff>
        </xdr:from>
        <xdr:to>
          <xdr:col>2</xdr:col>
          <xdr:colOff>476250</xdr:colOff>
          <xdr:row>30</xdr:row>
          <xdr:rowOff>257175</xdr:rowOff>
        </xdr:to>
        <xdr:sp macro="" textlink="">
          <xdr:nvSpPr>
            <xdr:cNvPr id="9278" name="Option Button 62" hidden="1">
              <a:extLst>
                <a:ext uri="{63B3BB69-23CF-44E3-9099-C40C66FF867C}">
                  <a14:compatExt spid="_x0000_s92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30</xdr:row>
          <xdr:rowOff>47625</xdr:rowOff>
        </xdr:from>
        <xdr:to>
          <xdr:col>3</xdr:col>
          <xdr:colOff>552450</xdr:colOff>
          <xdr:row>30</xdr:row>
          <xdr:rowOff>266700</xdr:rowOff>
        </xdr:to>
        <xdr:sp macro="" textlink="">
          <xdr:nvSpPr>
            <xdr:cNvPr id="9279" name="Option Button 63" hidden="1">
              <a:extLst>
                <a:ext uri="{63B3BB69-23CF-44E3-9099-C40C66FF867C}">
                  <a14:compatExt spid="_x0000_s92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</xdr:row>
          <xdr:rowOff>0</xdr:rowOff>
        </xdr:from>
        <xdr:to>
          <xdr:col>4</xdr:col>
          <xdr:colOff>0</xdr:colOff>
          <xdr:row>32</xdr:row>
          <xdr:rowOff>0</xdr:rowOff>
        </xdr:to>
        <xdr:sp macro="" textlink="">
          <xdr:nvSpPr>
            <xdr:cNvPr id="9280" name="Group Box 64" hidden="1">
              <a:extLst>
                <a:ext uri="{63B3BB69-23CF-44E3-9099-C40C66FF867C}">
                  <a14:compatExt spid="_x0000_s92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31</xdr:row>
          <xdr:rowOff>38100</xdr:rowOff>
        </xdr:from>
        <xdr:to>
          <xdr:col>2</xdr:col>
          <xdr:colOff>476250</xdr:colOff>
          <xdr:row>31</xdr:row>
          <xdr:rowOff>257175</xdr:rowOff>
        </xdr:to>
        <xdr:sp macro="" textlink="">
          <xdr:nvSpPr>
            <xdr:cNvPr id="9281" name="Option Button 65" hidden="1">
              <a:extLst>
                <a:ext uri="{63B3BB69-23CF-44E3-9099-C40C66FF867C}">
                  <a14:compatExt spid="_x0000_s92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31</xdr:row>
          <xdr:rowOff>47625</xdr:rowOff>
        </xdr:from>
        <xdr:to>
          <xdr:col>3</xdr:col>
          <xdr:colOff>552450</xdr:colOff>
          <xdr:row>31</xdr:row>
          <xdr:rowOff>266700</xdr:rowOff>
        </xdr:to>
        <xdr:sp macro="" textlink="">
          <xdr:nvSpPr>
            <xdr:cNvPr id="9282" name="Option Button 66" hidden="1">
              <a:extLst>
                <a:ext uri="{63B3BB69-23CF-44E3-9099-C40C66FF867C}">
                  <a14:compatExt spid="_x0000_s92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4</xdr:col>
          <xdr:colOff>0</xdr:colOff>
          <xdr:row>33</xdr:row>
          <xdr:rowOff>0</xdr:rowOff>
        </xdr:to>
        <xdr:sp macro="" textlink="">
          <xdr:nvSpPr>
            <xdr:cNvPr id="9283" name="Group Box 67" hidden="1">
              <a:extLst>
                <a:ext uri="{63B3BB69-23CF-44E3-9099-C40C66FF867C}">
                  <a14:compatExt spid="_x0000_s92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32</xdr:row>
          <xdr:rowOff>38100</xdr:rowOff>
        </xdr:from>
        <xdr:to>
          <xdr:col>2</xdr:col>
          <xdr:colOff>476250</xdr:colOff>
          <xdr:row>32</xdr:row>
          <xdr:rowOff>257175</xdr:rowOff>
        </xdr:to>
        <xdr:sp macro="" textlink="">
          <xdr:nvSpPr>
            <xdr:cNvPr id="9284" name="Option Button 68" hidden="1">
              <a:extLst>
                <a:ext uri="{63B3BB69-23CF-44E3-9099-C40C66FF867C}">
                  <a14:compatExt spid="_x0000_s92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32</xdr:row>
          <xdr:rowOff>47625</xdr:rowOff>
        </xdr:from>
        <xdr:to>
          <xdr:col>3</xdr:col>
          <xdr:colOff>552450</xdr:colOff>
          <xdr:row>32</xdr:row>
          <xdr:rowOff>266700</xdr:rowOff>
        </xdr:to>
        <xdr:sp macro="" textlink="">
          <xdr:nvSpPr>
            <xdr:cNvPr id="9285" name="Option Button 69" hidden="1">
              <a:extLst>
                <a:ext uri="{63B3BB69-23CF-44E3-9099-C40C66FF867C}">
                  <a14:compatExt spid="_x0000_s92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34</xdr:row>
          <xdr:rowOff>0</xdr:rowOff>
        </xdr:from>
        <xdr:to>
          <xdr:col>4</xdr:col>
          <xdr:colOff>0</xdr:colOff>
          <xdr:row>35</xdr:row>
          <xdr:rowOff>0</xdr:rowOff>
        </xdr:to>
        <xdr:sp macro="" textlink="">
          <xdr:nvSpPr>
            <xdr:cNvPr id="9286" name="Group Box 70" hidden="1">
              <a:extLst>
                <a:ext uri="{63B3BB69-23CF-44E3-9099-C40C66FF867C}">
                  <a14:compatExt spid="_x0000_s92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34</xdr:row>
          <xdr:rowOff>38100</xdr:rowOff>
        </xdr:from>
        <xdr:to>
          <xdr:col>2</xdr:col>
          <xdr:colOff>476250</xdr:colOff>
          <xdr:row>34</xdr:row>
          <xdr:rowOff>257175</xdr:rowOff>
        </xdr:to>
        <xdr:sp macro="" textlink="">
          <xdr:nvSpPr>
            <xdr:cNvPr id="9287" name="Option Button 71" hidden="1">
              <a:extLst>
                <a:ext uri="{63B3BB69-23CF-44E3-9099-C40C66FF867C}">
                  <a14:compatExt spid="_x0000_s92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34</xdr:row>
          <xdr:rowOff>47625</xdr:rowOff>
        </xdr:from>
        <xdr:to>
          <xdr:col>3</xdr:col>
          <xdr:colOff>552450</xdr:colOff>
          <xdr:row>34</xdr:row>
          <xdr:rowOff>266700</xdr:rowOff>
        </xdr:to>
        <xdr:sp macro="" textlink="">
          <xdr:nvSpPr>
            <xdr:cNvPr id="9288" name="Option Button 72" hidden="1">
              <a:extLst>
                <a:ext uri="{63B3BB69-23CF-44E3-9099-C40C66FF867C}">
                  <a14:compatExt spid="_x0000_s92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4</xdr:col>
          <xdr:colOff>0</xdr:colOff>
          <xdr:row>36</xdr:row>
          <xdr:rowOff>0</xdr:rowOff>
        </xdr:to>
        <xdr:sp macro="" textlink="">
          <xdr:nvSpPr>
            <xdr:cNvPr id="9289" name="Group Box 73" hidden="1">
              <a:extLst>
                <a:ext uri="{63B3BB69-23CF-44E3-9099-C40C66FF867C}">
                  <a14:compatExt spid="_x0000_s92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35</xdr:row>
          <xdr:rowOff>38100</xdr:rowOff>
        </xdr:from>
        <xdr:to>
          <xdr:col>2</xdr:col>
          <xdr:colOff>476250</xdr:colOff>
          <xdr:row>35</xdr:row>
          <xdr:rowOff>257175</xdr:rowOff>
        </xdr:to>
        <xdr:sp macro="" textlink="">
          <xdr:nvSpPr>
            <xdr:cNvPr id="9290" name="Option Button 74" hidden="1">
              <a:extLst>
                <a:ext uri="{63B3BB69-23CF-44E3-9099-C40C66FF867C}">
                  <a14:compatExt spid="_x0000_s92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35</xdr:row>
          <xdr:rowOff>47625</xdr:rowOff>
        </xdr:from>
        <xdr:to>
          <xdr:col>3</xdr:col>
          <xdr:colOff>552450</xdr:colOff>
          <xdr:row>35</xdr:row>
          <xdr:rowOff>266700</xdr:rowOff>
        </xdr:to>
        <xdr:sp macro="" textlink="">
          <xdr:nvSpPr>
            <xdr:cNvPr id="9291" name="Option Button 75" hidden="1">
              <a:extLst>
                <a:ext uri="{63B3BB69-23CF-44E3-9099-C40C66FF867C}">
                  <a14:compatExt spid="_x0000_s92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4</xdr:col>
          <xdr:colOff>0</xdr:colOff>
          <xdr:row>37</xdr:row>
          <xdr:rowOff>0</xdr:rowOff>
        </xdr:to>
        <xdr:sp macro="" textlink="">
          <xdr:nvSpPr>
            <xdr:cNvPr id="9292" name="Group Box 76" hidden="1">
              <a:extLst>
                <a:ext uri="{63B3BB69-23CF-44E3-9099-C40C66FF867C}">
                  <a14:compatExt spid="_x0000_s9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36</xdr:row>
          <xdr:rowOff>38100</xdr:rowOff>
        </xdr:from>
        <xdr:to>
          <xdr:col>2</xdr:col>
          <xdr:colOff>476250</xdr:colOff>
          <xdr:row>36</xdr:row>
          <xdr:rowOff>257175</xdr:rowOff>
        </xdr:to>
        <xdr:sp macro="" textlink="">
          <xdr:nvSpPr>
            <xdr:cNvPr id="9293" name="Option Button 77" hidden="1">
              <a:extLst>
                <a:ext uri="{63B3BB69-23CF-44E3-9099-C40C66FF867C}">
                  <a14:compatExt spid="_x0000_s92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36</xdr:row>
          <xdr:rowOff>47625</xdr:rowOff>
        </xdr:from>
        <xdr:to>
          <xdr:col>3</xdr:col>
          <xdr:colOff>552450</xdr:colOff>
          <xdr:row>36</xdr:row>
          <xdr:rowOff>266700</xdr:rowOff>
        </xdr:to>
        <xdr:sp macro="" textlink="">
          <xdr:nvSpPr>
            <xdr:cNvPr id="9294" name="Option Button 78" hidden="1">
              <a:extLst>
                <a:ext uri="{63B3BB69-23CF-44E3-9099-C40C66FF867C}">
                  <a14:compatExt spid="_x0000_s92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37</xdr:row>
          <xdr:rowOff>0</xdr:rowOff>
        </xdr:from>
        <xdr:to>
          <xdr:col>4</xdr:col>
          <xdr:colOff>0</xdr:colOff>
          <xdr:row>38</xdr:row>
          <xdr:rowOff>0</xdr:rowOff>
        </xdr:to>
        <xdr:sp macro="" textlink="">
          <xdr:nvSpPr>
            <xdr:cNvPr id="9295" name="Group Box 79" hidden="1">
              <a:extLst>
                <a:ext uri="{63B3BB69-23CF-44E3-9099-C40C66FF867C}">
                  <a14:compatExt spid="_x0000_s92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37</xdr:row>
          <xdr:rowOff>38100</xdr:rowOff>
        </xdr:from>
        <xdr:to>
          <xdr:col>2</xdr:col>
          <xdr:colOff>476250</xdr:colOff>
          <xdr:row>37</xdr:row>
          <xdr:rowOff>257175</xdr:rowOff>
        </xdr:to>
        <xdr:sp macro="" textlink="">
          <xdr:nvSpPr>
            <xdr:cNvPr id="9296" name="Option Button 80" hidden="1">
              <a:extLst>
                <a:ext uri="{63B3BB69-23CF-44E3-9099-C40C66FF867C}">
                  <a14:compatExt spid="_x0000_s92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37</xdr:row>
          <xdr:rowOff>47625</xdr:rowOff>
        </xdr:from>
        <xdr:to>
          <xdr:col>3</xdr:col>
          <xdr:colOff>552450</xdr:colOff>
          <xdr:row>37</xdr:row>
          <xdr:rowOff>266700</xdr:rowOff>
        </xdr:to>
        <xdr:sp macro="" textlink="">
          <xdr:nvSpPr>
            <xdr:cNvPr id="9297" name="Option Button 81" hidden="1">
              <a:extLst>
                <a:ext uri="{63B3BB69-23CF-44E3-9099-C40C66FF867C}">
                  <a14:compatExt spid="_x0000_s92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38</xdr:row>
          <xdr:rowOff>0</xdr:rowOff>
        </xdr:from>
        <xdr:to>
          <xdr:col>4</xdr:col>
          <xdr:colOff>0</xdr:colOff>
          <xdr:row>39</xdr:row>
          <xdr:rowOff>0</xdr:rowOff>
        </xdr:to>
        <xdr:sp macro="" textlink="">
          <xdr:nvSpPr>
            <xdr:cNvPr id="9298" name="Group Box 82" hidden="1">
              <a:extLst>
                <a:ext uri="{63B3BB69-23CF-44E3-9099-C40C66FF867C}">
                  <a14:compatExt spid="_x0000_s92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38</xdr:row>
          <xdr:rowOff>38100</xdr:rowOff>
        </xdr:from>
        <xdr:to>
          <xdr:col>2</xdr:col>
          <xdr:colOff>476250</xdr:colOff>
          <xdr:row>38</xdr:row>
          <xdr:rowOff>257175</xdr:rowOff>
        </xdr:to>
        <xdr:sp macro="" textlink="">
          <xdr:nvSpPr>
            <xdr:cNvPr id="9299" name="Option Button 83" hidden="1">
              <a:extLst>
                <a:ext uri="{63B3BB69-23CF-44E3-9099-C40C66FF867C}">
                  <a14:compatExt spid="_x0000_s92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38</xdr:row>
          <xdr:rowOff>47625</xdr:rowOff>
        </xdr:from>
        <xdr:to>
          <xdr:col>3</xdr:col>
          <xdr:colOff>552450</xdr:colOff>
          <xdr:row>38</xdr:row>
          <xdr:rowOff>266700</xdr:rowOff>
        </xdr:to>
        <xdr:sp macro="" textlink="">
          <xdr:nvSpPr>
            <xdr:cNvPr id="9300" name="Option Button 84" hidden="1">
              <a:extLst>
                <a:ext uri="{63B3BB69-23CF-44E3-9099-C40C66FF867C}">
                  <a14:compatExt spid="_x0000_s93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39</xdr:row>
          <xdr:rowOff>0</xdr:rowOff>
        </xdr:from>
        <xdr:to>
          <xdr:col>4</xdr:col>
          <xdr:colOff>0</xdr:colOff>
          <xdr:row>40</xdr:row>
          <xdr:rowOff>0</xdr:rowOff>
        </xdr:to>
        <xdr:sp macro="" textlink="">
          <xdr:nvSpPr>
            <xdr:cNvPr id="9301" name="Group Box 85" hidden="1">
              <a:extLst>
                <a:ext uri="{63B3BB69-23CF-44E3-9099-C40C66FF867C}">
                  <a14:compatExt spid="_x0000_s93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39</xdr:row>
          <xdr:rowOff>38100</xdr:rowOff>
        </xdr:from>
        <xdr:to>
          <xdr:col>2</xdr:col>
          <xdr:colOff>476250</xdr:colOff>
          <xdr:row>39</xdr:row>
          <xdr:rowOff>257175</xdr:rowOff>
        </xdr:to>
        <xdr:sp macro="" textlink="">
          <xdr:nvSpPr>
            <xdr:cNvPr id="9302" name="Option Button 86" hidden="1">
              <a:extLst>
                <a:ext uri="{63B3BB69-23CF-44E3-9099-C40C66FF867C}">
                  <a14:compatExt spid="_x0000_s93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39</xdr:row>
          <xdr:rowOff>47625</xdr:rowOff>
        </xdr:from>
        <xdr:to>
          <xdr:col>3</xdr:col>
          <xdr:colOff>552450</xdr:colOff>
          <xdr:row>39</xdr:row>
          <xdr:rowOff>266700</xdr:rowOff>
        </xdr:to>
        <xdr:sp macro="" textlink="">
          <xdr:nvSpPr>
            <xdr:cNvPr id="9303" name="Option Button 87" hidden="1">
              <a:extLst>
                <a:ext uri="{63B3BB69-23CF-44E3-9099-C40C66FF867C}">
                  <a14:compatExt spid="_x0000_s93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0</xdr:rowOff>
        </xdr:from>
        <xdr:to>
          <xdr:col>4</xdr:col>
          <xdr:colOff>0</xdr:colOff>
          <xdr:row>6</xdr:row>
          <xdr:rowOff>0</xdr:rowOff>
        </xdr:to>
        <xdr:sp macro="" textlink="">
          <xdr:nvSpPr>
            <xdr:cNvPr id="9304" name="Group Box 88" hidden="1">
              <a:extLst>
                <a:ext uri="{63B3BB69-23CF-44E3-9099-C40C66FF867C}">
                  <a14:compatExt spid="_x0000_s93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5</xdr:row>
          <xdr:rowOff>47625</xdr:rowOff>
        </xdr:from>
        <xdr:to>
          <xdr:col>2</xdr:col>
          <xdr:colOff>476250</xdr:colOff>
          <xdr:row>5</xdr:row>
          <xdr:rowOff>323850</xdr:rowOff>
        </xdr:to>
        <xdr:sp macro="" textlink="">
          <xdr:nvSpPr>
            <xdr:cNvPr id="9305" name="Option Button 89" hidden="1">
              <a:extLst>
                <a:ext uri="{63B3BB69-23CF-44E3-9099-C40C66FF867C}">
                  <a14:compatExt spid="_x0000_s93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5</xdr:row>
          <xdr:rowOff>66675</xdr:rowOff>
        </xdr:from>
        <xdr:to>
          <xdr:col>3</xdr:col>
          <xdr:colOff>552450</xdr:colOff>
          <xdr:row>5</xdr:row>
          <xdr:rowOff>285750</xdr:rowOff>
        </xdr:to>
        <xdr:sp macro="" textlink="">
          <xdr:nvSpPr>
            <xdr:cNvPr id="9306" name="Option Button 90" hidden="1">
              <a:extLst>
                <a:ext uri="{63B3BB69-23CF-44E3-9099-C40C66FF867C}">
                  <a14:compatExt spid="_x0000_s93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20</xdr:row>
          <xdr:rowOff>0</xdr:rowOff>
        </xdr:from>
        <xdr:to>
          <xdr:col>4</xdr:col>
          <xdr:colOff>0</xdr:colOff>
          <xdr:row>21</xdr:row>
          <xdr:rowOff>0</xdr:rowOff>
        </xdr:to>
        <xdr:sp macro="" textlink="">
          <xdr:nvSpPr>
            <xdr:cNvPr id="9307" name="Group Box 91" hidden="1">
              <a:extLst>
                <a:ext uri="{63B3BB69-23CF-44E3-9099-C40C66FF867C}">
                  <a14:compatExt spid="_x0000_s93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20</xdr:row>
          <xdr:rowOff>28575</xdr:rowOff>
        </xdr:from>
        <xdr:to>
          <xdr:col>2</xdr:col>
          <xdr:colOff>476250</xdr:colOff>
          <xdr:row>20</xdr:row>
          <xdr:rowOff>304800</xdr:rowOff>
        </xdr:to>
        <xdr:sp macro="" textlink="">
          <xdr:nvSpPr>
            <xdr:cNvPr id="9308" name="Option Button 92" hidden="1">
              <a:extLst>
                <a:ext uri="{63B3BB69-23CF-44E3-9099-C40C66FF867C}">
                  <a14:compatExt spid="_x0000_s93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20</xdr:row>
          <xdr:rowOff>47625</xdr:rowOff>
        </xdr:from>
        <xdr:to>
          <xdr:col>3</xdr:col>
          <xdr:colOff>552450</xdr:colOff>
          <xdr:row>20</xdr:row>
          <xdr:rowOff>266700</xdr:rowOff>
        </xdr:to>
        <xdr:sp macro="" textlink="">
          <xdr:nvSpPr>
            <xdr:cNvPr id="9309" name="Option Button 93" hidden="1">
              <a:extLst>
                <a:ext uri="{63B3BB69-23CF-44E3-9099-C40C66FF867C}">
                  <a14:compatExt spid="_x0000_s93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22</xdr:row>
          <xdr:rowOff>0</xdr:rowOff>
        </xdr:from>
        <xdr:to>
          <xdr:col>4</xdr:col>
          <xdr:colOff>0</xdr:colOff>
          <xdr:row>23</xdr:row>
          <xdr:rowOff>0</xdr:rowOff>
        </xdr:to>
        <xdr:sp macro="" textlink="">
          <xdr:nvSpPr>
            <xdr:cNvPr id="9310" name="Group Box 94" hidden="1">
              <a:extLst>
                <a:ext uri="{63B3BB69-23CF-44E3-9099-C40C66FF867C}">
                  <a14:compatExt spid="_x0000_s93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22</xdr:row>
          <xdr:rowOff>28575</xdr:rowOff>
        </xdr:from>
        <xdr:to>
          <xdr:col>2</xdr:col>
          <xdr:colOff>476250</xdr:colOff>
          <xdr:row>22</xdr:row>
          <xdr:rowOff>304800</xdr:rowOff>
        </xdr:to>
        <xdr:sp macro="" textlink="">
          <xdr:nvSpPr>
            <xdr:cNvPr id="9311" name="Option Button 95" hidden="1">
              <a:extLst>
                <a:ext uri="{63B3BB69-23CF-44E3-9099-C40C66FF867C}">
                  <a14:compatExt spid="_x0000_s93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22</xdr:row>
          <xdr:rowOff>47625</xdr:rowOff>
        </xdr:from>
        <xdr:to>
          <xdr:col>3</xdr:col>
          <xdr:colOff>552450</xdr:colOff>
          <xdr:row>22</xdr:row>
          <xdr:rowOff>266700</xdr:rowOff>
        </xdr:to>
        <xdr:sp macro="" textlink="">
          <xdr:nvSpPr>
            <xdr:cNvPr id="9312" name="Option Button 96" hidden="1">
              <a:extLst>
                <a:ext uri="{63B3BB69-23CF-44E3-9099-C40C66FF867C}">
                  <a14:compatExt spid="_x0000_s93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0</xdr:rowOff>
        </xdr:from>
        <xdr:to>
          <xdr:col>4</xdr:col>
          <xdr:colOff>0</xdr:colOff>
          <xdr:row>12</xdr:row>
          <xdr:rowOff>0</xdr:rowOff>
        </xdr:to>
        <xdr:sp macro="" textlink="">
          <xdr:nvSpPr>
            <xdr:cNvPr id="9313" name="Group Box 97" hidden="1">
              <a:extLst>
                <a:ext uri="{63B3BB69-23CF-44E3-9099-C40C66FF867C}">
                  <a14:compatExt spid="_x0000_s93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11</xdr:row>
          <xdr:rowOff>19050</xdr:rowOff>
        </xdr:from>
        <xdr:to>
          <xdr:col>2</xdr:col>
          <xdr:colOff>485775</xdr:colOff>
          <xdr:row>11</xdr:row>
          <xdr:rowOff>295275</xdr:rowOff>
        </xdr:to>
        <xdr:sp macro="" textlink="">
          <xdr:nvSpPr>
            <xdr:cNvPr id="9314" name="Option Button 98" hidden="1">
              <a:extLst>
                <a:ext uri="{63B3BB69-23CF-44E3-9099-C40C66FF867C}">
                  <a14:compatExt spid="_x0000_s93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11</xdr:row>
          <xdr:rowOff>38100</xdr:rowOff>
        </xdr:from>
        <xdr:to>
          <xdr:col>3</xdr:col>
          <xdr:colOff>552450</xdr:colOff>
          <xdr:row>11</xdr:row>
          <xdr:rowOff>257175</xdr:rowOff>
        </xdr:to>
        <xdr:sp macro="" textlink="">
          <xdr:nvSpPr>
            <xdr:cNvPr id="9315" name="Option Button 99" hidden="1">
              <a:extLst>
                <a:ext uri="{63B3BB69-23CF-44E3-9099-C40C66FF867C}">
                  <a14:compatExt spid="_x0000_s93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</xdr:row>
          <xdr:rowOff>0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12289" name="Group Box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47625</xdr:rowOff>
        </xdr:from>
        <xdr:to>
          <xdr:col>2</xdr:col>
          <xdr:colOff>476250</xdr:colOff>
          <xdr:row>6</xdr:row>
          <xdr:rowOff>323850</xdr:rowOff>
        </xdr:to>
        <xdr:sp macro="" textlink="">
          <xdr:nvSpPr>
            <xdr:cNvPr id="12290" name="Option Button 2" hidden="1">
              <a:extLst>
                <a:ext uri="{63B3BB69-23CF-44E3-9099-C40C66FF867C}">
                  <a14:compatExt spid="_x0000_s122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6</xdr:row>
          <xdr:rowOff>66675</xdr:rowOff>
        </xdr:from>
        <xdr:to>
          <xdr:col>3</xdr:col>
          <xdr:colOff>552450</xdr:colOff>
          <xdr:row>6</xdr:row>
          <xdr:rowOff>285750</xdr:rowOff>
        </xdr:to>
        <xdr:sp macro="" textlink="">
          <xdr:nvSpPr>
            <xdr:cNvPr id="12291" name="Option Button 3" hidden="1">
              <a:extLst>
                <a:ext uri="{63B3BB69-23CF-44E3-9099-C40C66FF867C}">
                  <a14:compatExt spid="_x0000_s122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4</xdr:col>
          <xdr:colOff>0</xdr:colOff>
          <xdr:row>15</xdr:row>
          <xdr:rowOff>0</xdr:rowOff>
        </xdr:to>
        <xdr:sp macro="" textlink="">
          <xdr:nvSpPr>
            <xdr:cNvPr id="12292" name="Group Box 4" hidden="1">
              <a:extLst>
                <a:ext uri="{63B3BB69-23CF-44E3-9099-C40C66FF867C}">
                  <a14:compatExt spid="_x0000_s12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14</xdr:row>
          <xdr:rowOff>0</xdr:rowOff>
        </xdr:from>
        <xdr:to>
          <xdr:col>2</xdr:col>
          <xdr:colOff>476250</xdr:colOff>
          <xdr:row>15</xdr:row>
          <xdr:rowOff>0</xdr:rowOff>
        </xdr:to>
        <xdr:sp macro="" textlink="">
          <xdr:nvSpPr>
            <xdr:cNvPr id="12293" name="Option Button 5" hidden="1">
              <a:extLst>
                <a:ext uri="{63B3BB69-23CF-44E3-9099-C40C66FF867C}">
                  <a14:compatExt spid="_x0000_s122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14</xdr:row>
          <xdr:rowOff>19050</xdr:rowOff>
        </xdr:from>
        <xdr:to>
          <xdr:col>3</xdr:col>
          <xdr:colOff>552450</xdr:colOff>
          <xdr:row>14</xdr:row>
          <xdr:rowOff>238125</xdr:rowOff>
        </xdr:to>
        <xdr:sp macro="" textlink="">
          <xdr:nvSpPr>
            <xdr:cNvPr id="12294" name="Option Button 6" hidden="1">
              <a:extLst>
                <a:ext uri="{63B3BB69-23CF-44E3-9099-C40C66FF867C}">
                  <a14:compatExt spid="_x0000_s122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15</xdr:row>
          <xdr:rowOff>0</xdr:rowOff>
        </xdr:from>
        <xdr:to>
          <xdr:col>4</xdr:col>
          <xdr:colOff>0</xdr:colOff>
          <xdr:row>16</xdr:row>
          <xdr:rowOff>0</xdr:rowOff>
        </xdr:to>
        <xdr:sp macro="" textlink="">
          <xdr:nvSpPr>
            <xdr:cNvPr id="12295" name="Group Box 7" hidden="1">
              <a:extLst>
                <a:ext uri="{63B3BB69-23CF-44E3-9099-C40C66FF867C}">
                  <a14:compatExt spid="_x0000_s122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15</xdr:row>
          <xdr:rowOff>0</xdr:rowOff>
        </xdr:from>
        <xdr:to>
          <xdr:col>2</xdr:col>
          <xdr:colOff>476250</xdr:colOff>
          <xdr:row>15</xdr:row>
          <xdr:rowOff>276225</xdr:rowOff>
        </xdr:to>
        <xdr:sp macro="" textlink="">
          <xdr:nvSpPr>
            <xdr:cNvPr id="12296" name="Option Button 8" hidden="1">
              <a:extLst>
                <a:ext uri="{63B3BB69-23CF-44E3-9099-C40C66FF867C}">
                  <a14:compatExt spid="_x0000_s122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15</xdr:row>
          <xdr:rowOff>19050</xdr:rowOff>
        </xdr:from>
        <xdr:to>
          <xdr:col>3</xdr:col>
          <xdr:colOff>552450</xdr:colOff>
          <xdr:row>15</xdr:row>
          <xdr:rowOff>238125</xdr:rowOff>
        </xdr:to>
        <xdr:sp macro="" textlink="">
          <xdr:nvSpPr>
            <xdr:cNvPr id="12297" name="Option Button 9" hidden="1">
              <a:extLst>
                <a:ext uri="{63B3BB69-23CF-44E3-9099-C40C66FF867C}">
                  <a14:compatExt spid="_x0000_s122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0</xdr:rowOff>
        </xdr:from>
        <xdr:to>
          <xdr:col>4</xdr:col>
          <xdr:colOff>0</xdr:colOff>
          <xdr:row>17</xdr:row>
          <xdr:rowOff>0</xdr:rowOff>
        </xdr:to>
        <xdr:sp macro="" textlink="">
          <xdr:nvSpPr>
            <xdr:cNvPr id="12298" name="Group Box 10" hidden="1">
              <a:extLst>
                <a:ext uri="{63B3BB69-23CF-44E3-9099-C40C66FF867C}">
                  <a14:compatExt spid="_x0000_s122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16</xdr:row>
          <xdr:rowOff>38100</xdr:rowOff>
        </xdr:from>
        <xdr:to>
          <xdr:col>2</xdr:col>
          <xdr:colOff>476250</xdr:colOff>
          <xdr:row>16</xdr:row>
          <xdr:rowOff>314325</xdr:rowOff>
        </xdr:to>
        <xdr:sp macro="" textlink="">
          <xdr:nvSpPr>
            <xdr:cNvPr id="12299" name="Option Button 11" hidden="1">
              <a:extLst>
                <a:ext uri="{63B3BB69-23CF-44E3-9099-C40C66FF867C}">
                  <a14:compatExt spid="_x0000_s122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16</xdr:row>
          <xdr:rowOff>66675</xdr:rowOff>
        </xdr:from>
        <xdr:to>
          <xdr:col>3</xdr:col>
          <xdr:colOff>552450</xdr:colOff>
          <xdr:row>16</xdr:row>
          <xdr:rowOff>285750</xdr:rowOff>
        </xdr:to>
        <xdr:sp macro="" textlink="">
          <xdr:nvSpPr>
            <xdr:cNvPr id="12300" name="Option Button 12" hidden="1">
              <a:extLst>
                <a:ext uri="{63B3BB69-23CF-44E3-9099-C40C66FF867C}">
                  <a14:compatExt spid="_x0000_s123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4</xdr:col>
          <xdr:colOff>0</xdr:colOff>
          <xdr:row>11</xdr:row>
          <xdr:rowOff>0</xdr:rowOff>
        </xdr:to>
        <xdr:sp macro="" textlink="">
          <xdr:nvSpPr>
            <xdr:cNvPr id="12301" name="Group Box 13" hidden="1">
              <a:extLst>
                <a:ext uri="{63B3BB69-23CF-44E3-9099-C40C66FF867C}">
                  <a14:compatExt spid="_x0000_s123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10</xdr:row>
          <xdr:rowOff>47625</xdr:rowOff>
        </xdr:from>
        <xdr:to>
          <xdr:col>2</xdr:col>
          <xdr:colOff>476250</xdr:colOff>
          <xdr:row>10</xdr:row>
          <xdr:rowOff>323850</xdr:rowOff>
        </xdr:to>
        <xdr:sp macro="" textlink="">
          <xdr:nvSpPr>
            <xdr:cNvPr id="12302" name="Option Button 14" hidden="1">
              <a:extLst>
                <a:ext uri="{63B3BB69-23CF-44E3-9099-C40C66FF867C}">
                  <a14:compatExt spid="_x0000_s123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10</xdr:row>
          <xdr:rowOff>66675</xdr:rowOff>
        </xdr:from>
        <xdr:to>
          <xdr:col>3</xdr:col>
          <xdr:colOff>552450</xdr:colOff>
          <xdr:row>10</xdr:row>
          <xdr:rowOff>285750</xdr:rowOff>
        </xdr:to>
        <xdr:sp macro="" textlink="">
          <xdr:nvSpPr>
            <xdr:cNvPr id="12303" name="Option Button 15" hidden="1">
              <a:extLst>
                <a:ext uri="{63B3BB69-23CF-44E3-9099-C40C66FF867C}">
                  <a14:compatExt spid="_x0000_s123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12304" name="Group Box 16" hidden="1">
              <a:extLst>
                <a:ext uri="{63B3BB69-23CF-44E3-9099-C40C66FF867C}">
                  <a14:compatExt spid="_x0000_s123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8</xdr:row>
          <xdr:rowOff>0</xdr:rowOff>
        </xdr:from>
        <xdr:to>
          <xdr:col>2</xdr:col>
          <xdr:colOff>476250</xdr:colOff>
          <xdr:row>8</xdr:row>
          <xdr:rowOff>276225</xdr:rowOff>
        </xdr:to>
        <xdr:sp macro="" textlink="">
          <xdr:nvSpPr>
            <xdr:cNvPr id="12305" name="Option Button 17" hidden="1">
              <a:extLst>
                <a:ext uri="{63B3BB69-23CF-44E3-9099-C40C66FF867C}">
                  <a14:compatExt spid="_x0000_s123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8</xdr:row>
          <xdr:rowOff>19050</xdr:rowOff>
        </xdr:from>
        <xdr:to>
          <xdr:col>3</xdr:col>
          <xdr:colOff>552450</xdr:colOff>
          <xdr:row>8</xdr:row>
          <xdr:rowOff>238125</xdr:rowOff>
        </xdr:to>
        <xdr:sp macro="" textlink="">
          <xdr:nvSpPr>
            <xdr:cNvPr id="12306" name="Option Button 18" hidden="1">
              <a:extLst>
                <a:ext uri="{63B3BB69-23CF-44E3-9099-C40C66FF867C}">
                  <a14:compatExt spid="_x0000_s123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0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12307" name="Group Box 19" hidden="1">
              <a:extLst>
                <a:ext uri="{63B3BB69-23CF-44E3-9099-C40C66FF867C}">
                  <a14:compatExt spid="_x0000_s123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9</xdr:row>
          <xdr:rowOff>0</xdr:rowOff>
        </xdr:from>
        <xdr:to>
          <xdr:col>2</xdr:col>
          <xdr:colOff>476250</xdr:colOff>
          <xdr:row>9</xdr:row>
          <xdr:rowOff>276225</xdr:rowOff>
        </xdr:to>
        <xdr:sp macro="" textlink="">
          <xdr:nvSpPr>
            <xdr:cNvPr id="12308" name="Option Button 20" hidden="1">
              <a:extLst>
                <a:ext uri="{63B3BB69-23CF-44E3-9099-C40C66FF867C}">
                  <a14:compatExt spid="_x0000_s123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9</xdr:row>
          <xdr:rowOff>19050</xdr:rowOff>
        </xdr:from>
        <xdr:to>
          <xdr:col>3</xdr:col>
          <xdr:colOff>552450</xdr:colOff>
          <xdr:row>9</xdr:row>
          <xdr:rowOff>238125</xdr:rowOff>
        </xdr:to>
        <xdr:sp macro="" textlink="">
          <xdr:nvSpPr>
            <xdr:cNvPr id="12309" name="Option Button 21" hidden="1">
              <a:extLst>
                <a:ext uri="{63B3BB69-23CF-44E3-9099-C40C66FF867C}">
                  <a14:compatExt spid="_x0000_s123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0</xdr:rowOff>
        </xdr:from>
        <xdr:to>
          <xdr:col>4</xdr:col>
          <xdr:colOff>0</xdr:colOff>
          <xdr:row>18</xdr:row>
          <xdr:rowOff>0</xdr:rowOff>
        </xdr:to>
        <xdr:sp macro="" textlink="">
          <xdr:nvSpPr>
            <xdr:cNvPr id="12310" name="Group Box 22" hidden="1">
              <a:extLst>
                <a:ext uri="{63B3BB69-23CF-44E3-9099-C40C66FF867C}">
                  <a14:compatExt spid="_x0000_s123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17</xdr:row>
          <xdr:rowOff>0</xdr:rowOff>
        </xdr:from>
        <xdr:to>
          <xdr:col>2</xdr:col>
          <xdr:colOff>476250</xdr:colOff>
          <xdr:row>18</xdr:row>
          <xdr:rowOff>0</xdr:rowOff>
        </xdr:to>
        <xdr:sp macro="" textlink="">
          <xdr:nvSpPr>
            <xdr:cNvPr id="12311" name="Option Button 23" hidden="1">
              <a:extLst>
                <a:ext uri="{63B3BB69-23CF-44E3-9099-C40C66FF867C}">
                  <a14:compatExt spid="_x0000_s123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17</xdr:row>
          <xdr:rowOff>19050</xdr:rowOff>
        </xdr:from>
        <xdr:to>
          <xdr:col>3</xdr:col>
          <xdr:colOff>552450</xdr:colOff>
          <xdr:row>17</xdr:row>
          <xdr:rowOff>238125</xdr:rowOff>
        </xdr:to>
        <xdr:sp macro="" textlink="">
          <xdr:nvSpPr>
            <xdr:cNvPr id="12312" name="Option Button 24" hidden="1">
              <a:extLst>
                <a:ext uri="{63B3BB69-23CF-44E3-9099-C40C66FF867C}">
                  <a14:compatExt spid="_x0000_s123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4</xdr:col>
          <xdr:colOff>0</xdr:colOff>
          <xdr:row>13</xdr:row>
          <xdr:rowOff>0</xdr:rowOff>
        </xdr:to>
        <xdr:sp macro="" textlink="">
          <xdr:nvSpPr>
            <xdr:cNvPr id="12322" name="Group Box 34" hidden="1">
              <a:extLst>
                <a:ext uri="{63B3BB69-23CF-44E3-9099-C40C66FF867C}">
                  <a14:compatExt spid="_x0000_s123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12</xdr:row>
          <xdr:rowOff>0</xdr:rowOff>
        </xdr:from>
        <xdr:to>
          <xdr:col>2</xdr:col>
          <xdr:colOff>476250</xdr:colOff>
          <xdr:row>13</xdr:row>
          <xdr:rowOff>0</xdr:rowOff>
        </xdr:to>
        <xdr:sp macro="" textlink="">
          <xdr:nvSpPr>
            <xdr:cNvPr id="12323" name="Option Button 35" hidden="1">
              <a:extLst>
                <a:ext uri="{63B3BB69-23CF-44E3-9099-C40C66FF867C}">
                  <a14:compatExt spid="_x0000_s123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12</xdr:row>
          <xdr:rowOff>19050</xdr:rowOff>
        </xdr:from>
        <xdr:to>
          <xdr:col>3</xdr:col>
          <xdr:colOff>552450</xdr:colOff>
          <xdr:row>12</xdr:row>
          <xdr:rowOff>238125</xdr:rowOff>
        </xdr:to>
        <xdr:sp macro="" textlink="">
          <xdr:nvSpPr>
            <xdr:cNvPr id="12324" name="Option Button 36" hidden="1">
              <a:extLst>
                <a:ext uri="{63B3BB69-23CF-44E3-9099-C40C66FF867C}">
                  <a14:compatExt spid="_x0000_s123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4</xdr:col>
          <xdr:colOff>0</xdr:colOff>
          <xdr:row>14</xdr:row>
          <xdr:rowOff>0</xdr:rowOff>
        </xdr:to>
        <xdr:sp macro="" textlink="">
          <xdr:nvSpPr>
            <xdr:cNvPr id="12325" name="Group Box 37" hidden="1">
              <a:extLst>
                <a:ext uri="{63B3BB69-23CF-44E3-9099-C40C66FF867C}">
                  <a14:compatExt spid="_x0000_s123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13</xdr:row>
          <xdr:rowOff>0</xdr:rowOff>
        </xdr:from>
        <xdr:to>
          <xdr:col>2</xdr:col>
          <xdr:colOff>476250</xdr:colOff>
          <xdr:row>14</xdr:row>
          <xdr:rowOff>0</xdr:rowOff>
        </xdr:to>
        <xdr:sp macro="" textlink="">
          <xdr:nvSpPr>
            <xdr:cNvPr id="12326" name="Option Button 38" hidden="1">
              <a:extLst>
                <a:ext uri="{63B3BB69-23CF-44E3-9099-C40C66FF867C}">
                  <a14:compatExt spid="_x0000_s123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13</xdr:row>
          <xdr:rowOff>19050</xdr:rowOff>
        </xdr:from>
        <xdr:to>
          <xdr:col>3</xdr:col>
          <xdr:colOff>552450</xdr:colOff>
          <xdr:row>13</xdr:row>
          <xdr:rowOff>238125</xdr:rowOff>
        </xdr:to>
        <xdr:sp macro="" textlink="">
          <xdr:nvSpPr>
            <xdr:cNvPr id="12327" name="Option Button 39" hidden="1">
              <a:extLst>
                <a:ext uri="{63B3BB69-23CF-44E3-9099-C40C66FF867C}">
                  <a14:compatExt spid="_x0000_s123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0</xdr:rowOff>
        </xdr:from>
        <xdr:to>
          <xdr:col>4</xdr:col>
          <xdr:colOff>0</xdr:colOff>
          <xdr:row>6</xdr:row>
          <xdr:rowOff>0</xdr:rowOff>
        </xdr:to>
        <xdr:sp macro="" textlink="">
          <xdr:nvSpPr>
            <xdr:cNvPr id="12370" name="Group Box 82" hidden="1">
              <a:extLst>
                <a:ext uri="{63B3BB69-23CF-44E3-9099-C40C66FF867C}">
                  <a14:compatExt spid="_x0000_s123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5</xdr:row>
          <xdr:rowOff>47625</xdr:rowOff>
        </xdr:from>
        <xdr:to>
          <xdr:col>2</xdr:col>
          <xdr:colOff>476250</xdr:colOff>
          <xdr:row>5</xdr:row>
          <xdr:rowOff>323850</xdr:rowOff>
        </xdr:to>
        <xdr:sp macro="" textlink="">
          <xdr:nvSpPr>
            <xdr:cNvPr id="12371" name="Option Button 83" hidden="1">
              <a:extLst>
                <a:ext uri="{63B3BB69-23CF-44E3-9099-C40C66FF867C}">
                  <a14:compatExt spid="_x0000_s123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5</xdr:row>
          <xdr:rowOff>66675</xdr:rowOff>
        </xdr:from>
        <xdr:to>
          <xdr:col>3</xdr:col>
          <xdr:colOff>552450</xdr:colOff>
          <xdr:row>5</xdr:row>
          <xdr:rowOff>285750</xdr:rowOff>
        </xdr:to>
        <xdr:sp macro="" textlink="">
          <xdr:nvSpPr>
            <xdr:cNvPr id="12372" name="Option Button 84" hidden="1">
              <a:extLst>
                <a:ext uri="{63B3BB69-23CF-44E3-9099-C40C66FF867C}">
                  <a14:compatExt spid="_x0000_s123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12379" name="Group Box 91" hidden="1">
              <a:extLst>
                <a:ext uri="{63B3BB69-23CF-44E3-9099-C40C66FF867C}">
                  <a14:compatExt spid="_x0000_s123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7</xdr:row>
          <xdr:rowOff>19050</xdr:rowOff>
        </xdr:from>
        <xdr:to>
          <xdr:col>2</xdr:col>
          <xdr:colOff>476250</xdr:colOff>
          <xdr:row>7</xdr:row>
          <xdr:rowOff>295275</xdr:rowOff>
        </xdr:to>
        <xdr:sp macro="" textlink="">
          <xdr:nvSpPr>
            <xdr:cNvPr id="12380" name="Option Button 92" hidden="1">
              <a:extLst>
                <a:ext uri="{63B3BB69-23CF-44E3-9099-C40C66FF867C}">
                  <a14:compatExt spid="_x0000_s123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7</xdr:row>
          <xdr:rowOff>38100</xdr:rowOff>
        </xdr:from>
        <xdr:to>
          <xdr:col>3</xdr:col>
          <xdr:colOff>552450</xdr:colOff>
          <xdr:row>7</xdr:row>
          <xdr:rowOff>257175</xdr:rowOff>
        </xdr:to>
        <xdr:sp macro="" textlink="">
          <xdr:nvSpPr>
            <xdr:cNvPr id="12381" name="Option Button 93" hidden="1">
              <a:extLst>
                <a:ext uri="{63B3BB69-23CF-44E3-9099-C40C66FF867C}">
                  <a14:compatExt spid="_x0000_s123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0</xdr:rowOff>
        </xdr:from>
        <xdr:to>
          <xdr:col>4</xdr:col>
          <xdr:colOff>0</xdr:colOff>
          <xdr:row>12</xdr:row>
          <xdr:rowOff>0</xdr:rowOff>
        </xdr:to>
        <xdr:sp macro="" textlink="">
          <xdr:nvSpPr>
            <xdr:cNvPr id="12382" name="Group Box 94" hidden="1">
              <a:extLst>
                <a:ext uri="{63B3BB69-23CF-44E3-9099-C40C66FF867C}">
                  <a14:compatExt spid="_x0000_s123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11</xdr:row>
          <xdr:rowOff>47625</xdr:rowOff>
        </xdr:from>
        <xdr:to>
          <xdr:col>2</xdr:col>
          <xdr:colOff>476250</xdr:colOff>
          <xdr:row>11</xdr:row>
          <xdr:rowOff>323850</xdr:rowOff>
        </xdr:to>
        <xdr:sp macro="" textlink="">
          <xdr:nvSpPr>
            <xdr:cNvPr id="12383" name="Option Button 95" hidden="1">
              <a:extLst>
                <a:ext uri="{63B3BB69-23CF-44E3-9099-C40C66FF867C}">
                  <a14:compatExt spid="_x0000_s123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11</xdr:row>
          <xdr:rowOff>66675</xdr:rowOff>
        </xdr:from>
        <xdr:to>
          <xdr:col>3</xdr:col>
          <xdr:colOff>552450</xdr:colOff>
          <xdr:row>11</xdr:row>
          <xdr:rowOff>285750</xdr:rowOff>
        </xdr:to>
        <xdr:sp macro="" textlink="">
          <xdr:nvSpPr>
            <xdr:cNvPr id="12384" name="Option Button 96" hidden="1">
              <a:extLst>
                <a:ext uri="{63B3BB69-23CF-44E3-9099-C40C66FF867C}">
                  <a14:compatExt spid="_x0000_s123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</xdr:row>
          <xdr:rowOff>0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10241" name="Group Box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9525</xdr:rowOff>
        </xdr:from>
        <xdr:to>
          <xdr:col>2</xdr:col>
          <xdr:colOff>476250</xdr:colOff>
          <xdr:row>7</xdr:row>
          <xdr:rowOff>0</xdr:rowOff>
        </xdr:to>
        <xdr:sp macro="" textlink="">
          <xdr:nvSpPr>
            <xdr:cNvPr id="10242" name="Option Button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6</xdr:row>
          <xdr:rowOff>28575</xdr:rowOff>
        </xdr:from>
        <xdr:to>
          <xdr:col>3</xdr:col>
          <xdr:colOff>552450</xdr:colOff>
          <xdr:row>6</xdr:row>
          <xdr:rowOff>247650</xdr:rowOff>
        </xdr:to>
        <xdr:sp macro="" textlink="">
          <xdr:nvSpPr>
            <xdr:cNvPr id="10243" name="Option Button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4</xdr:col>
          <xdr:colOff>0</xdr:colOff>
          <xdr:row>15</xdr:row>
          <xdr:rowOff>0</xdr:rowOff>
        </xdr:to>
        <xdr:sp macro="" textlink="">
          <xdr:nvSpPr>
            <xdr:cNvPr id="10244" name="Group Box 4" hidden="1">
              <a:extLst>
                <a:ext uri="{63B3BB69-23CF-44E3-9099-C40C66FF867C}">
                  <a14:compatExt spid="_x0000_s10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14</xdr:row>
          <xdr:rowOff>0</xdr:rowOff>
        </xdr:from>
        <xdr:to>
          <xdr:col>2</xdr:col>
          <xdr:colOff>476250</xdr:colOff>
          <xdr:row>14</xdr:row>
          <xdr:rowOff>276225</xdr:rowOff>
        </xdr:to>
        <xdr:sp macro="" textlink="">
          <xdr:nvSpPr>
            <xdr:cNvPr id="10245" name="Option Button 5" hidden="1">
              <a:extLst>
                <a:ext uri="{63B3BB69-23CF-44E3-9099-C40C66FF867C}">
                  <a14:compatExt spid="_x0000_s102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14</xdr:row>
          <xdr:rowOff>19050</xdr:rowOff>
        </xdr:from>
        <xdr:to>
          <xdr:col>3</xdr:col>
          <xdr:colOff>552450</xdr:colOff>
          <xdr:row>14</xdr:row>
          <xdr:rowOff>238125</xdr:rowOff>
        </xdr:to>
        <xdr:sp macro="" textlink="">
          <xdr:nvSpPr>
            <xdr:cNvPr id="10246" name="Option Button 6" hidden="1">
              <a:extLst>
                <a:ext uri="{63B3BB69-23CF-44E3-9099-C40C66FF867C}">
                  <a14:compatExt spid="_x0000_s102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15</xdr:row>
          <xdr:rowOff>0</xdr:rowOff>
        </xdr:from>
        <xdr:to>
          <xdr:col>4</xdr:col>
          <xdr:colOff>0</xdr:colOff>
          <xdr:row>16</xdr:row>
          <xdr:rowOff>0</xdr:rowOff>
        </xdr:to>
        <xdr:sp macro="" textlink="">
          <xdr:nvSpPr>
            <xdr:cNvPr id="10247" name="Group Box 7" hidden="1">
              <a:extLst>
                <a:ext uri="{63B3BB69-23CF-44E3-9099-C40C66FF867C}">
                  <a14:compatExt spid="_x0000_s102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15</xdr:row>
          <xdr:rowOff>0</xdr:rowOff>
        </xdr:from>
        <xdr:to>
          <xdr:col>2</xdr:col>
          <xdr:colOff>476250</xdr:colOff>
          <xdr:row>15</xdr:row>
          <xdr:rowOff>276225</xdr:rowOff>
        </xdr:to>
        <xdr:sp macro="" textlink="">
          <xdr:nvSpPr>
            <xdr:cNvPr id="10248" name="Option Button 8" hidden="1">
              <a:extLst>
                <a:ext uri="{63B3BB69-23CF-44E3-9099-C40C66FF867C}">
                  <a14:compatExt spid="_x0000_s102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15</xdr:row>
          <xdr:rowOff>19050</xdr:rowOff>
        </xdr:from>
        <xdr:to>
          <xdr:col>3</xdr:col>
          <xdr:colOff>552450</xdr:colOff>
          <xdr:row>15</xdr:row>
          <xdr:rowOff>238125</xdr:rowOff>
        </xdr:to>
        <xdr:sp macro="" textlink="">
          <xdr:nvSpPr>
            <xdr:cNvPr id="10249" name="Option Button 9" hidden="1">
              <a:extLst>
                <a:ext uri="{63B3BB69-23CF-44E3-9099-C40C66FF867C}">
                  <a14:compatExt spid="_x0000_s102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0</xdr:rowOff>
        </xdr:from>
        <xdr:to>
          <xdr:col>4</xdr:col>
          <xdr:colOff>0</xdr:colOff>
          <xdr:row>16</xdr:row>
          <xdr:rowOff>323850</xdr:rowOff>
        </xdr:to>
        <xdr:sp macro="" textlink="">
          <xdr:nvSpPr>
            <xdr:cNvPr id="10250" name="Group Box 10" hidden="1">
              <a:extLst>
                <a:ext uri="{63B3BB69-23CF-44E3-9099-C40C66FF867C}">
                  <a14:compatExt spid="_x0000_s102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16</xdr:row>
          <xdr:rowOff>38100</xdr:rowOff>
        </xdr:from>
        <xdr:to>
          <xdr:col>2</xdr:col>
          <xdr:colOff>476250</xdr:colOff>
          <xdr:row>16</xdr:row>
          <xdr:rowOff>257175</xdr:rowOff>
        </xdr:to>
        <xdr:sp macro="" textlink="">
          <xdr:nvSpPr>
            <xdr:cNvPr id="10251" name="Option Button 11" hidden="1">
              <a:extLst>
                <a:ext uri="{63B3BB69-23CF-44E3-9099-C40C66FF867C}">
                  <a14:compatExt spid="_x0000_s102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16</xdr:row>
          <xdr:rowOff>38100</xdr:rowOff>
        </xdr:from>
        <xdr:to>
          <xdr:col>3</xdr:col>
          <xdr:colOff>552450</xdr:colOff>
          <xdr:row>16</xdr:row>
          <xdr:rowOff>257175</xdr:rowOff>
        </xdr:to>
        <xdr:sp macro="" textlink="">
          <xdr:nvSpPr>
            <xdr:cNvPr id="10252" name="Option Button 12" hidden="1">
              <a:extLst>
                <a:ext uri="{63B3BB69-23CF-44E3-9099-C40C66FF867C}">
                  <a14:compatExt spid="_x0000_s102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4</xdr:col>
          <xdr:colOff>0</xdr:colOff>
          <xdr:row>11</xdr:row>
          <xdr:rowOff>0</xdr:rowOff>
        </xdr:to>
        <xdr:sp macro="" textlink="">
          <xdr:nvSpPr>
            <xdr:cNvPr id="10253" name="Group Box 13" hidden="1">
              <a:extLst>
                <a:ext uri="{63B3BB69-23CF-44E3-9099-C40C66FF867C}">
                  <a14:compatExt spid="_x0000_s10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10</xdr:row>
          <xdr:rowOff>47625</xdr:rowOff>
        </xdr:from>
        <xdr:to>
          <xdr:col>2</xdr:col>
          <xdr:colOff>476250</xdr:colOff>
          <xdr:row>10</xdr:row>
          <xdr:rowOff>266700</xdr:rowOff>
        </xdr:to>
        <xdr:sp macro="" textlink="">
          <xdr:nvSpPr>
            <xdr:cNvPr id="10254" name="Option Button 14" hidden="1">
              <a:extLst>
                <a:ext uri="{63B3BB69-23CF-44E3-9099-C40C66FF867C}">
                  <a14:compatExt spid="_x0000_s102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10</xdr:row>
          <xdr:rowOff>38100</xdr:rowOff>
        </xdr:from>
        <xdr:to>
          <xdr:col>3</xdr:col>
          <xdr:colOff>552450</xdr:colOff>
          <xdr:row>10</xdr:row>
          <xdr:rowOff>257175</xdr:rowOff>
        </xdr:to>
        <xdr:sp macro="" textlink="">
          <xdr:nvSpPr>
            <xdr:cNvPr id="10255" name="Option Button 15" hidden="1">
              <a:extLst>
                <a:ext uri="{63B3BB69-23CF-44E3-9099-C40C66FF867C}">
                  <a14:compatExt spid="_x0000_s102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10256" name="Group Box 16" hidden="1">
              <a:extLst>
                <a:ext uri="{63B3BB69-23CF-44E3-9099-C40C66FF867C}">
                  <a14:compatExt spid="_x0000_s102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8</xdr:row>
          <xdr:rowOff>0</xdr:rowOff>
        </xdr:from>
        <xdr:to>
          <xdr:col>2</xdr:col>
          <xdr:colOff>476250</xdr:colOff>
          <xdr:row>9</xdr:row>
          <xdr:rowOff>0</xdr:rowOff>
        </xdr:to>
        <xdr:sp macro="" textlink="">
          <xdr:nvSpPr>
            <xdr:cNvPr id="10257" name="Option Button 17" hidden="1">
              <a:extLst>
                <a:ext uri="{63B3BB69-23CF-44E3-9099-C40C66FF867C}">
                  <a14:compatExt spid="_x0000_s102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8</xdr:row>
          <xdr:rowOff>19050</xdr:rowOff>
        </xdr:from>
        <xdr:to>
          <xdr:col>3</xdr:col>
          <xdr:colOff>552450</xdr:colOff>
          <xdr:row>8</xdr:row>
          <xdr:rowOff>238125</xdr:rowOff>
        </xdr:to>
        <xdr:sp macro="" textlink="">
          <xdr:nvSpPr>
            <xdr:cNvPr id="10258" name="Option Button 18" hidden="1">
              <a:extLst>
                <a:ext uri="{63B3BB69-23CF-44E3-9099-C40C66FF867C}">
                  <a14:compatExt spid="_x0000_s102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0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10259" name="Group Box 19" hidden="1">
              <a:extLst>
                <a:ext uri="{63B3BB69-23CF-44E3-9099-C40C66FF867C}">
                  <a14:compatExt spid="_x0000_s102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9</xdr:row>
          <xdr:rowOff>0</xdr:rowOff>
        </xdr:from>
        <xdr:to>
          <xdr:col>2</xdr:col>
          <xdr:colOff>476250</xdr:colOff>
          <xdr:row>9</xdr:row>
          <xdr:rowOff>276225</xdr:rowOff>
        </xdr:to>
        <xdr:sp macro="" textlink="">
          <xdr:nvSpPr>
            <xdr:cNvPr id="10260" name="Option Button 20" hidden="1">
              <a:extLst>
                <a:ext uri="{63B3BB69-23CF-44E3-9099-C40C66FF867C}">
                  <a14:compatExt spid="_x0000_s102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9</xdr:row>
          <xdr:rowOff>19050</xdr:rowOff>
        </xdr:from>
        <xdr:to>
          <xdr:col>3</xdr:col>
          <xdr:colOff>552450</xdr:colOff>
          <xdr:row>9</xdr:row>
          <xdr:rowOff>238125</xdr:rowOff>
        </xdr:to>
        <xdr:sp macro="" textlink="">
          <xdr:nvSpPr>
            <xdr:cNvPr id="10261" name="Option Button 21" hidden="1">
              <a:extLst>
                <a:ext uri="{63B3BB69-23CF-44E3-9099-C40C66FF867C}">
                  <a14:compatExt spid="_x0000_s102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0</xdr:rowOff>
        </xdr:from>
        <xdr:to>
          <xdr:col>4</xdr:col>
          <xdr:colOff>0</xdr:colOff>
          <xdr:row>18</xdr:row>
          <xdr:rowOff>9525</xdr:rowOff>
        </xdr:to>
        <xdr:sp macro="" textlink="">
          <xdr:nvSpPr>
            <xdr:cNvPr id="10262" name="Group Box 22" hidden="1">
              <a:extLst>
                <a:ext uri="{63B3BB69-23CF-44E3-9099-C40C66FF867C}">
                  <a14:compatExt spid="_x0000_s102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17</xdr:row>
          <xdr:rowOff>0</xdr:rowOff>
        </xdr:from>
        <xdr:to>
          <xdr:col>2</xdr:col>
          <xdr:colOff>476250</xdr:colOff>
          <xdr:row>17</xdr:row>
          <xdr:rowOff>276225</xdr:rowOff>
        </xdr:to>
        <xdr:sp macro="" textlink="">
          <xdr:nvSpPr>
            <xdr:cNvPr id="10263" name="Option Button 23" hidden="1">
              <a:extLst>
                <a:ext uri="{63B3BB69-23CF-44E3-9099-C40C66FF867C}">
                  <a14:compatExt spid="_x0000_s102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17</xdr:row>
          <xdr:rowOff>19050</xdr:rowOff>
        </xdr:from>
        <xdr:to>
          <xdr:col>3</xdr:col>
          <xdr:colOff>552450</xdr:colOff>
          <xdr:row>17</xdr:row>
          <xdr:rowOff>238125</xdr:rowOff>
        </xdr:to>
        <xdr:sp macro="" textlink="">
          <xdr:nvSpPr>
            <xdr:cNvPr id="10264" name="Option Button 24" hidden="1">
              <a:extLst>
                <a:ext uri="{63B3BB69-23CF-44E3-9099-C40C66FF867C}">
                  <a14:compatExt spid="_x0000_s102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0</xdr:rowOff>
        </xdr:from>
        <xdr:to>
          <xdr:col>4</xdr:col>
          <xdr:colOff>0</xdr:colOff>
          <xdr:row>19</xdr:row>
          <xdr:rowOff>0</xdr:rowOff>
        </xdr:to>
        <xdr:sp macro="" textlink="">
          <xdr:nvSpPr>
            <xdr:cNvPr id="10265" name="Group Box 25" hidden="1">
              <a:extLst>
                <a:ext uri="{63B3BB69-23CF-44E3-9099-C40C66FF867C}">
                  <a14:compatExt spid="_x0000_s102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18</xdr:row>
          <xdr:rowOff>0</xdr:rowOff>
        </xdr:from>
        <xdr:to>
          <xdr:col>2</xdr:col>
          <xdr:colOff>476250</xdr:colOff>
          <xdr:row>18</xdr:row>
          <xdr:rowOff>276225</xdr:rowOff>
        </xdr:to>
        <xdr:sp macro="" textlink="">
          <xdr:nvSpPr>
            <xdr:cNvPr id="10266" name="Option Button 26" hidden="1">
              <a:extLst>
                <a:ext uri="{63B3BB69-23CF-44E3-9099-C40C66FF867C}">
                  <a14:compatExt spid="_x0000_s102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18</xdr:row>
          <xdr:rowOff>19050</xdr:rowOff>
        </xdr:from>
        <xdr:to>
          <xdr:col>3</xdr:col>
          <xdr:colOff>552450</xdr:colOff>
          <xdr:row>18</xdr:row>
          <xdr:rowOff>238125</xdr:rowOff>
        </xdr:to>
        <xdr:sp macro="" textlink="">
          <xdr:nvSpPr>
            <xdr:cNvPr id="10267" name="Option Button 27" hidden="1">
              <a:extLst>
                <a:ext uri="{63B3BB69-23CF-44E3-9099-C40C66FF867C}">
                  <a14:compatExt spid="_x0000_s102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4</xdr:col>
          <xdr:colOff>0</xdr:colOff>
          <xdr:row>13</xdr:row>
          <xdr:rowOff>0</xdr:rowOff>
        </xdr:to>
        <xdr:sp macro="" textlink="">
          <xdr:nvSpPr>
            <xdr:cNvPr id="10274" name="Group Box 34" hidden="1">
              <a:extLst>
                <a:ext uri="{63B3BB69-23CF-44E3-9099-C40C66FF867C}">
                  <a14:compatExt spid="_x0000_s102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12</xdr:row>
          <xdr:rowOff>0</xdr:rowOff>
        </xdr:from>
        <xdr:to>
          <xdr:col>2</xdr:col>
          <xdr:colOff>476250</xdr:colOff>
          <xdr:row>12</xdr:row>
          <xdr:rowOff>276225</xdr:rowOff>
        </xdr:to>
        <xdr:sp macro="" textlink="">
          <xdr:nvSpPr>
            <xdr:cNvPr id="10275" name="Option Button 35" hidden="1">
              <a:extLst>
                <a:ext uri="{63B3BB69-23CF-44E3-9099-C40C66FF867C}">
                  <a14:compatExt spid="_x0000_s102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12</xdr:row>
          <xdr:rowOff>19050</xdr:rowOff>
        </xdr:from>
        <xdr:to>
          <xdr:col>3</xdr:col>
          <xdr:colOff>552450</xdr:colOff>
          <xdr:row>12</xdr:row>
          <xdr:rowOff>238125</xdr:rowOff>
        </xdr:to>
        <xdr:sp macro="" textlink="">
          <xdr:nvSpPr>
            <xdr:cNvPr id="10276" name="Option Button 36" hidden="1">
              <a:extLst>
                <a:ext uri="{63B3BB69-23CF-44E3-9099-C40C66FF867C}">
                  <a14:compatExt spid="_x0000_s102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4</xdr:col>
          <xdr:colOff>0</xdr:colOff>
          <xdr:row>14</xdr:row>
          <xdr:rowOff>0</xdr:rowOff>
        </xdr:to>
        <xdr:sp macro="" textlink="">
          <xdr:nvSpPr>
            <xdr:cNvPr id="10277" name="Group Box 37" hidden="1">
              <a:extLst>
                <a:ext uri="{63B3BB69-23CF-44E3-9099-C40C66FF867C}">
                  <a14:compatExt spid="_x0000_s102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13</xdr:row>
          <xdr:rowOff>0</xdr:rowOff>
        </xdr:from>
        <xdr:to>
          <xdr:col>2</xdr:col>
          <xdr:colOff>476250</xdr:colOff>
          <xdr:row>13</xdr:row>
          <xdr:rowOff>276225</xdr:rowOff>
        </xdr:to>
        <xdr:sp macro="" textlink="">
          <xdr:nvSpPr>
            <xdr:cNvPr id="10278" name="Option Button 38" hidden="1">
              <a:extLst>
                <a:ext uri="{63B3BB69-23CF-44E3-9099-C40C66FF867C}">
                  <a14:compatExt spid="_x0000_s102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13</xdr:row>
          <xdr:rowOff>19050</xdr:rowOff>
        </xdr:from>
        <xdr:to>
          <xdr:col>3</xdr:col>
          <xdr:colOff>552450</xdr:colOff>
          <xdr:row>13</xdr:row>
          <xdr:rowOff>238125</xdr:rowOff>
        </xdr:to>
        <xdr:sp macro="" textlink="">
          <xdr:nvSpPr>
            <xdr:cNvPr id="10279" name="Option Button 39" hidden="1">
              <a:extLst>
                <a:ext uri="{63B3BB69-23CF-44E3-9099-C40C66FF867C}">
                  <a14:compatExt spid="_x0000_s102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0</xdr:rowOff>
        </xdr:from>
        <xdr:to>
          <xdr:col>4</xdr:col>
          <xdr:colOff>0</xdr:colOff>
          <xdr:row>6</xdr:row>
          <xdr:rowOff>0</xdr:rowOff>
        </xdr:to>
        <xdr:sp macro="" textlink="">
          <xdr:nvSpPr>
            <xdr:cNvPr id="10322" name="Group Box 82" hidden="1">
              <a:extLst>
                <a:ext uri="{63B3BB69-23CF-44E3-9099-C40C66FF867C}">
                  <a14:compatExt spid="_x0000_s103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5</xdr:row>
          <xdr:rowOff>47625</xdr:rowOff>
        </xdr:from>
        <xdr:to>
          <xdr:col>2</xdr:col>
          <xdr:colOff>476250</xdr:colOff>
          <xdr:row>5</xdr:row>
          <xdr:rowOff>266700</xdr:rowOff>
        </xdr:to>
        <xdr:sp macro="" textlink="">
          <xdr:nvSpPr>
            <xdr:cNvPr id="10323" name="Option Button 83" hidden="1">
              <a:extLst>
                <a:ext uri="{63B3BB69-23CF-44E3-9099-C40C66FF867C}">
                  <a14:compatExt spid="_x0000_s103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5</xdr:row>
          <xdr:rowOff>66675</xdr:rowOff>
        </xdr:from>
        <xdr:to>
          <xdr:col>3</xdr:col>
          <xdr:colOff>552450</xdr:colOff>
          <xdr:row>6</xdr:row>
          <xdr:rowOff>0</xdr:rowOff>
        </xdr:to>
        <xdr:sp macro="" textlink="">
          <xdr:nvSpPr>
            <xdr:cNvPr id="10324" name="Option Button 84" hidden="1">
              <a:extLst>
                <a:ext uri="{63B3BB69-23CF-44E3-9099-C40C66FF867C}">
                  <a14:compatExt spid="_x0000_s103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10331" name="Group Box 91" hidden="1">
              <a:extLst>
                <a:ext uri="{63B3BB69-23CF-44E3-9099-C40C66FF867C}">
                  <a14:compatExt spid="_x0000_s103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7</xdr:row>
          <xdr:rowOff>9525</xdr:rowOff>
        </xdr:from>
        <xdr:to>
          <xdr:col>2</xdr:col>
          <xdr:colOff>476250</xdr:colOff>
          <xdr:row>7</xdr:row>
          <xdr:rowOff>285750</xdr:rowOff>
        </xdr:to>
        <xdr:sp macro="" textlink="">
          <xdr:nvSpPr>
            <xdr:cNvPr id="10332" name="Option Button 92" hidden="1">
              <a:extLst>
                <a:ext uri="{63B3BB69-23CF-44E3-9099-C40C66FF867C}">
                  <a14:compatExt spid="_x0000_s103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7</xdr:row>
          <xdr:rowOff>28575</xdr:rowOff>
        </xdr:from>
        <xdr:to>
          <xdr:col>3</xdr:col>
          <xdr:colOff>552450</xdr:colOff>
          <xdr:row>7</xdr:row>
          <xdr:rowOff>247650</xdr:rowOff>
        </xdr:to>
        <xdr:sp macro="" textlink="">
          <xdr:nvSpPr>
            <xdr:cNvPr id="10333" name="Option Button 93" hidden="1">
              <a:extLst>
                <a:ext uri="{63B3BB69-23CF-44E3-9099-C40C66FF867C}">
                  <a14:compatExt spid="_x0000_s103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0</xdr:rowOff>
        </xdr:from>
        <xdr:to>
          <xdr:col>4</xdr:col>
          <xdr:colOff>0</xdr:colOff>
          <xdr:row>12</xdr:row>
          <xdr:rowOff>0</xdr:rowOff>
        </xdr:to>
        <xdr:sp macro="" textlink="">
          <xdr:nvSpPr>
            <xdr:cNvPr id="10335" name="Group Box 95" hidden="1">
              <a:extLst>
                <a:ext uri="{63B3BB69-23CF-44E3-9099-C40C66FF867C}">
                  <a14:compatExt spid="_x0000_s103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11</xdr:row>
          <xdr:rowOff>47625</xdr:rowOff>
        </xdr:from>
        <xdr:to>
          <xdr:col>2</xdr:col>
          <xdr:colOff>476250</xdr:colOff>
          <xdr:row>11</xdr:row>
          <xdr:rowOff>266700</xdr:rowOff>
        </xdr:to>
        <xdr:sp macro="" textlink="">
          <xdr:nvSpPr>
            <xdr:cNvPr id="10336" name="Option Button 96" hidden="1">
              <a:extLst>
                <a:ext uri="{63B3BB69-23CF-44E3-9099-C40C66FF867C}">
                  <a14:compatExt spid="_x0000_s103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11</xdr:row>
          <xdr:rowOff>38100</xdr:rowOff>
        </xdr:from>
        <xdr:to>
          <xdr:col>3</xdr:col>
          <xdr:colOff>552450</xdr:colOff>
          <xdr:row>11</xdr:row>
          <xdr:rowOff>257175</xdr:rowOff>
        </xdr:to>
        <xdr:sp macro="" textlink="">
          <xdr:nvSpPr>
            <xdr:cNvPr id="10337" name="Option Button 97" hidden="1">
              <a:extLst>
                <a:ext uri="{63B3BB69-23CF-44E3-9099-C40C66FF867C}">
                  <a14:compatExt spid="_x0000_s103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</xdr:row>
          <xdr:rowOff>0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11265" name="Group Box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9525</xdr:rowOff>
        </xdr:from>
        <xdr:to>
          <xdr:col>2</xdr:col>
          <xdr:colOff>476250</xdr:colOff>
          <xdr:row>7</xdr:row>
          <xdr:rowOff>0</xdr:rowOff>
        </xdr:to>
        <xdr:sp macro="" textlink="">
          <xdr:nvSpPr>
            <xdr:cNvPr id="11266" name="Option Button 2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6</xdr:row>
          <xdr:rowOff>28575</xdr:rowOff>
        </xdr:from>
        <xdr:to>
          <xdr:col>3</xdr:col>
          <xdr:colOff>552450</xdr:colOff>
          <xdr:row>6</xdr:row>
          <xdr:rowOff>247650</xdr:rowOff>
        </xdr:to>
        <xdr:sp macro="" textlink="">
          <xdr:nvSpPr>
            <xdr:cNvPr id="11267" name="Option Button 3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4</xdr:col>
          <xdr:colOff>0</xdr:colOff>
          <xdr:row>11</xdr:row>
          <xdr:rowOff>0</xdr:rowOff>
        </xdr:to>
        <xdr:sp macro="" textlink="">
          <xdr:nvSpPr>
            <xdr:cNvPr id="11277" name="Group Box 13" hidden="1">
              <a:extLst>
                <a:ext uri="{63B3BB69-23CF-44E3-9099-C40C66FF867C}">
                  <a14:compatExt spid="_x0000_s112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10</xdr:row>
          <xdr:rowOff>47625</xdr:rowOff>
        </xdr:from>
        <xdr:to>
          <xdr:col>2</xdr:col>
          <xdr:colOff>476250</xdr:colOff>
          <xdr:row>10</xdr:row>
          <xdr:rowOff>266700</xdr:rowOff>
        </xdr:to>
        <xdr:sp macro="" textlink="">
          <xdr:nvSpPr>
            <xdr:cNvPr id="11278" name="Option Button 14" hidden="1">
              <a:extLst>
                <a:ext uri="{63B3BB69-23CF-44E3-9099-C40C66FF867C}">
                  <a14:compatExt spid="_x0000_s112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10</xdr:row>
          <xdr:rowOff>38100</xdr:rowOff>
        </xdr:from>
        <xdr:to>
          <xdr:col>3</xdr:col>
          <xdr:colOff>552450</xdr:colOff>
          <xdr:row>10</xdr:row>
          <xdr:rowOff>257175</xdr:rowOff>
        </xdr:to>
        <xdr:sp macro="" textlink="">
          <xdr:nvSpPr>
            <xdr:cNvPr id="11279" name="Option Button 15" hidden="1">
              <a:extLst>
                <a:ext uri="{63B3BB69-23CF-44E3-9099-C40C66FF867C}">
                  <a14:compatExt spid="_x0000_s112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11280" name="Group Box 16" hidden="1">
              <a:extLst>
                <a:ext uri="{63B3BB69-23CF-44E3-9099-C40C66FF867C}">
                  <a14:compatExt spid="_x0000_s112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8</xdr:row>
          <xdr:rowOff>0</xdr:rowOff>
        </xdr:from>
        <xdr:to>
          <xdr:col>2</xdr:col>
          <xdr:colOff>476250</xdr:colOff>
          <xdr:row>9</xdr:row>
          <xdr:rowOff>0</xdr:rowOff>
        </xdr:to>
        <xdr:sp macro="" textlink="">
          <xdr:nvSpPr>
            <xdr:cNvPr id="11281" name="Option Button 17" hidden="1">
              <a:extLst>
                <a:ext uri="{63B3BB69-23CF-44E3-9099-C40C66FF867C}">
                  <a14:compatExt spid="_x0000_s112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8</xdr:row>
          <xdr:rowOff>19050</xdr:rowOff>
        </xdr:from>
        <xdr:to>
          <xdr:col>3</xdr:col>
          <xdr:colOff>552450</xdr:colOff>
          <xdr:row>8</xdr:row>
          <xdr:rowOff>238125</xdr:rowOff>
        </xdr:to>
        <xdr:sp macro="" textlink="">
          <xdr:nvSpPr>
            <xdr:cNvPr id="11282" name="Option Button 18" hidden="1">
              <a:extLst>
                <a:ext uri="{63B3BB69-23CF-44E3-9099-C40C66FF867C}">
                  <a14:compatExt spid="_x0000_s112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0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11283" name="Group Box 19" hidden="1">
              <a:extLst>
                <a:ext uri="{63B3BB69-23CF-44E3-9099-C40C66FF867C}">
                  <a14:compatExt spid="_x0000_s112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9</xdr:row>
          <xdr:rowOff>0</xdr:rowOff>
        </xdr:from>
        <xdr:to>
          <xdr:col>2</xdr:col>
          <xdr:colOff>476250</xdr:colOff>
          <xdr:row>9</xdr:row>
          <xdr:rowOff>276225</xdr:rowOff>
        </xdr:to>
        <xdr:sp macro="" textlink="">
          <xdr:nvSpPr>
            <xdr:cNvPr id="11284" name="Option Button 20" hidden="1">
              <a:extLst>
                <a:ext uri="{63B3BB69-23CF-44E3-9099-C40C66FF867C}">
                  <a14:compatExt spid="_x0000_s112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9</xdr:row>
          <xdr:rowOff>19050</xdr:rowOff>
        </xdr:from>
        <xdr:to>
          <xdr:col>3</xdr:col>
          <xdr:colOff>552450</xdr:colOff>
          <xdr:row>9</xdr:row>
          <xdr:rowOff>238125</xdr:rowOff>
        </xdr:to>
        <xdr:sp macro="" textlink="">
          <xdr:nvSpPr>
            <xdr:cNvPr id="11285" name="Option Button 21" hidden="1">
              <a:extLst>
                <a:ext uri="{63B3BB69-23CF-44E3-9099-C40C66FF867C}">
                  <a14:compatExt spid="_x0000_s112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4</xdr:col>
          <xdr:colOff>0</xdr:colOff>
          <xdr:row>13</xdr:row>
          <xdr:rowOff>0</xdr:rowOff>
        </xdr:to>
        <xdr:sp macro="" textlink="">
          <xdr:nvSpPr>
            <xdr:cNvPr id="11292" name="Group Box 28" hidden="1">
              <a:extLst>
                <a:ext uri="{63B3BB69-23CF-44E3-9099-C40C66FF867C}">
                  <a14:compatExt spid="_x0000_s11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12</xdr:row>
          <xdr:rowOff>0</xdr:rowOff>
        </xdr:from>
        <xdr:to>
          <xdr:col>2</xdr:col>
          <xdr:colOff>476250</xdr:colOff>
          <xdr:row>12</xdr:row>
          <xdr:rowOff>276225</xdr:rowOff>
        </xdr:to>
        <xdr:sp macro="" textlink="">
          <xdr:nvSpPr>
            <xdr:cNvPr id="11293" name="Option Button 29" hidden="1">
              <a:extLst>
                <a:ext uri="{63B3BB69-23CF-44E3-9099-C40C66FF867C}">
                  <a14:compatExt spid="_x0000_s112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12</xdr:row>
          <xdr:rowOff>19050</xdr:rowOff>
        </xdr:from>
        <xdr:to>
          <xdr:col>3</xdr:col>
          <xdr:colOff>552450</xdr:colOff>
          <xdr:row>12</xdr:row>
          <xdr:rowOff>238125</xdr:rowOff>
        </xdr:to>
        <xdr:sp macro="" textlink="">
          <xdr:nvSpPr>
            <xdr:cNvPr id="11294" name="Option Button 30" hidden="1">
              <a:extLst>
                <a:ext uri="{63B3BB69-23CF-44E3-9099-C40C66FF867C}">
                  <a14:compatExt spid="_x0000_s112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4</xdr:col>
          <xdr:colOff>0</xdr:colOff>
          <xdr:row>14</xdr:row>
          <xdr:rowOff>0</xdr:rowOff>
        </xdr:to>
        <xdr:sp macro="" textlink="">
          <xdr:nvSpPr>
            <xdr:cNvPr id="11295" name="Group Box 31" hidden="1">
              <a:extLst>
                <a:ext uri="{63B3BB69-23CF-44E3-9099-C40C66FF867C}">
                  <a14:compatExt spid="_x0000_s112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13</xdr:row>
          <xdr:rowOff>0</xdr:rowOff>
        </xdr:from>
        <xdr:to>
          <xdr:col>2</xdr:col>
          <xdr:colOff>476250</xdr:colOff>
          <xdr:row>13</xdr:row>
          <xdr:rowOff>276225</xdr:rowOff>
        </xdr:to>
        <xdr:sp macro="" textlink="">
          <xdr:nvSpPr>
            <xdr:cNvPr id="11296" name="Option Button 32" hidden="1">
              <a:extLst>
                <a:ext uri="{63B3BB69-23CF-44E3-9099-C40C66FF867C}">
                  <a14:compatExt spid="_x0000_s112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13</xdr:row>
          <xdr:rowOff>19050</xdr:rowOff>
        </xdr:from>
        <xdr:to>
          <xdr:col>3</xdr:col>
          <xdr:colOff>552450</xdr:colOff>
          <xdr:row>13</xdr:row>
          <xdr:rowOff>238125</xdr:rowOff>
        </xdr:to>
        <xdr:sp macro="" textlink="">
          <xdr:nvSpPr>
            <xdr:cNvPr id="11297" name="Option Button 33" hidden="1">
              <a:extLst>
                <a:ext uri="{63B3BB69-23CF-44E3-9099-C40C66FF867C}">
                  <a14:compatExt spid="_x0000_s112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0</xdr:rowOff>
        </xdr:from>
        <xdr:to>
          <xdr:col>4</xdr:col>
          <xdr:colOff>0</xdr:colOff>
          <xdr:row>6</xdr:row>
          <xdr:rowOff>0</xdr:rowOff>
        </xdr:to>
        <xdr:sp macro="" textlink="">
          <xdr:nvSpPr>
            <xdr:cNvPr id="11298" name="Group Box 34" hidden="1">
              <a:extLst>
                <a:ext uri="{63B3BB69-23CF-44E3-9099-C40C66FF867C}">
                  <a14:compatExt spid="_x0000_s112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5</xdr:row>
          <xdr:rowOff>47625</xdr:rowOff>
        </xdr:from>
        <xdr:to>
          <xdr:col>2</xdr:col>
          <xdr:colOff>476250</xdr:colOff>
          <xdr:row>5</xdr:row>
          <xdr:rowOff>266700</xdr:rowOff>
        </xdr:to>
        <xdr:sp macro="" textlink="">
          <xdr:nvSpPr>
            <xdr:cNvPr id="11299" name="Option Button 35" hidden="1">
              <a:extLst>
                <a:ext uri="{63B3BB69-23CF-44E3-9099-C40C66FF867C}">
                  <a14:compatExt spid="_x0000_s112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5</xdr:row>
          <xdr:rowOff>66675</xdr:rowOff>
        </xdr:from>
        <xdr:to>
          <xdr:col>3</xdr:col>
          <xdr:colOff>552450</xdr:colOff>
          <xdr:row>6</xdr:row>
          <xdr:rowOff>0</xdr:rowOff>
        </xdr:to>
        <xdr:sp macro="" textlink="">
          <xdr:nvSpPr>
            <xdr:cNvPr id="11300" name="Option Button 36" hidden="1">
              <a:extLst>
                <a:ext uri="{63B3BB69-23CF-44E3-9099-C40C66FF867C}">
                  <a14:compatExt spid="_x0000_s113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11301" name="Group Box 37" hidden="1">
              <a:extLst>
                <a:ext uri="{63B3BB69-23CF-44E3-9099-C40C66FF867C}">
                  <a14:compatExt spid="_x0000_s113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7</xdr:row>
          <xdr:rowOff>9525</xdr:rowOff>
        </xdr:from>
        <xdr:to>
          <xdr:col>2</xdr:col>
          <xdr:colOff>476250</xdr:colOff>
          <xdr:row>7</xdr:row>
          <xdr:rowOff>285750</xdr:rowOff>
        </xdr:to>
        <xdr:sp macro="" textlink="">
          <xdr:nvSpPr>
            <xdr:cNvPr id="11302" name="Option Button 38" hidden="1">
              <a:extLst>
                <a:ext uri="{63B3BB69-23CF-44E3-9099-C40C66FF867C}">
                  <a14:compatExt spid="_x0000_s113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7</xdr:row>
          <xdr:rowOff>28575</xdr:rowOff>
        </xdr:from>
        <xdr:to>
          <xdr:col>3</xdr:col>
          <xdr:colOff>552450</xdr:colOff>
          <xdr:row>7</xdr:row>
          <xdr:rowOff>247650</xdr:rowOff>
        </xdr:to>
        <xdr:sp macro="" textlink="">
          <xdr:nvSpPr>
            <xdr:cNvPr id="11303" name="Option Button 39" hidden="1">
              <a:extLst>
                <a:ext uri="{63B3BB69-23CF-44E3-9099-C40C66FF867C}">
                  <a14:compatExt spid="_x0000_s113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0</xdr:rowOff>
        </xdr:from>
        <xdr:to>
          <xdr:col>4</xdr:col>
          <xdr:colOff>0</xdr:colOff>
          <xdr:row>12</xdr:row>
          <xdr:rowOff>0</xdr:rowOff>
        </xdr:to>
        <xdr:sp macro="" textlink="">
          <xdr:nvSpPr>
            <xdr:cNvPr id="11304" name="Group Box 40" hidden="1">
              <a:extLst>
                <a:ext uri="{63B3BB69-23CF-44E3-9099-C40C66FF867C}">
                  <a14:compatExt spid="_x0000_s113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11</xdr:row>
          <xdr:rowOff>47625</xdr:rowOff>
        </xdr:from>
        <xdr:to>
          <xdr:col>2</xdr:col>
          <xdr:colOff>476250</xdr:colOff>
          <xdr:row>11</xdr:row>
          <xdr:rowOff>266700</xdr:rowOff>
        </xdr:to>
        <xdr:sp macro="" textlink="">
          <xdr:nvSpPr>
            <xdr:cNvPr id="11305" name="Option Button 41" hidden="1">
              <a:extLst>
                <a:ext uri="{63B3BB69-23CF-44E3-9099-C40C66FF867C}">
                  <a14:compatExt spid="_x0000_s113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  <a:endParaRPr lang="de-D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11</xdr:row>
          <xdr:rowOff>38100</xdr:rowOff>
        </xdr:from>
        <xdr:to>
          <xdr:col>3</xdr:col>
          <xdr:colOff>552450</xdr:colOff>
          <xdr:row>11</xdr:row>
          <xdr:rowOff>257175</xdr:rowOff>
        </xdr:to>
        <xdr:sp macro="" textlink="">
          <xdr:nvSpPr>
            <xdr:cNvPr id="11306" name="Option Button 42" hidden="1">
              <a:extLst>
                <a:ext uri="{63B3BB69-23CF-44E3-9099-C40C66FF867C}">
                  <a14:compatExt spid="_x0000_s113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Nein</a:t>
              </a:r>
              <a:endParaRPr lang="de-DE"/>
            </a:p>
          </xdr:txBody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ief" refreshedDate="40235.546294907406" createdVersion="3" refreshedVersion="3" minRefreshableVersion="3" recordCount="10">
  <cacheSource type="worksheet">
    <worksheetSource name="StärkenSchwächen"/>
  </cacheSource>
  <cacheFields count="8">
    <cacheField name="Analysebereich" numFmtId="0">
      <sharedItems containsBlank="1" count="8">
        <s v="Strategie- und Planungssicht"/>
        <s v="Markt- und Kundensicht"/>
        <s v="Beschaffungs-, Produktions- und Technologiesicht"/>
        <s v="Finanzsicht"/>
        <s v="Organisations- und Informationssicht"/>
        <s v="Personal- und Führungssicht"/>
        <s v="Unternehmenskultur"/>
        <m/>
      </sharedItems>
    </cacheField>
    <cacheField name="Stärken" numFmtId="166">
      <sharedItems containsMixedTypes="1" containsNumber="1" minValue="0.35294117647058826" maxValue="0.8571428571428571"/>
    </cacheField>
    <cacheField name="Schwächen" numFmtId="166">
      <sharedItems containsMixedTypes="1" containsNumber="1" minValue="0.14285714285714285" maxValue="0.6470588235294118"/>
    </cacheField>
    <cacheField name="Stärken/Schwächen (interne Faktoren)" numFmtId="0">
      <sharedItems containsBlank="1" count="8">
        <s v="Fehlende schriftlich fixierte Strategie"/>
        <s v="Schwaches Marketing im Südpazifik"/>
        <s v="Weltweit führend im Forschungsbereich"/>
        <s v="Hohe Cash-Position"/>
        <s v="Sicherheitsmängel in der Web-Administration"/>
        <s v="Hohe Mitarbeitermotivation"/>
        <s v="Gute Corporate Governance"/>
        <m/>
      </sharedItems>
    </cacheField>
    <cacheField name="Gewichtung" numFmtId="164">
      <sharedItems containsString="0" containsBlank="1" containsNumber="1" containsInteger="1" minValue="1" maxValue="4" count="5">
        <n v="1"/>
        <n v="2"/>
        <n v="4"/>
        <n v="3"/>
        <m/>
      </sharedItems>
    </cacheField>
    <cacheField name="Bewertung" numFmtId="0">
      <sharedItems containsString="0" containsBlank="1" containsNumber="1" containsInteger="1" minValue="-3" maxValue="3"/>
    </cacheField>
    <cacheField name="Ergebnis" numFmtId="0">
      <sharedItems containsMixedTypes="1" containsNumber="1" containsInteger="1" minValue="-6" maxValue="12" count="7">
        <n v="-2"/>
        <n v="-6"/>
        <n v="8"/>
        <n v="12"/>
        <n v="9"/>
        <n v="4"/>
        <s v=""/>
      </sharedItems>
    </cacheField>
    <cacheField name="Zuordnung" numFmtId="0">
      <sharedItems count="3">
        <s v="Schwäche"/>
        <s v="Stärke"/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Chief" refreshedDate="40235.554602777775" createdVersion="3" refreshedVersion="3" minRefreshableVersion="3" recordCount="10">
  <cacheSource type="worksheet">
    <worksheetSource name="ChancenGefahren"/>
  </cacheSource>
  <cacheFields count="7">
    <cacheField name="Bereich" numFmtId="0">
      <sharedItems containsBlank="1"/>
    </cacheField>
    <cacheField name="Kriterien" numFmtId="0">
      <sharedItems containsBlank="1"/>
    </cacheField>
    <cacheField name="Trend/Entwicklung" numFmtId="0">
      <sharedItems containsBlank="1" count="7">
        <s v="Einkommenssteigerung 12% p.a."/>
        <s v="Gesundheitsbewusstsein zunehmend"/>
        <s v="Handelsabkommen mit China"/>
        <s v="Beschränkungen im EU-Raum zunehmend"/>
        <s v="Neue ausländische Konkurrenz"/>
        <s v="Margeneinbruch im Food-Bereich"/>
        <m/>
      </sharedItems>
    </cacheField>
    <cacheField name="Chance" numFmtId="0">
      <sharedItems containsNonDate="0" containsString="0" containsBlank="1"/>
    </cacheField>
    <cacheField name="Gefahr" numFmtId="0">
      <sharedItems containsNonDate="0" containsString="0" containsBlank="1"/>
    </cacheField>
    <cacheField name="Nr" numFmtId="0">
      <sharedItems containsString="0" containsBlank="1" containsNumber="1" containsInteger="1" minValue="1" maxValue="2" count="3">
        <n v="1"/>
        <n v="2"/>
        <m/>
      </sharedItems>
    </cacheField>
    <cacheField name="Begründu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n v="0.35294117647058826"/>
    <n v="0.6470588235294118"/>
    <x v="0"/>
    <x v="0"/>
    <n v="-2"/>
    <x v="0"/>
    <x v="0"/>
  </r>
  <r>
    <x v="1"/>
    <n v="0.72727272727272729"/>
    <n v="0.27272727272727271"/>
    <x v="1"/>
    <x v="1"/>
    <n v="-3"/>
    <x v="1"/>
    <x v="0"/>
  </r>
  <r>
    <x v="2"/>
    <n v="0.58823529411764708"/>
    <n v="0.41176470588235292"/>
    <x v="2"/>
    <x v="2"/>
    <n v="2"/>
    <x v="2"/>
    <x v="1"/>
  </r>
  <r>
    <x v="3"/>
    <n v="0.7"/>
    <n v="0.3"/>
    <x v="3"/>
    <x v="2"/>
    <n v="3"/>
    <x v="3"/>
    <x v="1"/>
  </r>
  <r>
    <x v="4"/>
    <n v="0.76923076923076927"/>
    <n v="0.23076923076923078"/>
    <x v="4"/>
    <x v="3"/>
    <n v="-2"/>
    <x v="1"/>
    <x v="0"/>
  </r>
  <r>
    <x v="5"/>
    <n v="0.8571428571428571"/>
    <n v="0.14285714285714285"/>
    <x v="5"/>
    <x v="3"/>
    <n v="3"/>
    <x v="4"/>
    <x v="1"/>
  </r>
  <r>
    <x v="6"/>
    <n v="0.77777777777777779"/>
    <n v="0.22222222222222221"/>
    <x v="6"/>
    <x v="1"/>
    <n v="2"/>
    <x v="5"/>
    <x v="1"/>
  </r>
  <r>
    <x v="7"/>
    <s v=""/>
    <s v=""/>
    <x v="7"/>
    <x v="4"/>
    <m/>
    <x v="6"/>
    <x v="2"/>
  </r>
  <r>
    <x v="7"/>
    <s v=""/>
    <s v=""/>
    <x v="7"/>
    <x v="4"/>
    <m/>
    <x v="6"/>
    <x v="2"/>
  </r>
  <r>
    <x v="7"/>
    <s v=""/>
    <s v=""/>
    <x v="7"/>
    <x v="4"/>
    <m/>
    <x v="6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">
  <r>
    <s v="Ökonomische Umwelt"/>
    <s v="Wirtschafts- und Handelspolitik"/>
    <x v="0"/>
    <m/>
    <m/>
    <x v="0"/>
    <s v="Neue Märkte für Bioprodukte in Deutschland/Ost und Fernost"/>
  </r>
  <r>
    <s v="Soziale Umwelt"/>
    <s v="Konsumentenverhalten"/>
    <x v="1"/>
    <m/>
    <m/>
    <x v="0"/>
    <s v="Bioprodukte sind im Trend"/>
  </r>
  <r>
    <s v="Technologische Umwelt"/>
    <s v="Produktionsmethoden/-verfahren"/>
    <x v="2"/>
    <m/>
    <m/>
    <x v="0"/>
    <s v="Pressebericht Spiegel 3/10"/>
  </r>
  <r>
    <s v="Politische und rechtliche Umwelt"/>
    <s v="Regulierungen bestimmter Lebensbereiche (z.B. Umweltschutz)"/>
    <x v="3"/>
    <m/>
    <m/>
    <x v="1"/>
    <s v="neue EU-Verordnungen"/>
  </r>
  <r>
    <s v="Ökonomische Umwelt"/>
    <s v="Wirtschafts- und Handelspolitik"/>
    <x v="4"/>
    <m/>
    <m/>
    <x v="1"/>
    <s v="Billigprodukte aus Fernost"/>
  </r>
  <r>
    <s v="Ökonomische Umwelt"/>
    <s v="Wachstum"/>
    <x v="5"/>
    <m/>
    <m/>
    <x v="1"/>
    <s v="13% Rückgang bei Milch/Soja"/>
  </r>
  <r>
    <m/>
    <m/>
    <x v="6"/>
    <m/>
    <m/>
    <x v="2"/>
    <m/>
  </r>
  <r>
    <m/>
    <m/>
    <x v="6"/>
    <m/>
    <m/>
    <x v="2"/>
    <m/>
  </r>
  <r>
    <m/>
    <m/>
    <x v="6"/>
    <m/>
    <m/>
    <x v="2"/>
    <m/>
  </r>
  <r>
    <m/>
    <m/>
    <x v="6"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Werte" updatedVersion="3" minRefreshableVersion="3" showCalcMbrs="0" useAutoFormatting="1" rowGrandTotals="0" itemPrintTitles="1" createdVersion="3" indent="0" showHeaders="0" outline="1" outlineData="1" multipleFieldFilters="0">
  <location ref="A5:A8" firstHeaderRow="0" firstDataRow="0" firstDataCol="1" rowPageCount="1" colPageCount="1"/>
  <pivotFields count="8">
    <pivotField showAll="0">
      <items count="9">
        <item x="2"/>
        <item x="3"/>
        <item x="1"/>
        <item x="4"/>
        <item x="5"/>
        <item x="0"/>
        <item x="6"/>
        <item x="7"/>
        <item t="default"/>
      </items>
    </pivotField>
    <pivotField showAll="0"/>
    <pivotField showAll="0"/>
    <pivotField axis="axisRow" showAll="0">
      <items count="9">
        <item x="0"/>
        <item x="6"/>
        <item x="3"/>
        <item x="5"/>
        <item x="1"/>
        <item x="4"/>
        <item x="2"/>
        <item x="7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showAll="0"/>
    <pivotField showAll="0">
      <items count="8">
        <item x="1"/>
        <item x="0"/>
        <item x="5"/>
        <item x="2"/>
        <item x="4"/>
        <item x="3"/>
        <item x="6"/>
        <item t="default"/>
      </items>
    </pivotField>
    <pivotField axis="axisPage" showAll="0">
      <items count="4">
        <item x="2"/>
        <item x="0"/>
        <item x="1"/>
        <item t="default"/>
      </items>
    </pivotField>
  </pivotFields>
  <rowFields count="1">
    <field x="3"/>
  </rowFields>
  <rowItems count="4">
    <i>
      <x v="1"/>
    </i>
    <i>
      <x v="2"/>
    </i>
    <i>
      <x v="3"/>
    </i>
    <i>
      <x v="6"/>
    </i>
  </rowItems>
  <colItems count="1">
    <i/>
  </colItems>
  <pageFields count="1">
    <pageField fld="7" item="2" hier="-1"/>
  </pageFields>
  <formats count="1">
    <format dxfId="3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Werte" updatedVersion="3" minRefreshableVersion="3" showCalcMbrs="0" useAutoFormatting="1" rowGrandTotals="0" itemPrintTitles="1" createdVersion="3" indent="0" showHeaders="0" outline="1" outlineData="1" multipleFieldFilters="0">
  <location ref="D15:D17" firstHeaderRow="0" firstDataRow="0" firstDataCol="1" rowPageCount="1" colPageCount="1"/>
  <pivotFields count="7">
    <pivotField showAll="0"/>
    <pivotField showAll="0"/>
    <pivotField axis="axisRow" showAll="0">
      <items count="8">
        <item x="3"/>
        <item x="0"/>
        <item x="1"/>
        <item x="2"/>
        <item x="5"/>
        <item x="4"/>
        <item x="6"/>
        <item t="default"/>
      </items>
    </pivotField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</pivotFields>
  <rowFields count="1">
    <field x="2"/>
  </rowFields>
  <rowItems count="3">
    <i>
      <x/>
    </i>
    <i>
      <x v="4"/>
    </i>
    <i>
      <x v="5"/>
    </i>
  </rowItems>
  <colItems count="1">
    <i/>
  </colItems>
  <pageFields count="1">
    <pageField fld="5" item="1" hier="-1"/>
  </page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Werte" updatedVersion="3" minRefreshableVersion="3" showCalcMbrs="0" useAutoFormatting="1" rowGrandTotals="0" itemPrintTitles="1" createdVersion="3" indent="0" showHeaders="0" outline="1" outlineData="1" multipleFieldFilters="0">
  <location ref="A15:A17" firstHeaderRow="0" firstDataRow="0" firstDataCol="1" rowPageCount="1" colPageCount="1"/>
  <pivotFields count="7">
    <pivotField showAll="0"/>
    <pivotField showAll="0"/>
    <pivotField axis="axisRow" showAll="0">
      <items count="8">
        <item x="3"/>
        <item x="0"/>
        <item x="1"/>
        <item x="2"/>
        <item x="5"/>
        <item x="4"/>
        <item x="6"/>
        <item t="default"/>
      </items>
    </pivotField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</pivotFields>
  <rowFields count="1">
    <field x="2"/>
  </rowFields>
  <rowItems count="3">
    <i>
      <x v="1"/>
    </i>
    <i>
      <x v="2"/>
    </i>
    <i>
      <x v="3"/>
    </i>
  </rowItems>
  <colItems count="1">
    <i/>
  </colItems>
  <pageFields count="1">
    <pageField fld="5" item="0" hier="-1"/>
  </page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Werte" updatedVersion="3" minRefreshableVersion="3" showCalcMbrs="0" useAutoFormatting="1" rowGrandTotals="0" itemPrintTitles="1" createdVersion="3" indent="0" showHeaders="0" outline="1" outlineData="1" multipleFieldFilters="0">
  <location ref="D5:D7" firstHeaderRow="0" firstDataRow="0" firstDataCol="1" rowPageCount="1" colPageCount="1"/>
  <pivotFields count="8">
    <pivotField showAll="0">
      <items count="9">
        <item x="2"/>
        <item x="3"/>
        <item x="1"/>
        <item x="4"/>
        <item x="5"/>
        <item x="0"/>
        <item x="6"/>
        <item x="7"/>
        <item t="default"/>
      </items>
    </pivotField>
    <pivotField showAll="0"/>
    <pivotField showAll="0"/>
    <pivotField axis="axisRow" showAll="0">
      <items count="9">
        <item x="0"/>
        <item x="6"/>
        <item x="3"/>
        <item x="5"/>
        <item x="1"/>
        <item x="4"/>
        <item x="2"/>
        <item x="7"/>
        <item t="default"/>
      </items>
    </pivotField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</pivotFields>
  <rowFields count="1">
    <field x="3"/>
  </rowFields>
  <rowItems count="3">
    <i>
      <x/>
    </i>
    <i>
      <x v="4"/>
    </i>
    <i>
      <x v="5"/>
    </i>
  </rowItems>
  <colItems count="1">
    <i/>
  </colItems>
  <pageFields count="1">
    <pageField fld="7" item="1" hier="-1"/>
  </page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40.xml"/><Relationship Id="rId18" Type="http://schemas.openxmlformats.org/officeDocument/2006/relationships/ctrlProp" Target="../ctrlProps/ctrlProp45.xml"/><Relationship Id="rId26" Type="http://schemas.openxmlformats.org/officeDocument/2006/relationships/ctrlProp" Target="../ctrlProps/ctrlProp53.xml"/><Relationship Id="rId39" Type="http://schemas.openxmlformats.org/officeDocument/2006/relationships/ctrlProp" Target="../ctrlProps/ctrlProp66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48.xml"/><Relationship Id="rId34" Type="http://schemas.openxmlformats.org/officeDocument/2006/relationships/ctrlProp" Target="../ctrlProps/ctrlProp61.xml"/><Relationship Id="rId42" Type="http://schemas.openxmlformats.org/officeDocument/2006/relationships/ctrlProp" Target="../ctrlProps/ctrlProp69.xml"/><Relationship Id="rId47" Type="http://schemas.openxmlformats.org/officeDocument/2006/relationships/ctrlProp" Target="../ctrlProps/ctrlProp74.xml"/><Relationship Id="rId50" Type="http://schemas.openxmlformats.org/officeDocument/2006/relationships/ctrlProp" Target="../ctrlProps/ctrlProp77.xml"/><Relationship Id="rId7" Type="http://schemas.openxmlformats.org/officeDocument/2006/relationships/ctrlProp" Target="../ctrlProps/ctrlProp34.xml"/><Relationship Id="rId12" Type="http://schemas.openxmlformats.org/officeDocument/2006/relationships/ctrlProp" Target="../ctrlProps/ctrlProp39.xml"/><Relationship Id="rId17" Type="http://schemas.openxmlformats.org/officeDocument/2006/relationships/ctrlProp" Target="../ctrlProps/ctrlProp44.xml"/><Relationship Id="rId25" Type="http://schemas.openxmlformats.org/officeDocument/2006/relationships/ctrlProp" Target="../ctrlProps/ctrlProp52.xml"/><Relationship Id="rId33" Type="http://schemas.openxmlformats.org/officeDocument/2006/relationships/ctrlProp" Target="../ctrlProps/ctrlProp60.xml"/><Relationship Id="rId38" Type="http://schemas.openxmlformats.org/officeDocument/2006/relationships/ctrlProp" Target="../ctrlProps/ctrlProp65.xml"/><Relationship Id="rId46" Type="http://schemas.openxmlformats.org/officeDocument/2006/relationships/ctrlProp" Target="../ctrlProps/ctrlProp73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43.xml"/><Relationship Id="rId20" Type="http://schemas.openxmlformats.org/officeDocument/2006/relationships/ctrlProp" Target="../ctrlProps/ctrlProp47.xml"/><Relationship Id="rId29" Type="http://schemas.openxmlformats.org/officeDocument/2006/relationships/ctrlProp" Target="../ctrlProps/ctrlProp56.xml"/><Relationship Id="rId41" Type="http://schemas.openxmlformats.org/officeDocument/2006/relationships/ctrlProp" Target="../ctrlProps/ctrlProp68.xml"/><Relationship Id="rId54" Type="http://schemas.openxmlformats.org/officeDocument/2006/relationships/ctrlProp" Target="../ctrlProps/ctrlProp8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3.xml"/><Relationship Id="rId11" Type="http://schemas.openxmlformats.org/officeDocument/2006/relationships/ctrlProp" Target="../ctrlProps/ctrlProp38.xml"/><Relationship Id="rId24" Type="http://schemas.openxmlformats.org/officeDocument/2006/relationships/ctrlProp" Target="../ctrlProps/ctrlProp51.xml"/><Relationship Id="rId32" Type="http://schemas.openxmlformats.org/officeDocument/2006/relationships/ctrlProp" Target="../ctrlProps/ctrlProp59.xml"/><Relationship Id="rId37" Type="http://schemas.openxmlformats.org/officeDocument/2006/relationships/ctrlProp" Target="../ctrlProps/ctrlProp64.xml"/><Relationship Id="rId40" Type="http://schemas.openxmlformats.org/officeDocument/2006/relationships/ctrlProp" Target="../ctrlProps/ctrlProp67.xml"/><Relationship Id="rId45" Type="http://schemas.openxmlformats.org/officeDocument/2006/relationships/ctrlProp" Target="../ctrlProps/ctrlProp72.xml"/><Relationship Id="rId53" Type="http://schemas.openxmlformats.org/officeDocument/2006/relationships/ctrlProp" Target="../ctrlProps/ctrlProp80.xml"/><Relationship Id="rId5" Type="http://schemas.openxmlformats.org/officeDocument/2006/relationships/ctrlProp" Target="../ctrlProps/ctrlProp32.xml"/><Relationship Id="rId15" Type="http://schemas.openxmlformats.org/officeDocument/2006/relationships/ctrlProp" Target="../ctrlProps/ctrlProp42.xml"/><Relationship Id="rId23" Type="http://schemas.openxmlformats.org/officeDocument/2006/relationships/ctrlProp" Target="../ctrlProps/ctrlProp50.xml"/><Relationship Id="rId28" Type="http://schemas.openxmlformats.org/officeDocument/2006/relationships/ctrlProp" Target="../ctrlProps/ctrlProp55.xml"/><Relationship Id="rId36" Type="http://schemas.openxmlformats.org/officeDocument/2006/relationships/ctrlProp" Target="../ctrlProps/ctrlProp63.xml"/><Relationship Id="rId49" Type="http://schemas.openxmlformats.org/officeDocument/2006/relationships/ctrlProp" Target="../ctrlProps/ctrlProp76.xml"/><Relationship Id="rId10" Type="http://schemas.openxmlformats.org/officeDocument/2006/relationships/ctrlProp" Target="../ctrlProps/ctrlProp37.xml"/><Relationship Id="rId19" Type="http://schemas.openxmlformats.org/officeDocument/2006/relationships/ctrlProp" Target="../ctrlProps/ctrlProp46.xml"/><Relationship Id="rId31" Type="http://schemas.openxmlformats.org/officeDocument/2006/relationships/ctrlProp" Target="../ctrlProps/ctrlProp58.xml"/><Relationship Id="rId44" Type="http://schemas.openxmlformats.org/officeDocument/2006/relationships/ctrlProp" Target="../ctrlProps/ctrlProp71.xml"/><Relationship Id="rId52" Type="http://schemas.openxmlformats.org/officeDocument/2006/relationships/ctrlProp" Target="../ctrlProps/ctrlProp79.xml"/><Relationship Id="rId4" Type="http://schemas.openxmlformats.org/officeDocument/2006/relationships/ctrlProp" Target="../ctrlProps/ctrlProp31.xml"/><Relationship Id="rId9" Type="http://schemas.openxmlformats.org/officeDocument/2006/relationships/ctrlProp" Target="../ctrlProps/ctrlProp36.xml"/><Relationship Id="rId14" Type="http://schemas.openxmlformats.org/officeDocument/2006/relationships/ctrlProp" Target="../ctrlProps/ctrlProp41.xml"/><Relationship Id="rId22" Type="http://schemas.openxmlformats.org/officeDocument/2006/relationships/ctrlProp" Target="../ctrlProps/ctrlProp49.xml"/><Relationship Id="rId27" Type="http://schemas.openxmlformats.org/officeDocument/2006/relationships/ctrlProp" Target="../ctrlProps/ctrlProp54.xml"/><Relationship Id="rId30" Type="http://schemas.openxmlformats.org/officeDocument/2006/relationships/ctrlProp" Target="../ctrlProps/ctrlProp57.xml"/><Relationship Id="rId35" Type="http://schemas.openxmlformats.org/officeDocument/2006/relationships/ctrlProp" Target="../ctrlProps/ctrlProp62.xml"/><Relationship Id="rId43" Type="http://schemas.openxmlformats.org/officeDocument/2006/relationships/ctrlProp" Target="../ctrlProps/ctrlProp70.xml"/><Relationship Id="rId48" Type="http://schemas.openxmlformats.org/officeDocument/2006/relationships/ctrlProp" Target="../ctrlProps/ctrlProp75.xml"/><Relationship Id="rId8" Type="http://schemas.openxmlformats.org/officeDocument/2006/relationships/ctrlProp" Target="../ctrlProps/ctrlProp35.xml"/><Relationship Id="rId51" Type="http://schemas.openxmlformats.org/officeDocument/2006/relationships/ctrlProp" Target="../ctrlProps/ctrlProp78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91.xml"/><Relationship Id="rId18" Type="http://schemas.openxmlformats.org/officeDocument/2006/relationships/ctrlProp" Target="../ctrlProps/ctrlProp96.xml"/><Relationship Id="rId26" Type="http://schemas.openxmlformats.org/officeDocument/2006/relationships/ctrlProp" Target="../ctrlProps/ctrlProp104.xml"/><Relationship Id="rId39" Type="http://schemas.openxmlformats.org/officeDocument/2006/relationships/ctrlProp" Target="../ctrlProps/ctrlProp117.xml"/><Relationship Id="rId21" Type="http://schemas.openxmlformats.org/officeDocument/2006/relationships/ctrlProp" Target="../ctrlProps/ctrlProp99.xml"/><Relationship Id="rId34" Type="http://schemas.openxmlformats.org/officeDocument/2006/relationships/ctrlProp" Target="../ctrlProps/ctrlProp112.xml"/><Relationship Id="rId42" Type="http://schemas.openxmlformats.org/officeDocument/2006/relationships/ctrlProp" Target="../ctrlProps/ctrlProp120.xml"/><Relationship Id="rId47" Type="http://schemas.openxmlformats.org/officeDocument/2006/relationships/ctrlProp" Target="../ctrlProps/ctrlProp125.xml"/><Relationship Id="rId50" Type="http://schemas.openxmlformats.org/officeDocument/2006/relationships/ctrlProp" Target="../ctrlProps/ctrlProp128.xml"/><Relationship Id="rId55" Type="http://schemas.openxmlformats.org/officeDocument/2006/relationships/ctrlProp" Target="../ctrlProps/ctrlProp133.xml"/><Relationship Id="rId63" Type="http://schemas.openxmlformats.org/officeDocument/2006/relationships/ctrlProp" Target="../ctrlProps/ctrlProp141.xml"/><Relationship Id="rId7" Type="http://schemas.openxmlformats.org/officeDocument/2006/relationships/ctrlProp" Target="../ctrlProps/ctrlProp85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94.xml"/><Relationship Id="rId29" Type="http://schemas.openxmlformats.org/officeDocument/2006/relationships/ctrlProp" Target="../ctrlProps/ctrlProp107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84.xml"/><Relationship Id="rId11" Type="http://schemas.openxmlformats.org/officeDocument/2006/relationships/ctrlProp" Target="../ctrlProps/ctrlProp89.xml"/><Relationship Id="rId24" Type="http://schemas.openxmlformats.org/officeDocument/2006/relationships/ctrlProp" Target="../ctrlProps/ctrlProp102.xml"/><Relationship Id="rId32" Type="http://schemas.openxmlformats.org/officeDocument/2006/relationships/ctrlProp" Target="../ctrlProps/ctrlProp110.xml"/><Relationship Id="rId37" Type="http://schemas.openxmlformats.org/officeDocument/2006/relationships/ctrlProp" Target="../ctrlProps/ctrlProp115.xml"/><Relationship Id="rId40" Type="http://schemas.openxmlformats.org/officeDocument/2006/relationships/ctrlProp" Target="../ctrlProps/ctrlProp118.xml"/><Relationship Id="rId45" Type="http://schemas.openxmlformats.org/officeDocument/2006/relationships/ctrlProp" Target="../ctrlProps/ctrlProp123.xml"/><Relationship Id="rId53" Type="http://schemas.openxmlformats.org/officeDocument/2006/relationships/ctrlProp" Target="../ctrlProps/ctrlProp131.xml"/><Relationship Id="rId58" Type="http://schemas.openxmlformats.org/officeDocument/2006/relationships/ctrlProp" Target="../ctrlProps/ctrlProp136.xml"/><Relationship Id="rId66" Type="http://schemas.openxmlformats.org/officeDocument/2006/relationships/ctrlProp" Target="../ctrlProps/ctrlProp144.xml"/><Relationship Id="rId5" Type="http://schemas.openxmlformats.org/officeDocument/2006/relationships/ctrlProp" Target="../ctrlProps/ctrlProp83.xml"/><Relationship Id="rId15" Type="http://schemas.openxmlformats.org/officeDocument/2006/relationships/ctrlProp" Target="../ctrlProps/ctrlProp93.xml"/><Relationship Id="rId23" Type="http://schemas.openxmlformats.org/officeDocument/2006/relationships/ctrlProp" Target="../ctrlProps/ctrlProp101.xml"/><Relationship Id="rId28" Type="http://schemas.openxmlformats.org/officeDocument/2006/relationships/ctrlProp" Target="../ctrlProps/ctrlProp106.xml"/><Relationship Id="rId36" Type="http://schemas.openxmlformats.org/officeDocument/2006/relationships/ctrlProp" Target="../ctrlProps/ctrlProp114.xml"/><Relationship Id="rId49" Type="http://schemas.openxmlformats.org/officeDocument/2006/relationships/ctrlProp" Target="../ctrlProps/ctrlProp127.xml"/><Relationship Id="rId57" Type="http://schemas.openxmlformats.org/officeDocument/2006/relationships/ctrlProp" Target="../ctrlProps/ctrlProp135.xml"/><Relationship Id="rId61" Type="http://schemas.openxmlformats.org/officeDocument/2006/relationships/ctrlProp" Target="../ctrlProps/ctrlProp139.xml"/><Relationship Id="rId10" Type="http://schemas.openxmlformats.org/officeDocument/2006/relationships/ctrlProp" Target="../ctrlProps/ctrlProp88.xml"/><Relationship Id="rId19" Type="http://schemas.openxmlformats.org/officeDocument/2006/relationships/ctrlProp" Target="../ctrlProps/ctrlProp97.xml"/><Relationship Id="rId31" Type="http://schemas.openxmlformats.org/officeDocument/2006/relationships/ctrlProp" Target="../ctrlProps/ctrlProp109.xml"/><Relationship Id="rId44" Type="http://schemas.openxmlformats.org/officeDocument/2006/relationships/ctrlProp" Target="../ctrlProps/ctrlProp122.xml"/><Relationship Id="rId52" Type="http://schemas.openxmlformats.org/officeDocument/2006/relationships/ctrlProp" Target="../ctrlProps/ctrlProp130.xml"/><Relationship Id="rId60" Type="http://schemas.openxmlformats.org/officeDocument/2006/relationships/ctrlProp" Target="../ctrlProps/ctrlProp138.xml"/><Relationship Id="rId65" Type="http://schemas.openxmlformats.org/officeDocument/2006/relationships/ctrlProp" Target="../ctrlProps/ctrlProp143.xml"/><Relationship Id="rId4" Type="http://schemas.openxmlformats.org/officeDocument/2006/relationships/ctrlProp" Target="../ctrlProps/ctrlProp82.xml"/><Relationship Id="rId9" Type="http://schemas.openxmlformats.org/officeDocument/2006/relationships/ctrlProp" Target="../ctrlProps/ctrlProp87.xml"/><Relationship Id="rId14" Type="http://schemas.openxmlformats.org/officeDocument/2006/relationships/ctrlProp" Target="../ctrlProps/ctrlProp92.xml"/><Relationship Id="rId22" Type="http://schemas.openxmlformats.org/officeDocument/2006/relationships/ctrlProp" Target="../ctrlProps/ctrlProp100.xml"/><Relationship Id="rId27" Type="http://schemas.openxmlformats.org/officeDocument/2006/relationships/ctrlProp" Target="../ctrlProps/ctrlProp105.xml"/><Relationship Id="rId30" Type="http://schemas.openxmlformats.org/officeDocument/2006/relationships/ctrlProp" Target="../ctrlProps/ctrlProp108.xml"/><Relationship Id="rId35" Type="http://schemas.openxmlformats.org/officeDocument/2006/relationships/ctrlProp" Target="../ctrlProps/ctrlProp113.xml"/><Relationship Id="rId43" Type="http://schemas.openxmlformats.org/officeDocument/2006/relationships/ctrlProp" Target="../ctrlProps/ctrlProp121.xml"/><Relationship Id="rId48" Type="http://schemas.openxmlformats.org/officeDocument/2006/relationships/ctrlProp" Target="../ctrlProps/ctrlProp126.xml"/><Relationship Id="rId56" Type="http://schemas.openxmlformats.org/officeDocument/2006/relationships/ctrlProp" Target="../ctrlProps/ctrlProp134.xml"/><Relationship Id="rId64" Type="http://schemas.openxmlformats.org/officeDocument/2006/relationships/ctrlProp" Target="../ctrlProps/ctrlProp142.xml"/><Relationship Id="rId8" Type="http://schemas.openxmlformats.org/officeDocument/2006/relationships/ctrlProp" Target="../ctrlProps/ctrlProp86.xml"/><Relationship Id="rId51" Type="http://schemas.openxmlformats.org/officeDocument/2006/relationships/ctrlProp" Target="../ctrlProps/ctrlProp129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90.xml"/><Relationship Id="rId17" Type="http://schemas.openxmlformats.org/officeDocument/2006/relationships/ctrlProp" Target="../ctrlProps/ctrlProp95.xml"/><Relationship Id="rId25" Type="http://schemas.openxmlformats.org/officeDocument/2006/relationships/ctrlProp" Target="../ctrlProps/ctrlProp103.xml"/><Relationship Id="rId33" Type="http://schemas.openxmlformats.org/officeDocument/2006/relationships/ctrlProp" Target="../ctrlProps/ctrlProp111.xml"/><Relationship Id="rId38" Type="http://schemas.openxmlformats.org/officeDocument/2006/relationships/ctrlProp" Target="../ctrlProps/ctrlProp116.xml"/><Relationship Id="rId46" Type="http://schemas.openxmlformats.org/officeDocument/2006/relationships/ctrlProp" Target="../ctrlProps/ctrlProp124.xml"/><Relationship Id="rId59" Type="http://schemas.openxmlformats.org/officeDocument/2006/relationships/ctrlProp" Target="../ctrlProps/ctrlProp137.xml"/><Relationship Id="rId67" Type="http://schemas.openxmlformats.org/officeDocument/2006/relationships/ctrlProp" Target="../ctrlProps/ctrlProp145.xml"/><Relationship Id="rId20" Type="http://schemas.openxmlformats.org/officeDocument/2006/relationships/ctrlProp" Target="../ctrlProps/ctrlProp98.xml"/><Relationship Id="rId41" Type="http://schemas.openxmlformats.org/officeDocument/2006/relationships/ctrlProp" Target="../ctrlProps/ctrlProp119.xml"/><Relationship Id="rId54" Type="http://schemas.openxmlformats.org/officeDocument/2006/relationships/ctrlProp" Target="../ctrlProps/ctrlProp132.xml"/><Relationship Id="rId62" Type="http://schemas.openxmlformats.org/officeDocument/2006/relationships/ctrlProp" Target="../ctrlProps/ctrlProp140.x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55.xml"/><Relationship Id="rId18" Type="http://schemas.openxmlformats.org/officeDocument/2006/relationships/ctrlProp" Target="../ctrlProps/ctrlProp160.xml"/><Relationship Id="rId26" Type="http://schemas.openxmlformats.org/officeDocument/2006/relationships/ctrlProp" Target="../ctrlProps/ctrlProp168.xml"/><Relationship Id="rId39" Type="http://schemas.openxmlformats.org/officeDocument/2006/relationships/ctrlProp" Target="../ctrlProps/ctrlProp181.xml"/><Relationship Id="rId21" Type="http://schemas.openxmlformats.org/officeDocument/2006/relationships/ctrlProp" Target="../ctrlProps/ctrlProp163.xml"/><Relationship Id="rId34" Type="http://schemas.openxmlformats.org/officeDocument/2006/relationships/ctrlProp" Target="../ctrlProps/ctrlProp176.xml"/><Relationship Id="rId42" Type="http://schemas.openxmlformats.org/officeDocument/2006/relationships/ctrlProp" Target="../ctrlProps/ctrlProp184.xml"/><Relationship Id="rId47" Type="http://schemas.openxmlformats.org/officeDocument/2006/relationships/ctrlProp" Target="../ctrlProps/ctrlProp189.xml"/><Relationship Id="rId50" Type="http://schemas.openxmlformats.org/officeDocument/2006/relationships/ctrlProp" Target="../ctrlProps/ctrlProp192.xml"/><Relationship Id="rId55" Type="http://schemas.openxmlformats.org/officeDocument/2006/relationships/ctrlProp" Target="../ctrlProps/ctrlProp197.xml"/><Relationship Id="rId63" Type="http://schemas.openxmlformats.org/officeDocument/2006/relationships/ctrlProp" Target="../ctrlProps/ctrlProp205.xml"/><Relationship Id="rId7" Type="http://schemas.openxmlformats.org/officeDocument/2006/relationships/ctrlProp" Target="../ctrlProps/ctrlProp149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158.xml"/><Relationship Id="rId20" Type="http://schemas.openxmlformats.org/officeDocument/2006/relationships/ctrlProp" Target="../ctrlProps/ctrlProp162.xml"/><Relationship Id="rId29" Type="http://schemas.openxmlformats.org/officeDocument/2006/relationships/ctrlProp" Target="../ctrlProps/ctrlProp171.xml"/><Relationship Id="rId41" Type="http://schemas.openxmlformats.org/officeDocument/2006/relationships/ctrlProp" Target="../ctrlProps/ctrlProp183.xml"/><Relationship Id="rId54" Type="http://schemas.openxmlformats.org/officeDocument/2006/relationships/ctrlProp" Target="../ctrlProps/ctrlProp196.xml"/><Relationship Id="rId62" Type="http://schemas.openxmlformats.org/officeDocument/2006/relationships/ctrlProp" Target="../ctrlProps/ctrlProp204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48.xml"/><Relationship Id="rId11" Type="http://schemas.openxmlformats.org/officeDocument/2006/relationships/ctrlProp" Target="../ctrlProps/ctrlProp153.xml"/><Relationship Id="rId24" Type="http://schemas.openxmlformats.org/officeDocument/2006/relationships/ctrlProp" Target="../ctrlProps/ctrlProp166.xml"/><Relationship Id="rId32" Type="http://schemas.openxmlformats.org/officeDocument/2006/relationships/ctrlProp" Target="../ctrlProps/ctrlProp174.xml"/><Relationship Id="rId37" Type="http://schemas.openxmlformats.org/officeDocument/2006/relationships/ctrlProp" Target="../ctrlProps/ctrlProp179.xml"/><Relationship Id="rId40" Type="http://schemas.openxmlformats.org/officeDocument/2006/relationships/ctrlProp" Target="../ctrlProps/ctrlProp182.xml"/><Relationship Id="rId45" Type="http://schemas.openxmlformats.org/officeDocument/2006/relationships/ctrlProp" Target="../ctrlProps/ctrlProp187.xml"/><Relationship Id="rId53" Type="http://schemas.openxmlformats.org/officeDocument/2006/relationships/ctrlProp" Target="../ctrlProps/ctrlProp195.xml"/><Relationship Id="rId58" Type="http://schemas.openxmlformats.org/officeDocument/2006/relationships/ctrlProp" Target="../ctrlProps/ctrlProp200.xml"/><Relationship Id="rId5" Type="http://schemas.openxmlformats.org/officeDocument/2006/relationships/ctrlProp" Target="../ctrlProps/ctrlProp147.xml"/><Relationship Id="rId15" Type="http://schemas.openxmlformats.org/officeDocument/2006/relationships/ctrlProp" Target="../ctrlProps/ctrlProp157.xml"/><Relationship Id="rId23" Type="http://schemas.openxmlformats.org/officeDocument/2006/relationships/ctrlProp" Target="../ctrlProps/ctrlProp165.xml"/><Relationship Id="rId28" Type="http://schemas.openxmlformats.org/officeDocument/2006/relationships/ctrlProp" Target="../ctrlProps/ctrlProp170.xml"/><Relationship Id="rId36" Type="http://schemas.openxmlformats.org/officeDocument/2006/relationships/ctrlProp" Target="../ctrlProps/ctrlProp178.xml"/><Relationship Id="rId49" Type="http://schemas.openxmlformats.org/officeDocument/2006/relationships/ctrlProp" Target="../ctrlProps/ctrlProp191.xml"/><Relationship Id="rId57" Type="http://schemas.openxmlformats.org/officeDocument/2006/relationships/ctrlProp" Target="../ctrlProps/ctrlProp199.xml"/><Relationship Id="rId61" Type="http://schemas.openxmlformats.org/officeDocument/2006/relationships/ctrlProp" Target="../ctrlProps/ctrlProp203.xml"/><Relationship Id="rId10" Type="http://schemas.openxmlformats.org/officeDocument/2006/relationships/ctrlProp" Target="../ctrlProps/ctrlProp152.xml"/><Relationship Id="rId19" Type="http://schemas.openxmlformats.org/officeDocument/2006/relationships/ctrlProp" Target="../ctrlProps/ctrlProp161.xml"/><Relationship Id="rId31" Type="http://schemas.openxmlformats.org/officeDocument/2006/relationships/ctrlProp" Target="../ctrlProps/ctrlProp173.xml"/><Relationship Id="rId44" Type="http://schemas.openxmlformats.org/officeDocument/2006/relationships/ctrlProp" Target="../ctrlProps/ctrlProp186.xml"/><Relationship Id="rId52" Type="http://schemas.openxmlformats.org/officeDocument/2006/relationships/ctrlProp" Target="../ctrlProps/ctrlProp194.xml"/><Relationship Id="rId60" Type="http://schemas.openxmlformats.org/officeDocument/2006/relationships/ctrlProp" Target="../ctrlProps/ctrlProp202.xml"/><Relationship Id="rId4" Type="http://schemas.openxmlformats.org/officeDocument/2006/relationships/ctrlProp" Target="../ctrlProps/ctrlProp146.xml"/><Relationship Id="rId9" Type="http://schemas.openxmlformats.org/officeDocument/2006/relationships/ctrlProp" Target="../ctrlProps/ctrlProp151.xml"/><Relationship Id="rId14" Type="http://schemas.openxmlformats.org/officeDocument/2006/relationships/ctrlProp" Target="../ctrlProps/ctrlProp156.xml"/><Relationship Id="rId22" Type="http://schemas.openxmlformats.org/officeDocument/2006/relationships/ctrlProp" Target="../ctrlProps/ctrlProp164.xml"/><Relationship Id="rId27" Type="http://schemas.openxmlformats.org/officeDocument/2006/relationships/ctrlProp" Target="../ctrlProps/ctrlProp169.xml"/><Relationship Id="rId30" Type="http://schemas.openxmlformats.org/officeDocument/2006/relationships/ctrlProp" Target="../ctrlProps/ctrlProp172.xml"/><Relationship Id="rId35" Type="http://schemas.openxmlformats.org/officeDocument/2006/relationships/ctrlProp" Target="../ctrlProps/ctrlProp177.xml"/><Relationship Id="rId43" Type="http://schemas.openxmlformats.org/officeDocument/2006/relationships/ctrlProp" Target="../ctrlProps/ctrlProp185.xml"/><Relationship Id="rId48" Type="http://schemas.openxmlformats.org/officeDocument/2006/relationships/ctrlProp" Target="../ctrlProps/ctrlProp190.xml"/><Relationship Id="rId56" Type="http://schemas.openxmlformats.org/officeDocument/2006/relationships/ctrlProp" Target="../ctrlProps/ctrlProp198.xml"/><Relationship Id="rId8" Type="http://schemas.openxmlformats.org/officeDocument/2006/relationships/ctrlProp" Target="../ctrlProps/ctrlProp150.xml"/><Relationship Id="rId51" Type="http://schemas.openxmlformats.org/officeDocument/2006/relationships/ctrlProp" Target="../ctrlProps/ctrlProp193.xml"/><Relationship Id="rId3" Type="http://schemas.openxmlformats.org/officeDocument/2006/relationships/vmlDrawing" Target="../drawings/vmlDrawing4.vml"/><Relationship Id="rId12" Type="http://schemas.openxmlformats.org/officeDocument/2006/relationships/ctrlProp" Target="../ctrlProps/ctrlProp154.xml"/><Relationship Id="rId17" Type="http://schemas.openxmlformats.org/officeDocument/2006/relationships/ctrlProp" Target="../ctrlProps/ctrlProp159.xml"/><Relationship Id="rId25" Type="http://schemas.openxmlformats.org/officeDocument/2006/relationships/ctrlProp" Target="../ctrlProps/ctrlProp167.xml"/><Relationship Id="rId33" Type="http://schemas.openxmlformats.org/officeDocument/2006/relationships/ctrlProp" Target="../ctrlProps/ctrlProp175.xml"/><Relationship Id="rId38" Type="http://schemas.openxmlformats.org/officeDocument/2006/relationships/ctrlProp" Target="../ctrlProps/ctrlProp180.xml"/><Relationship Id="rId46" Type="http://schemas.openxmlformats.org/officeDocument/2006/relationships/ctrlProp" Target="../ctrlProps/ctrlProp188.xml"/><Relationship Id="rId59" Type="http://schemas.openxmlformats.org/officeDocument/2006/relationships/ctrlProp" Target="../ctrlProps/ctrlProp201.xm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15.xml"/><Relationship Id="rId18" Type="http://schemas.openxmlformats.org/officeDocument/2006/relationships/ctrlProp" Target="../ctrlProps/ctrlProp220.xml"/><Relationship Id="rId26" Type="http://schemas.openxmlformats.org/officeDocument/2006/relationships/ctrlProp" Target="../ctrlProps/ctrlProp228.xml"/><Relationship Id="rId39" Type="http://schemas.openxmlformats.org/officeDocument/2006/relationships/ctrlProp" Target="../ctrlProps/ctrlProp241.xml"/><Relationship Id="rId21" Type="http://schemas.openxmlformats.org/officeDocument/2006/relationships/ctrlProp" Target="../ctrlProps/ctrlProp223.xml"/><Relationship Id="rId34" Type="http://schemas.openxmlformats.org/officeDocument/2006/relationships/ctrlProp" Target="../ctrlProps/ctrlProp236.xml"/><Relationship Id="rId42" Type="http://schemas.openxmlformats.org/officeDocument/2006/relationships/ctrlProp" Target="../ctrlProps/ctrlProp244.xml"/><Relationship Id="rId47" Type="http://schemas.openxmlformats.org/officeDocument/2006/relationships/ctrlProp" Target="../ctrlProps/ctrlProp249.xml"/><Relationship Id="rId50" Type="http://schemas.openxmlformats.org/officeDocument/2006/relationships/ctrlProp" Target="../ctrlProps/ctrlProp252.xml"/><Relationship Id="rId55" Type="http://schemas.openxmlformats.org/officeDocument/2006/relationships/ctrlProp" Target="../ctrlProps/ctrlProp257.xml"/><Relationship Id="rId63" Type="http://schemas.openxmlformats.org/officeDocument/2006/relationships/ctrlProp" Target="../ctrlProps/ctrlProp265.xml"/><Relationship Id="rId68" Type="http://schemas.openxmlformats.org/officeDocument/2006/relationships/ctrlProp" Target="../ctrlProps/ctrlProp270.xml"/><Relationship Id="rId76" Type="http://schemas.openxmlformats.org/officeDocument/2006/relationships/ctrlProp" Target="../ctrlProps/ctrlProp278.xml"/><Relationship Id="rId84" Type="http://schemas.openxmlformats.org/officeDocument/2006/relationships/ctrlProp" Target="../ctrlProps/ctrlProp286.xml"/><Relationship Id="rId89" Type="http://schemas.openxmlformats.org/officeDocument/2006/relationships/ctrlProp" Target="../ctrlProps/ctrlProp291.xml"/><Relationship Id="rId7" Type="http://schemas.openxmlformats.org/officeDocument/2006/relationships/ctrlProp" Target="../ctrlProps/ctrlProp209.xml"/><Relationship Id="rId71" Type="http://schemas.openxmlformats.org/officeDocument/2006/relationships/ctrlProp" Target="../ctrlProps/ctrlProp273.xml"/><Relationship Id="rId92" Type="http://schemas.openxmlformats.org/officeDocument/2006/relationships/ctrlProp" Target="../ctrlProps/ctrlProp294.xml"/><Relationship Id="rId2" Type="http://schemas.openxmlformats.org/officeDocument/2006/relationships/drawing" Target="../drawings/drawing8.xml"/><Relationship Id="rId16" Type="http://schemas.openxmlformats.org/officeDocument/2006/relationships/ctrlProp" Target="../ctrlProps/ctrlProp218.xml"/><Relationship Id="rId29" Type="http://schemas.openxmlformats.org/officeDocument/2006/relationships/ctrlProp" Target="../ctrlProps/ctrlProp231.xml"/><Relationship Id="rId11" Type="http://schemas.openxmlformats.org/officeDocument/2006/relationships/ctrlProp" Target="../ctrlProps/ctrlProp213.xml"/><Relationship Id="rId24" Type="http://schemas.openxmlformats.org/officeDocument/2006/relationships/ctrlProp" Target="../ctrlProps/ctrlProp226.xml"/><Relationship Id="rId32" Type="http://schemas.openxmlformats.org/officeDocument/2006/relationships/ctrlProp" Target="../ctrlProps/ctrlProp234.xml"/><Relationship Id="rId37" Type="http://schemas.openxmlformats.org/officeDocument/2006/relationships/ctrlProp" Target="../ctrlProps/ctrlProp239.xml"/><Relationship Id="rId40" Type="http://schemas.openxmlformats.org/officeDocument/2006/relationships/ctrlProp" Target="../ctrlProps/ctrlProp242.xml"/><Relationship Id="rId45" Type="http://schemas.openxmlformats.org/officeDocument/2006/relationships/ctrlProp" Target="../ctrlProps/ctrlProp247.xml"/><Relationship Id="rId53" Type="http://schemas.openxmlformats.org/officeDocument/2006/relationships/ctrlProp" Target="../ctrlProps/ctrlProp255.xml"/><Relationship Id="rId58" Type="http://schemas.openxmlformats.org/officeDocument/2006/relationships/ctrlProp" Target="../ctrlProps/ctrlProp260.xml"/><Relationship Id="rId66" Type="http://schemas.openxmlformats.org/officeDocument/2006/relationships/ctrlProp" Target="../ctrlProps/ctrlProp268.xml"/><Relationship Id="rId74" Type="http://schemas.openxmlformats.org/officeDocument/2006/relationships/ctrlProp" Target="../ctrlProps/ctrlProp276.xml"/><Relationship Id="rId79" Type="http://schemas.openxmlformats.org/officeDocument/2006/relationships/ctrlProp" Target="../ctrlProps/ctrlProp281.xml"/><Relationship Id="rId87" Type="http://schemas.openxmlformats.org/officeDocument/2006/relationships/ctrlProp" Target="../ctrlProps/ctrlProp289.xml"/><Relationship Id="rId5" Type="http://schemas.openxmlformats.org/officeDocument/2006/relationships/ctrlProp" Target="../ctrlProps/ctrlProp207.xml"/><Relationship Id="rId61" Type="http://schemas.openxmlformats.org/officeDocument/2006/relationships/ctrlProp" Target="../ctrlProps/ctrlProp263.xml"/><Relationship Id="rId82" Type="http://schemas.openxmlformats.org/officeDocument/2006/relationships/ctrlProp" Target="../ctrlProps/ctrlProp284.xml"/><Relationship Id="rId90" Type="http://schemas.openxmlformats.org/officeDocument/2006/relationships/ctrlProp" Target="../ctrlProps/ctrlProp292.xml"/><Relationship Id="rId95" Type="http://schemas.openxmlformats.org/officeDocument/2006/relationships/ctrlProp" Target="../ctrlProps/ctrlProp297.xml"/><Relationship Id="rId19" Type="http://schemas.openxmlformats.org/officeDocument/2006/relationships/ctrlProp" Target="../ctrlProps/ctrlProp221.xml"/><Relationship Id="rId14" Type="http://schemas.openxmlformats.org/officeDocument/2006/relationships/ctrlProp" Target="../ctrlProps/ctrlProp216.xml"/><Relationship Id="rId22" Type="http://schemas.openxmlformats.org/officeDocument/2006/relationships/ctrlProp" Target="../ctrlProps/ctrlProp224.xml"/><Relationship Id="rId27" Type="http://schemas.openxmlformats.org/officeDocument/2006/relationships/ctrlProp" Target="../ctrlProps/ctrlProp229.xml"/><Relationship Id="rId30" Type="http://schemas.openxmlformats.org/officeDocument/2006/relationships/ctrlProp" Target="../ctrlProps/ctrlProp232.xml"/><Relationship Id="rId35" Type="http://schemas.openxmlformats.org/officeDocument/2006/relationships/ctrlProp" Target="../ctrlProps/ctrlProp237.xml"/><Relationship Id="rId43" Type="http://schemas.openxmlformats.org/officeDocument/2006/relationships/ctrlProp" Target="../ctrlProps/ctrlProp245.xml"/><Relationship Id="rId48" Type="http://schemas.openxmlformats.org/officeDocument/2006/relationships/ctrlProp" Target="../ctrlProps/ctrlProp250.xml"/><Relationship Id="rId56" Type="http://schemas.openxmlformats.org/officeDocument/2006/relationships/ctrlProp" Target="../ctrlProps/ctrlProp258.xml"/><Relationship Id="rId64" Type="http://schemas.openxmlformats.org/officeDocument/2006/relationships/ctrlProp" Target="../ctrlProps/ctrlProp266.xml"/><Relationship Id="rId69" Type="http://schemas.openxmlformats.org/officeDocument/2006/relationships/ctrlProp" Target="../ctrlProps/ctrlProp271.xml"/><Relationship Id="rId77" Type="http://schemas.openxmlformats.org/officeDocument/2006/relationships/ctrlProp" Target="../ctrlProps/ctrlProp279.xml"/><Relationship Id="rId8" Type="http://schemas.openxmlformats.org/officeDocument/2006/relationships/ctrlProp" Target="../ctrlProps/ctrlProp210.xml"/><Relationship Id="rId51" Type="http://schemas.openxmlformats.org/officeDocument/2006/relationships/ctrlProp" Target="../ctrlProps/ctrlProp253.xml"/><Relationship Id="rId72" Type="http://schemas.openxmlformats.org/officeDocument/2006/relationships/ctrlProp" Target="../ctrlProps/ctrlProp274.xml"/><Relationship Id="rId80" Type="http://schemas.openxmlformats.org/officeDocument/2006/relationships/ctrlProp" Target="../ctrlProps/ctrlProp282.xml"/><Relationship Id="rId85" Type="http://schemas.openxmlformats.org/officeDocument/2006/relationships/ctrlProp" Target="../ctrlProps/ctrlProp287.xml"/><Relationship Id="rId93" Type="http://schemas.openxmlformats.org/officeDocument/2006/relationships/ctrlProp" Target="../ctrlProps/ctrlProp295.xml"/><Relationship Id="rId3" Type="http://schemas.openxmlformats.org/officeDocument/2006/relationships/vmlDrawing" Target="../drawings/vmlDrawing5.vml"/><Relationship Id="rId12" Type="http://schemas.openxmlformats.org/officeDocument/2006/relationships/ctrlProp" Target="../ctrlProps/ctrlProp214.xml"/><Relationship Id="rId17" Type="http://schemas.openxmlformats.org/officeDocument/2006/relationships/ctrlProp" Target="../ctrlProps/ctrlProp219.xml"/><Relationship Id="rId25" Type="http://schemas.openxmlformats.org/officeDocument/2006/relationships/ctrlProp" Target="../ctrlProps/ctrlProp227.xml"/><Relationship Id="rId33" Type="http://schemas.openxmlformats.org/officeDocument/2006/relationships/ctrlProp" Target="../ctrlProps/ctrlProp235.xml"/><Relationship Id="rId38" Type="http://schemas.openxmlformats.org/officeDocument/2006/relationships/ctrlProp" Target="../ctrlProps/ctrlProp240.xml"/><Relationship Id="rId46" Type="http://schemas.openxmlformats.org/officeDocument/2006/relationships/ctrlProp" Target="../ctrlProps/ctrlProp248.xml"/><Relationship Id="rId59" Type="http://schemas.openxmlformats.org/officeDocument/2006/relationships/ctrlProp" Target="../ctrlProps/ctrlProp261.xml"/><Relationship Id="rId67" Type="http://schemas.openxmlformats.org/officeDocument/2006/relationships/ctrlProp" Target="../ctrlProps/ctrlProp269.xml"/><Relationship Id="rId20" Type="http://schemas.openxmlformats.org/officeDocument/2006/relationships/ctrlProp" Target="../ctrlProps/ctrlProp222.xml"/><Relationship Id="rId41" Type="http://schemas.openxmlformats.org/officeDocument/2006/relationships/ctrlProp" Target="../ctrlProps/ctrlProp243.xml"/><Relationship Id="rId54" Type="http://schemas.openxmlformats.org/officeDocument/2006/relationships/ctrlProp" Target="../ctrlProps/ctrlProp256.xml"/><Relationship Id="rId62" Type="http://schemas.openxmlformats.org/officeDocument/2006/relationships/ctrlProp" Target="../ctrlProps/ctrlProp264.xml"/><Relationship Id="rId70" Type="http://schemas.openxmlformats.org/officeDocument/2006/relationships/ctrlProp" Target="../ctrlProps/ctrlProp272.xml"/><Relationship Id="rId75" Type="http://schemas.openxmlformats.org/officeDocument/2006/relationships/ctrlProp" Target="../ctrlProps/ctrlProp277.xml"/><Relationship Id="rId83" Type="http://schemas.openxmlformats.org/officeDocument/2006/relationships/ctrlProp" Target="../ctrlProps/ctrlProp285.xml"/><Relationship Id="rId88" Type="http://schemas.openxmlformats.org/officeDocument/2006/relationships/ctrlProp" Target="../ctrlProps/ctrlProp290.xml"/><Relationship Id="rId91" Type="http://schemas.openxmlformats.org/officeDocument/2006/relationships/ctrlProp" Target="../ctrlProps/ctrlProp293.xml"/><Relationship Id="rId96" Type="http://schemas.openxmlformats.org/officeDocument/2006/relationships/ctrlProp" Target="../ctrlProps/ctrlProp298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208.xml"/><Relationship Id="rId15" Type="http://schemas.openxmlformats.org/officeDocument/2006/relationships/ctrlProp" Target="../ctrlProps/ctrlProp217.xml"/><Relationship Id="rId23" Type="http://schemas.openxmlformats.org/officeDocument/2006/relationships/ctrlProp" Target="../ctrlProps/ctrlProp225.xml"/><Relationship Id="rId28" Type="http://schemas.openxmlformats.org/officeDocument/2006/relationships/ctrlProp" Target="../ctrlProps/ctrlProp230.xml"/><Relationship Id="rId36" Type="http://schemas.openxmlformats.org/officeDocument/2006/relationships/ctrlProp" Target="../ctrlProps/ctrlProp238.xml"/><Relationship Id="rId49" Type="http://schemas.openxmlformats.org/officeDocument/2006/relationships/ctrlProp" Target="../ctrlProps/ctrlProp251.xml"/><Relationship Id="rId57" Type="http://schemas.openxmlformats.org/officeDocument/2006/relationships/ctrlProp" Target="../ctrlProps/ctrlProp259.xml"/><Relationship Id="rId10" Type="http://schemas.openxmlformats.org/officeDocument/2006/relationships/ctrlProp" Target="../ctrlProps/ctrlProp212.xml"/><Relationship Id="rId31" Type="http://schemas.openxmlformats.org/officeDocument/2006/relationships/ctrlProp" Target="../ctrlProps/ctrlProp233.xml"/><Relationship Id="rId44" Type="http://schemas.openxmlformats.org/officeDocument/2006/relationships/ctrlProp" Target="../ctrlProps/ctrlProp246.xml"/><Relationship Id="rId52" Type="http://schemas.openxmlformats.org/officeDocument/2006/relationships/ctrlProp" Target="../ctrlProps/ctrlProp254.xml"/><Relationship Id="rId60" Type="http://schemas.openxmlformats.org/officeDocument/2006/relationships/ctrlProp" Target="../ctrlProps/ctrlProp262.xml"/><Relationship Id="rId65" Type="http://schemas.openxmlformats.org/officeDocument/2006/relationships/ctrlProp" Target="../ctrlProps/ctrlProp267.xml"/><Relationship Id="rId73" Type="http://schemas.openxmlformats.org/officeDocument/2006/relationships/ctrlProp" Target="../ctrlProps/ctrlProp275.xml"/><Relationship Id="rId78" Type="http://schemas.openxmlformats.org/officeDocument/2006/relationships/ctrlProp" Target="../ctrlProps/ctrlProp280.xml"/><Relationship Id="rId81" Type="http://schemas.openxmlformats.org/officeDocument/2006/relationships/ctrlProp" Target="../ctrlProps/ctrlProp283.xml"/><Relationship Id="rId86" Type="http://schemas.openxmlformats.org/officeDocument/2006/relationships/ctrlProp" Target="../ctrlProps/ctrlProp288.xml"/><Relationship Id="rId94" Type="http://schemas.openxmlformats.org/officeDocument/2006/relationships/ctrlProp" Target="../ctrlProps/ctrlProp296.xml"/><Relationship Id="rId4" Type="http://schemas.openxmlformats.org/officeDocument/2006/relationships/ctrlProp" Target="../ctrlProps/ctrlProp206.xml"/><Relationship Id="rId9" Type="http://schemas.openxmlformats.org/officeDocument/2006/relationships/ctrlProp" Target="../ctrlProps/ctrlProp211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03.xml"/><Relationship Id="rId13" Type="http://schemas.openxmlformats.org/officeDocument/2006/relationships/ctrlProp" Target="../ctrlProps/ctrlProp308.xml"/><Relationship Id="rId18" Type="http://schemas.openxmlformats.org/officeDocument/2006/relationships/ctrlProp" Target="../ctrlProps/ctrlProp313.xml"/><Relationship Id="rId26" Type="http://schemas.openxmlformats.org/officeDocument/2006/relationships/ctrlProp" Target="../ctrlProps/ctrlProp321.xml"/><Relationship Id="rId39" Type="http://schemas.openxmlformats.org/officeDocument/2006/relationships/ctrlProp" Target="../ctrlProps/ctrlProp334.xml"/><Relationship Id="rId3" Type="http://schemas.openxmlformats.org/officeDocument/2006/relationships/vmlDrawing" Target="../drawings/vmlDrawing6.vml"/><Relationship Id="rId21" Type="http://schemas.openxmlformats.org/officeDocument/2006/relationships/ctrlProp" Target="../ctrlProps/ctrlProp316.xml"/><Relationship Id="rId34" Type="http://schemas.openxmlformats.org/officeDocument/2006/relationships/ctrlProp" Target="../ctrlProps/ctrlProp329.xml"/><Relationship Id="rId42" Type="http://schemas.openxmlformats.org/officeDocument/2006/relationships/ctrlProp" Target="../ctrlProps/ctrlProp337.xml"/><Relationship Id="rId7" Type="http://schemas.openxmlformats.org/officeDocument/2006/relationships/ctrlProp" Target="../ctrlProps/ctrlProp302.xml"/><Relationship Id="rId12" Type="http://schemas.openxmlformats.org/officeDocument/2006/relationships/ctrlProp" Target="../ctrlProps/ctrlProp307.xml"/><Relationship Id="rId17" Type="http://schemas.openxmlformats.org/officeDocument/2006/relationships/ctrlProp" Target="../ctrlProps/ctrlProp312.xml"/><Relationship Id="rId25" Type="http://schemas.openxmlformats.org/officeDocument/2006/relationships/ctrlProp" Target="../ctrlProps/ctrlProp320.xml"/><Relationship Id="rId33" Type="http://schemas.openxmlformats.org/officeDocument/2006/relationships/ctrlProp" Target="../ctrlProps/ctrlProp328.xml"/><Relationship Id="rId38" Type="http://schemas.openxmlformats.org/officeDocument/2006/relationships/ctrlProp" Target="../ctrlProps/ctrlProp333.xml"/><Relationship Id="rId2" Type="http://schemas.openxmlformats.org/officeDocument/2006/relationships/drawing" Target="../drawings/drawing9.xml"/><Relationship Id="rId16" Type="http://schemas.openxmlformats.org/officeDocument/2006/relationships/ctrlProp" Target="../ctrlProps/ctrlProp311.xml"/><Relationship Id="rId20" Type="http://schemas.openxmlformats.org/officeDocument/2006/relationships/ctrlProp" Target="../ctrlProps/ctrlProp315.xml"/><Relationship Id="rId29" Type="http://schemas.openxmlformats.org/officeDocument/2006/relationships/ctrlProp" Target="../ctrlProps/ctrlProp324.xml"/><Relationship Id="rId41" Type="http://schemas.openxmlformats.org/officeDocument/2006/relationships/ctrlProp" Target="../ctrlProps/ctrlProp336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301.xml"/><Relationship Id="rId11" Type="http://schemas.openxmlformats.org/officeDocument/2006/relationships/ctrlProp" Target="../ctrlProps/ctrlProp306.xml"/><Relationship Id="rId24" Type="http://schemas.openxmlformats.org/officeDocument/2006/relationships/ctrlProp" Target="../ctrlProps/ctrlProp319.xml"/><Relationship Id="rId32" Type="http://schemas.openxmlformats.org/officeDocument/2006/relationships/ctrlProp" Target="../ctrlProps/ctrlProp327.xml"/><Relationship Id="rId37" Type="http://schemas.openxmlformats.org/officeDocument/2006/relationships/ctrlProp" Target="../ctrlProps/ctrlProp332.xml"/><Relationship Id="rId40" Type="http://schemas.openxmlformats.org/officeDocument/2006/relationships/ctrlProp" Target="../ctrlProps/ctrlProp335.xml"/><Relationship Id="rId5" Type="http://schemas.openxmlformats.org/officeDocument/2006/relationships/ctrlProp" Target="../ctrlProps/ctrlProp300.xml"/><Relationship Id="rId15" Type="http://schemas.openxmlformats.org/officeDocument/2006/relationships/ctrlProp" Target="../ctrlProps/ctrlProp310.xml"/><Relationship Id="rId23" Type="http://schemas.openxmlformats.org/officeDocument/2006/relationships/ctrlProp" Target="../ctrlProps/ctrlProp318.xml"/><Relationship Id="rId28" Type="http://schemas.openxmlformats.org/officeDocument/2006/relationships/ctrlProp" Target="../ctrlProps/ctrlProp323.xml"/><Relationship Id="rId36" Type="http://schemas.openxmlformats.org/officeDocument/2006/relationships/ctrlProp" Target="../ctrlProps/ctrlProp331.xml"/><Relationship Id="rId10" Type="http://schemas.openxmlformats.org/officeDocument/2006/relationships/ctrlProp" Target="../ctrlProps/ctrlProp305.xml"/><Relationship Id="rId19" Type="http://schemas.openxmlformats.org/officeDocument/2006/relationships/ctrlProp" Target="../ctrlProps/ctrlProp314.xml"/><Relationship Id="rId31" Type="http://schemas.openxmlformats.org/officeDocument/2006/relationships/ctrlProp" Target="../ctrlProps/ctrlProp326.xml"/><Relationship Id="rId4" Type="http://schemas.openxmlformats.org/officeDocument/2006/relationships/ctrlProp" Target="../ctrlProps/ctrlProp299.xml"/><Relationship Id="rId9" Type="http://schemas.openxmlformats.org/officeDocument/2006/relationships/ctrlProp" Target="../ctrlProps/ctrlProp304.xml"/><Relationship Id="rId14" Type="http://schemas.openxmlformats.org/officeDocument/2006/relationships/ctrlProp" Target="../ctrlProps/ctrlProp309.xml"/><Relationship Id="rId22" Type="http://schemas.openxmlformats.org/officeDocument/2006/relationships/ctrlProp" Target="../ctrlProps/ctrlProp317.xml"/><Relationship Id="rId27" Type="http://schemas.openxmlformats.org/officeDocument/2006/relationships/ctrlProp" Target="../ctrlProps/ctrlProp322.xml"/><Relationship Id="rId30" Type="http://schemas.openxmlformats.org/officeDocument/2006/relationships/ctrlProp" Target="../ctrlProps/ctrlProp325.xml"/><Relationship Id="rId35" Type="http://schemas.openxmlformats.org/officeDocument/2006/relationships/ctrlProp" Target="../ctrlProps/ctrlProp330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42.xml"/><Relationship Id="rId13" Type="http://schemas.openxmlformats.org/officeDocument/2006/relationships/ctrlProp" Target="../ctrlProps/ctrlProp347.xml"/><Relationship Id="rId18" Type="http://schemas.openxmlformats.org/officeDocument/2006/relationships/ctrlProp" Target="../ctrlProps/ctrlProp352.xml"/><Relationship Id="rId26" Type="http://schemas.openxmlformats.org/officeDocument/2006/relationships/ctrlProp" Target="../ctrlProps/ctrlProp360.xml"/><Relationship Id="rId39" Type="http://schemas.openxmlformats.org/officeDocument/2006/relationships/ctrlProp" Target="../ctrlProps/ctrlProp373.xml"/><Relationship Id="rId3" Type="http://schemas.openxmlformats.org/officeDocument/2006/relationships/vmlDrawing" Target="../drawings/vmlDrawing7.vml"/><Relationship Id="rId21" Type="http://schemas.openxmlformats.org/officeDocument/2006/relationships/ctrlProp" Target="../ctrlProps/ctrlProp355.xml"/><Relationship Id="rId34" Type="http://schemas.openxmlformats.org/officeDocument/2006/relationships/ctrlProp" Target="../ctrlProps/ctrlProp368.xml"/><Relationship Id="rId42" Type="http://schemas.openxmlformats.org/officeDocument/2006/relationships/ctrlProp" Target="../ctrlProps/ctrlProp376.xml"/><Relationship Id="rId7" Type="http://schemas.openxmlformats.org/officeDocument/2006/relationships/ctrlProp" Target="../ctrlProps/ctrlProp341.xml"/><Relationship Id="rId12" Type="http://schemas.openxmlformats.org/officeDocument/2006/relationships/ctrlProp" Target="../ctrlProps/ctrlProp346.xml"/><Relationship Id="rId17" Type="http://schemas.openxmlformats.org/officeDocument/2006/relationships/ctrlProp" Target="../ctrlProps/ctrlProp351.xml"/><Relationship Id="rId25" Type="http://schemas.openxmlformats.org/officeDocument/2006/relationships/ctrlProp" Target="../ctrlProps/ctrlProp359.xml"/><Relationship Id="rId33" Type="http://schemas.openxmlformats.org/officeDocument/2006/relationships/ctrlProp" Target="../ctrlProps/ctrlProp367.xml"/><Relationship Id="rId38" Type="http://schemas.openxmlformats.org/officeDocument/2006/relationships/ctrlProp" Target="../ctrlProps/ctrlProp372.xml"/><Relationship Id="rId2" Type="http://schemas.openxmlformats.org/officeDocument/2006/relationships/drawing" Target="../drawings/drawing10.xml"/><Relationship Id="rId16" Type="http://schemas.openxmlformats.org/officeDocument/2006/relationships/ctrlProp" Target="../ctrlProps/ctrlProp350.xml"/><Relationship Id="rId20" Type="http://schemas.openxmlformats.org/officeDocument/2006/relationships/ctrlProp" Target="../ctrlProps/ctrlProp354.xml"/><Relationship Id="rId29" Type="http://schemas.openxmlformats.org/officeDocument/2006/relationships/ctrlProp" Target="../ctrlProps/ctrlProp363.xml"/><Relationship Id="rId41" Type="http://schemas.openxmlformats.org/officeDocument/2006/relationships/ctrlProp" Target="../ctrlProps/ctrlProp375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340.xml"/><Relationship Id="rId11" Type="http://schemas.openxmlformats.org/officeDocument/2006/relationships/ctrlProp" Target="../ctrlProps/ctrlProp345.xml"/><Relationship Id="rId24" Type="http://schemas.openxmlformats.org/officeDocument/2006/relationships/ctrlProp" Target="../ctrlProps/ctrlProp358.xml"/><Relationship Id="rId32" Type="http://schemas.openxmlformats.org/officeDocument/2006/relationships/ctrlProp" Target="../ctrlProps/ctrlProp366.xml"/><Relationship Id="rId37" Type="http://schemas.openxmlformats.org/officeDocument/2006/relationships/ctrlProp" Target="../ctrlProps/ctrlProp371.xml"/><Relationship Id="rId40" Type="http://schemas.openxmlformats.org/officeDocument/2006/relationships/ctrlProp" Target="../ctrlProps/ctrlProp374.xml"/><Relationship Id="rId45" Type="http://schemas.openxmlformats.org/officeDocument/2006/relationships/ctrlProp" Target="../ctrlProps/ctrlProp379.xml"/><Relationship Id="rId5" Type="http://schemas.openxmlformats.org/officeDocument/2006/relationships/ctrlProp" Target="../ctrlProps/ctrlProp339.xml"/><Relationship Id="rId15" Type="http://schemas.openxmlformats.org/officeDocument/2006/relationships/ctrlProp" Target="../ctrlProps/ctrlProp349.xml"/><Relationship Id="rId23" Type="http://schemas.openxmlformats.org/officeDocument/2006/relationships/ctrlProp" Target="../ctrlProps/ctrlProp357.xml"/><Relationship Id="rId28" Type="http://schemas.openxmlformats.org/officeDocument/2006/relationships/ctrlProp" Target="../ctrlProps/ctrlProp362.xml"/><Relationship Id="rId36" Type="http://schemas.openxmlformats.org/officeDocument/2006/relationships/ctrlProp" Target="../ctrlProps/ctrlProp370.xml"/><Relationship Id="rId10" Type="http://schemas.openxmlformats.org/officeDocument/2006/relationships/ctrlProp" Target="../ctrlProps/ctrlProp344.xml"/><Relationship Id="rId19" Type="http://schemas.openxmlformats.org/officeDocument/2006/relationships/ctrlProp" Target="../ctrlProps/ctrlProp353.xml"/><Relationship Id="rId31" Type="http://schemas.openxmlformats.org/officeDocument/2006/relationships/ctrlProp" Target="../ctrlProps/ctrlProp365.xml"/><Relationship Id="rId44" Type="http://schemas.openxmlformats.org/officeDocument/2006/relationships/ctrlProp" Target="../ctrlProps/ctrlProp378.xml"/><Relationship Id="rId4" Type="http://schemas.openxmlformats.org/officeDocument/2006/relationships/ctrlProp" Target="../ctrlProps/ctrlProp338.xml"/><Relationship Id="rId9" Type="http://schemas.openxmlformats.org/officeDocument/2006/relationships/ctrlProp" Target="../ctrlProps/ctrlProp343.xml"/><Relationship Id="rId14" Type="http://schemas.openxmlformats.org/officeDocument/2006/relationships/ctrlProp" Target="../ctrlProps/ctrlProp348.xml"/><Relationship Id="rId22" Type="http://schemas.openxmlformats.org/officeDocument/2006/relationships/ctrlProp" Target="../ctrlProps/ctrlProp356.xml"/><Relationship Id="rId27" Type="http://schemas.openxmlformats.org/officeDocument/2006/relationships/ctrlProp" Target="../ctrlProps/ctrlProp361.xml"/><Relationship Id="rId30" Type="http://schemas.openxmlformats.org/officeDocument/2006/relationships/ctrlProp" Target="../ctrlProps/ctrlProp364.xml"/><Relationship Id="rId35" Type="http://schemas.openxmlformats.org/officeDocument/2006/relationships/ctrlProp" Target="../ctrlProps/ctrlProp369.xml"/><Relationship Id="rId43" Type="http://schemas.openxmlformats.org/officeDocument/2006/relationships/ctrlProp" Target="../ctrlProps/ctrlProp377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84.xml"/><Relationship Id="rId13" Type="http://schemas.openxmlformats.org/officeDocument/2006/relationships/ctrlProp" Target="../ctrlProps/ctrlProp389.xml"/><Relationship Id="rId18" Type="http://schemas.openxmlformats.org/officeDocument/2006/relationships/ctrlProp" Target="../ctrlProps/ctrlProp394.xml"/><Relationship Id="rId26" Type="http://schemas.openxmlformats.org/officeDocument/2006/relationships/ctrlProp" Target="../ctrlProps/ctrlProp402.xml"/><Relationship Id="rId3" Type="http://schemas.openxmlformats.org/officeDocument/2006/relationships/vmlDrawing" Target="../drawings/vmlDrawing8.vml"/><Relationship Id="rId21" Type="http://schemas.openxmlformats.org/officeDocument/2006/relationships/ctrlProp" Target="../ctrlProps/ctrlProp397.xml"/><Relationship Id="rId7" Type="http://schemas.openxmlformats.org/officeDocument/2006/relationships/ctrlProp" Target="../ctrlProps/ctrlProp383.xml"/><Relationship Id="rId12" Type="http://schemas.openxmlformats.org/officeDocument/2006/relationships/ctrlProp" Target="../ctrlProps/ctrlProp388.xml"/><Relationship Id="rId17" Type="http://schemas.openxmlformats.org/officeDocument/2006/relationships/ctrlProp" Target="../ctrlProps/ctrlProp393.xml"/><Relationship Id="rId25" Type="http://schemas.openxmlformats.org/officeDocument/2006/relationships/ctrlProp" Target="../ctrlProps/ctrlProp401.xml"/><Relationship Id="rId2" Type="http://schemas.openxmlformats.org/officeDocument/2006/relationships/drawing" Target="../drawings/drawing11.xml"/><Relationship Id="rId16" Type="http://schemas.openxmlformats.org/officeDocument/2006/relationships/ctrlProp" Target="../ctrlProps/ctrlProp392.xml"/><Relationship Id="rId20" Type="http://schemas.openxmlformats.org/officeDocument/2006/relationships/ctrlProp" Target="../ctrlProps/ctrlProp396.xml"/><Relationship Id="rId29" Type="http://schemas.openxmlformats.org/officeDocument/2006/relationships/ctrlProp" Target="../ctrlProps/ctrlProp405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382.xml"/><Relationship Id="rId11" Type="http://schemas.openxmlformats.org/officeDocument/2006/relationships/ctrlProp" Target="../ctrlProps/ctrlProp387.xml"/><Relationship Id="rId24" Type="http://schemas.openxmlformats.org/officeDocument/2006/relationships/ctrlProp" Target="../ctrlProps/ctrlProp400.xml"/><Relationship Id="rId5" Type="http://schemas.openxmlformats.org/officeDocument/2006/relationships/ctrlProp" Target="../ctrlProps/ctrlProp381.xml"/><Relationship Id="rId15" Type="http://schemas.openxmlformats.org/officeDocument/2006/relationships/ctrlProp" Target="../ctrlProps/ctrlProp391.xml"/><Relationship Id="rId23" Type="http://schemas.openxmlformats.org/officeDocument/2006/relationships/ctrlProp" Target="../ctrlProps/ctrlProp399.xml"/><Relationship Id="rId28" Type="http://schemas.openxmlformats.org/officeDocument/2006/relationships/ctrlProp" Target="../ctrlProps/ctrlProp404.xml"/><Relationship Id="rId10" Type="http://schemas.openxmlformats.org/officeDocument/2006/relationships/ctrlProp" Target="../ctrlProps/ctrlProp386.xml"/><Relationship Id="rId19" Type="http://schemas.openxmlformats.org/officeDocument/2006/relationships/ctrlProp" Target="../ctrlProps/ctrlProp395.xml"/><Relationship Id="rId4" Type="http://schemas.openxmlformats.org/officeDocument/2006/relationships/ctrlProp" Target="../ctrlProps/ctrlProp380.xml"/><Relationship Id="rId9" Type="http://schemas.openxmlformats.org/officeDocument/2006/relationships/ctrlProp" Target="../ctrlProps/ctrlProp385.xml"/><Relationship Id="rId14" Type="http://schemas.openxmlformats.org/officeDocument/2006/relationships/ctrlProp" Target="../ctrlProps/ctrlProp390.xml"/><Relationship Id="rId22" Type="http://schemas.openxmlformats.org/officeDocument/2006/relationships/ctrlProp" Target="../ctrlProps/ctrlProp398.xml"/><Relationship Id="rId27" Type="http://schemas.openxmlformats.org/officeDocument/2006/relationships/ctrlProp" Target="../ctrlProps/ctrlProp403.xml"/><Relationship Id="rId30" Type="http://schemas.openxmlformats.org/officeDocument/2006/relationships/ctrlProp" Target="../ctrlProps/ctrlProp40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G39"/>
  <sheetViews>
    <sheetView workbookViewId="0"/>
  </sheetViews>
  <sheetFormatPr baseColWidth="10" defaultRowHeight="12.75" x14ac:dyDescent="0.2"/>
  <cols>
    <col min="1" max="1" width="42.7109375" style="12" customWidth="1"/>
    <col min="2" max="2" width="27.85546875" customWidth="1"/>
    <col min="3" max="3" width="21.85546875" style="3" bestFit="1" customWidth="1"/>
    <col min="4" max="4" width="16.5703125" bestFit="1" customWidth="1"/>
    <col min="5" max="5" width="9.5703125" bestFit="1" customWidth="1"/>
    <col min="6" max="6" width="11.85546875" bestFit="1" customWidth="1"/>
    <col min="7" max="7" width="35.7109375" customWidth="1"/>
    <col min="8" max="8" width="27.140625" bestFit="1" customWidth="1"/>
    <col min="9" max="9" width="37.7109375" customWidth="1"/>
    <col min="10" max="10" width="21.85546875" customWidth="1"/>
    <col min="11" max="11" width="27.7109375" customWidth="1"/>
    <col min="12" max="12" width="32.5703125" customWidth="1"/>
  </cols>
  <sheetData>
    <row r="1" spans="1:7" x14ac:dyDescent="0.2">
      <c r="A1" s="26" t="s">
        <v>15</v>
      </c>
      <c r="B1" s="26" t="s">
        <v>287</v>
      </c>
      <c r="C1" s="2" t="s">
        <v>17</v>
      </c>
      <c r="D1" s="4" t="s">
        <v>20</v>
      </c>
      <c r="F1" s="2" t="s">
        <v>18</v>
      </c>
      <c r="G1" s="2"/>
    </row>
    <row r="2" spans="1:7" x14ac:dyDescent="0.2">
      <c r="A2" t="s">
        <v>14</v>
      </c>
      <c r="B2" s="102" t="s">
        <v>281</v>
      </c>
      <c r="C2" t="s">
        <v>3</v>
      </c>
      <c r="D2" s="3">
        <v>-3</v>
      </c>
      <c r="E2" t="s">
        <v>21</v>
      </c>
      <c r="F2" s="3">
        <v>1</v>
      </c>
    </row>
    <row r="3" spans="1:7" x14ac:dyDescent="0.2">
      <c r="A3" t="s">
        <v>1</v>
      </c>
      <c r="B3" s="102" t="s">
        <v>288</v>
      </c>
      <c r="C3" t="s">
        <v>4</v>
      </c>
      <c r="D3" s="3">
        <v>-2</v>
      </c>
      <c r="E3" t="s">
        <v>21</v>
      </c>
      <c r="F3" s="3">
        <v>2</v>
      </c>
    </row>
    <row r="4" spans="1:7" x14ac:dyDescent="0.2">
      <c r="A4" t="s">
        <v>27</v>
      </c>
      <c r="B4" s="102" t="s">
        <v>282</v>
      </c>
      <c r="C4" t="s">
        <v>5</v>
      </c>
      <c r="D4" s="3">
        <v>-1</v>
      </c>
      <c r="E4" t="s">
        <v>21</v>
      </c>
      <c r="F4" s="3">
        <v>3</v>
      </c>
    </row>
    <row r="5" spans="1:7" x14ac:dyDescent="0.2">
      <c r="A5" t="s">
        <v>11</v>
      </c>
      <c r="B5" s="102" t="s">
        <v>283</v>
      </c>
      <c r="C5" t="s">
        <v>6</v>
      </c>
      <c r="D5" s="3">
        <v>0</v>
      </c>
      <c r="E5" t="s">
        <v>112</v>
      </c>
      <c r="F5" s="3">
        <v>4</v>
      </c>
    </row>
    <row r="6" spans="1:7" x14ac:dyDescent="0.2">
      <c r="A6" t="s">
        <v>0</v>
      </c>
      <c r="B6" s="102" t="s">
        <v>284</v>
      </c>
      <c r="C6" t="s">
        <v>7</v>
      </c>
      <c r="D6" s="3">
        <v>1</v>
      </c>
      <c r="E6" t="s">
        <v>22</v>
      </c>
      <c r="F6" s="3">
        <v>5</v>
      </c>
    </row>
    <row r="7" spans="1:7" x14ac:dyDescent="0.2">
      <c r="A7" t="s">
        <v>12</v>
      </c>
      <c r="B7" s="102" t="s">
        <v>285</v>
      </c>
      <c r="C7" t="s">
        <v>8</v>
      </c>
      <c r="D7" s="3">
        <v>2</v>
      </c>
      <c r="E7" t="s">
        <v>22</v>
      </c>
    </row>
    <row r="8" spans="1:7" x14ac:dyDescent="0.2">
      <c r="A8" t="s">
        <v>13</v>
      </c>
      <c r="B8" s="102" t="s">
        <v>286</v>
      </c>
      <c r="C8" t="s">
        <v>9</v>
      </c>
      <c r="D8" s="3">
        <v>3</v>
      </c>
      <c r="E8" t="s">
        <v>22</v>
      </c>
    </row>
    <row r="9" spans="1:7" x14ac:dyDescent="0.2">
      <c r="C9" t="s">
        <v>10</v>
      </c>
      <c r="D9" s="3"/>
    </row>
    <row r="12" spans="1:7" ht="13.5" customHeight="1" x14ac:dyDescent="0.2">
      <c r="A12" s="11" t="s">
        <v>40</v>
      </c>
    </row>
    <row r="13" spans="1:7" x14ac:dyDescent="0.2">
      <c r="A13" s="56" t="s">
        <v>34</v>
      </c>
    </row>
    <row r="14" spans="1:7" x14ac:dyDescent="0.2">
      <c r="A14" s="51" t="s">
        <v>35</v>
      </c>
    </row>
    <row r="15" spans="1:7" x14ac:dyDescent="0.2">
      <c r="A15" s="57" t="s">
        <v>36</v>
      </c>
    </row>
    <row r="16" spans="1:7" x14ac:dyDescent="0.2">
      <c r="A16" s="58" t="s">
        <v>37</v>
      </c>
    </row>
    <row r="17" spans="1:5" x14ac:dyDescent="0.2">
      <c r="A17" s="60" t="s">
        <v>38</v>
      </c>
    </row>
    <row r="18" spans="1:5" x14ac:dyDescent="0.2">
      <c r="A18"/>
      <c r="C18"/>
    </row>
    <row r="19" spans="1:5" x14ac:dyDescent="0.2">
      <c r="A19" s="52" t="s">
        <v>34</v>
      </c>
      <c r="B19" s="59" t="s">
        <v>37</v>
      </c>
    </row>
    <row r="20" spans="1:5" s="5" customFormat="1" x14ac:dyDescent="0.2">
      <c r="A20" s="5" t="s">
        <v>41</v>
      </c>
      <c r="B20" s="5" t="s">
        <v>56</v>
      </c>
      <c r="C20" s="6"/>
    </row>
    <row r="21" spans="1:5" s="5" customFormat="1" x14ac:dyDescent="0.2">
      <c r="A21" s="5" t="s">
        <v>42</v>
      </c>
      <c r="B21" s="5" t="s">
        <v>57</v>
      </c>
      <c r="C21" s="6"/>
    </row>
    <row r="22" spans="1:5" s="5" customFormat="1" x14ac:dyDescent="0.2">
      <c r="A22" s="5" t="s">
        <v>43</v>
      </c>
      <c r="B22" s="5" t="s">
        <v>58</v>
      </c>
      <c r="C22" s="6"/>
    </row>
    <row r="23" spans="1:5" s="5" customFormat="1" x14ac:dyDescent="0.2">
      <c r="A23" s="5" t="s">
        <v>44</v>
      </c>
      <c r="C23" s="6"/>
    </row>
    <row r="24" spans="1:5" s="5" customFormat="1" x14ac:dyDescent="0.2">
      <c r="A24" s="5" t="s">
        <v>45</v>
      </c>
      <c r="C24" s="6"/>
    </row>
    <row r="25" spans="1:5" s="5" customFormat="1" x14ac:dyDescent="0.2">
      <c r="A25" s="64"/>
      <c r="C25" s="6"/>
    </row>
    <row r="26" spans="1:5" x14ac:dyDescent="0.2">
      <c r="A26" s="55" t="s">
        <v>35</v>
      </c>
      <c r="B26" s="61" t="s">
        <v>38</v>
      </c>
      <c r="C26" s="62"/>
      <c r="D26" s="62"/>
      <c r="E26" s="63"/>
    </row>
    <row r="27" spans="1:5" s="5" customFormat="1" x14ac:dyDescent="0.2">
      <c r="A27" s="5" t="s">
        <v>46</v>
      </c>
      <c r="B27" s="5" t="s">
        <v>59</v>
      </c>
      <c r="C27" s="6"/>
    </row>
    <row r="28" spans="1:5" s="5" customFormat="1" x14ac:dyDescent="0.2">
      <c r="A28" s="5" t="s">
        <v>47</v>
      </c>
      <c r="B28" s="5" t="s">
        <v>60</v>
      </c>
      <c r="C28" s="6"/>
    </row>
    <row r="29" spans="1:5" s="5" customFormat="1" x14ac:dyDescent="0.2">
      <c r="A29" s="5" t="s">
        <v>48</v>
      </c>
      <c r="B29" s="5" t="s">
        <v>61</v>
      </c>
      <c r="C29" s="6"/>
    </row>
    <row r="30" spans="1:5" s="5" customFormat="1" x14ac:dyDescent="0.2">
      <c r="A30" s="5" t="s">
        <v>49</v>
      </c>
      <c r="B30" s="5" t="s">
        <v>62</v>
      </c>
      <c r="C30" s="6"/>
    </row>
    <row r="31" spans="1:5" s="5" customFormat="1" ht="25.5" x14ac:dyDescent="0.2">
      <c r="A31" s="64" t="s">
        <v>50</v>
      </c>
      <c r="C31" s="6"/>
    </row>
    <row r="32" spans="1:5" s="5" customFormat="1" x14ac:dyDescent="0.2">
      <c r="A32" s="64"/>
      <c r="C32" s="6"/>
    </row>
    <row r="33" spans="1:3" x14ac:dyDescent="0.2">
      <c r="A33" s="66" t="s">
        <v>36</v>
      </c>
      <c r="B33" s="67"/>
    </row>
    <row r="34" spans="1:3" s="5" customFormat="1" x14ac:dyDescent="0.2">
      <c r="A34" s="5" t="s">
        <v>51</v>
      </c>
      <c r="C34" s="6"/>
    </row>
    <row r="35" spans="1:3" s="5" customFormat="1" x14ac:dyDescent="0.2">
      <c r="A35" s="5" t="s">
        <v>52</v>
      </c>
      <c r="C35" s="6"/>
    </row>
    <row r="36" spans="1:3" s="5" customFormat="1" x14ac:dyDescent="0.2">
      <c r="A36" s="5" t="s">
        <v>53</v>
      </c>
      <c r="C36" s="6"/>
    </row>
    <row r="37" spans="1:3" s="5" customFormat="1" x14ac:dyDescent="0.2">
      <c r="A37" s="5" t="s">
        <v>54</v>
      </c>
      <c r="C37" s="6"/>
    </row>
    <row r="38" spans="1:3" s="5" customFormat="1" x14ac:dyDescent="0.2">
      <c r="A38" s="65" t="s">
        <v>263</v>
      </c>
      <c r="C38" s="6"/>
    </row>
    <row r="39" spans="1:3" s="5" customFormat="1" x14ac:dyDescent="0.2">
      <c r="A39" s="5" t="s">
        <v>55</v>
      </c>
      <c r="C39" s="6"/>
    </row>
  </sheetData>
  <phoneticPr fontId="4" type="noConversion"/>
  <hyperlinks>
    <hyperlink ref="B2" location="'Leitfragen StrategiePlanung'!A1" display="Leitfragen StrategiePlanung"/>
    <hyperlink ref="B3" location="'Leitfragen MarktKunden'!A1" display="Leiftfragen MarktKunden"/>
    <hyperlink ref="B4" location="'Leitfragen Besch_Prod_Tech'!A1" display="Leitfragen Besch_Prod_Tech"/>
    <hyperlink ref="B5" location="'Leitfragen Finanzsicht'!A1" display="Leitfragen Finanzsicht"/>
    <hyperlink ref="B6" location="'Leitfragen OrgInformation'!A1" display="Leitfragen OrgInformation"/>
    <hyperlink ref="B7" location="'Leitfragen PersonalFührung'!A1" display="Leitfragen PersonalFührung"/>
    <hyperlink ref="B8" location="'Leitfragen Unternehmenskultur'!A1" display="Leitfragen Unternehmenskultur"/>
  </hyperlinks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I54"/>
  <sheetViews>
    <sheetView workbookViewId="0">
      <selection activeCell="E9" sqref="E9"/>
    </sheetView>
  </sheetViews>
  <sheetFormatPr baseColWidth="10" defaultRowHeight="12.75" x14ac:dyDescent="0.2"/>
  <cols>
    <col min="1" max="1" width="3.42578125" customWidth="1"/>
    <col min="2" max="2" width="35.42578125" customWidth="1"/>
    <col min="3" max="3" width="8" bestFit="1" customWidth="1"/>
    <col min="4" max="4" width="11.5703125" bestFit="1" customWidth="1"/>
    <col min="5" max="5" width="40.140625" customWidth="1"/>
    <col min="6" max="6" width="12.42578125" style="13" customWidth="1"/>
    <col min="7" max="7" width="11.85546875" customWidth="1"/>
    <col min="8" max="8" width="8.5703125" customWidth="1"/>
    <col min="9" max="9" width="15.140625" customWidth="1"/>
    <col min="10" max="10" width="3" customWidth="1"/>
  </cols>
  <sheetData>
    <row r="1" spans="1:9" ht="15.75" x14ac:dyDescent="0.25">
      <c r="B1" s="7" t="s">
        <v>26</v>
      </c>
      <c r="C1" s="7"/>
      <c r="D1" s="7"/>
      <c r="F1" s="27" t="s">
        <v>134</v>
      </c>
    </row>
    <row r="2" spans="1:9" x14ac:dyDescent="0.2">
      <c r="F2" s="27" t="s">
        <v>135</v>
      </c>
    </row>
    <row r="4" spans="1:9" ht="18.75" customHeight="1" x14ac:dyDescent="0.2">
      <c r="B4" s="116" t="s">
        <v>23</v>
      </c>
      <c r="C4" s="117"/>
      <c r="D4" s="118"/>
      <c r="E4" s="118"/>
      <c r="F4" s="118"/>
      <c r="G4" s="118"/>
      <c r="H4" s="118"/>
      <c r="I4" s="119"/>
    </row>
    <row r="5" spans="1:9" ht="29.25" customHeight="1" x14ac:dyDescent="0.2">
      <c r="B5" s="101" t="s">
        <v>73</v>
      </c>
      <c r="C5" s="106" t="s">
        <v>71</v>
      </c>
      <c r="D5" s="106" t="s">
        <v>72</v>
      </c>
      <c r="E5" s="101" t="s">
        <v>16</v>
      </c>
      <c r="F5" s="105" t="s">
        <v>18</v>
      </c>
      <c r="G5" s="101" t="s">
        <v>19</v>
      </c>
      <c r="H5" s="101" t="s">
        <v>24</v>
      </c>
      <c r="I5" s="104" t="s">
        <v>25</v>
      </c>
    </row>
    <row r="6" spans="1:9" x14ac:dyDescent="0.2">
      <c r="A6" s="3">
        <v>1</v>
      </c>
      <c r="B6" t="s">
        <v>14</v>
      </c>
      <c r="C6" s="103">
        <f t="shared" ref="C6:C15" ca="1" si="0">IF(B6&lt;&gt;"",INDIRECT("'"&amp;VLOOKUP(B6,Analysebereiche2,2,0)&amp;"'!$C$50"),"")</f>
        <v>0.35294117647058826</v>
      </c>
      <c r="D6" s="103">
        <f t="shared" ref="D6:D15" ca="1" si="1">IF(B6&lt;&gt;"",INDIRECT("'"&amp;VLOOKUP(B6,Analysebereiche2,2,0)&amp;"'!$D$50"),"")</f>
        <v>0.6470588235294118</v>
      </c>
      <c r="E6" s="5" t="s">
        <v>111</v>
      </c>
      <c r="F6" s="14">
        <v>1</v>
      </c>
      <c r="G6" s="6">
        <v>-2</v>
      </c>
      <c r="H6" s="6">
        <f>IF(AND(F6&lt;&gt;"",G6&lt;&gt;""),F6*G6,"")</f>
        <v>-2</v>
      </c>
      <c r="I6" s="5" t="str">
        <f t="shared" ref="I6:I15" si="2">IF(G6&lt;&gt;"",VLOOKUP(G6,Bewertungen,2,0),"")</f>
        <v>Schwäche</v>
      </c>
    </row>
    <row r="7" spans="1:9" x14ac:dyDescent="0.2">
      <c r="A7" s="3">
        <v>2</v>
      </c>
      <c r="B7" s="1" t="s">
        <v>1</v>
      </c>
      <c r="C7" s="103">
        <f t="shared" ca="1" si="0"/>
        <v>0.72727272727272729</v>
      </c>
      <c r="D7" s="103">
        <f t="shared" ca="1" si="1"/>
        <v>0.27272727272727271</v>
      </c>
      <c r="E7" s="5" t="s">
        <v>110</v>
      </c>
      <c r="F7" s="14">
        <v>2</v>
      </c>
      <c r="G7" s="6">
        <v>-3</v>
      </c>
      <c r="H7" s="6">
        <f t="shared" ref="H7:H15" si="3">IF(AND(F7&lt;&gt;"",G7&lt;&gt;""),F7*G7,"")</f>
        <v>-6</v>
      </c>
      <c r="I7" s="5" t="str">
        <f t="shared" si="2"/>
        <v>Schwäche</v>
      </c>
    </row>
    <row r="8" spans="1:9" x14ac:dyDescent="0.2">
      <c r="A8" s="3">
        <v>3</v>
      </c>
      <c r="B8" s="1" t="s">
        <v>27</v>
      </c>
      <c r="C8" s="103">
        <f t="shared" ca="1" si="0"/>
        <v>0.6</v>
      </c>
      <c r="D8" s="103">
        <f t="shared" ca="1" si="1"/>
        <v>0.4</v>
      </c>
      <c r="E8" s="8" t="s">
        <v>74</v>
      </c>
      <c r="F8" s="14">
        <v>4</v>
      </c>
      <c r="G8" s="6">
        <v>2</v>
      </c>
      <c r="H8" s="6">
        <f t="shared" si="3"/>
        <v>8</v>
      </c>
      <c r="I8" s="5" t="str">
        <f t="shared" si="2"/>
        <v>Stärke</v>
      </c>
    </row>
    <row r="9" spans="1:9" x14ac:dyDescent="0.2">
      <c r="A9" s="3">
        <v>4</v>
      </c>
      <c r="B9" s="1" t="s">
        <v>11</v>
      </c>
      <c r="C9" s="103">
        <f t="shared" ca="1" si="0"/>
        <v>0.74193548387096775</v>
      </c>
      <c r="D9" s="103">
        <f t="shared" ca="1" si="1"/>
        <v>0.25806451612903225</v>
      </c>
      <c r="E9" s="8" t="s">
        <v>106</v>
      </c>
      <c r="F9" s="14">
        <v>4</v>
      </c>
      <c r="G9" s="6">
        <v>3</v>
      </c>
      <c r="H9" s="6">
        <f t="shared" si="3"/>
        <v>12</v>
      </c>
      <c r="I9" s="5" t="str">
        <f t="shared" si="2"/>
        <v>Stärke</v>
      </c>
    </row>
    <row r="10" spans="1:9" x14ac:dyDescent="0.2">
      <c r="A10" s="3">
        <v>5</v>
      </c>
      <c r="B10" s="1" t="s">
        <v>0</v>
      </c>
      <c r="C10" s="103">
        <f t="shared" ca="1" si="0"/>
        <v>0.76923076923076927</v>
      </c>
      <c r="D10" s="103">
        <f t="shared" ca="1" si="1"/>
        <v>0.23076923076923078</v>
      </c>
      <c r="E10" s="8" t="s">
        <v>107</v>
      </c>
      <c r="F10" s="14">
        <v>3</v>
      </c>
      <c r="G10" s="6">
        <v>-2</v>
      </c>
      <c r="H10" s="6">
        <f t="shared" si="3"/>
        <v>-6</v>
      </c>
      <c r="I10" s="5" t="str">
        <f t="shared" si="2"/>
        <v>Schwäche</v>
      </c>
    </row>
    <row r="11" spans="1:9" x14ac:dyDescent="0.2">
      <c r="A11" s="3">
        <v>6</v>
      </c>
      <c r="B11" s="1" t="s">
        <v>12</v>
      </c>
      <c r="C11" s="103">
        <f t="shared" ca="1" si="0"/>
        <v>0.8571428571428571</v>
      </c>
      <c r="D11" s="103">
        <f t="shared" ca="1" si="1"/>
        <v>0.14285714285714285</v>
      </c>
      <c r="E11" s="8" t="s">
        <v>108</v>
      </c>
      <c r="F11" s="14">
        <v>3</v>
      </c>
      <c r="G11" s="6">
        <v>3</v>
      </c>
      <c r="H11" s="6">
        <f t="shared" si="3"/>
        <v>9</v>
      </c>
      <c r="I11" s="5" t="str">
        <f t="shared" si="2"/>
        <v>Stärke</v>
      </c>
    </row>
    <row r="12" spans="1:9" x14ac:dyDescent="0.2">
      <c r="A12" s="3">
        <v>7</v>
      </c>
      <c r="B12" s="1" t="s">
        <v>13</v>
      </c>
      <c r="C12" s="103">
        <f t="shared" ca="1" si="0"/>
        <v>0.77777777777777779</v>
      </c>
      <c r="D12" s="103">
        <f t="shared" ca="1" si="1"/>
        <v>0.22222222222222221</v>
      </c>
      <c r="E12" s="8" t="s">
        <v>109</v>
      </c>
      <c r="F12" s="14">
        <v>2</v>
      </c>
      <c r="G12" s="6">
        <v>2</v>
      </c>
      <c r="H12" s="6">
        <f t="shared" si="3"/>
        <v>4</v>
      </c>
      <c r="I12" s="5" t="str">
        <f t="shared" si="2"/>
        <v>Stärke</v>
      </c>
    </row>
    <row r="13" spans="1:9" x14ac:dyDescent="0.2">
      <c r="A13" s="3">
        <v>8</v>
      </c>
      <c r="B13" s="1"/>
      <c r="C13" s="103" t="str">
        <f t="shared" ca="1" si="0"/>
        <v/>
      </c>
      <c r="D13" s="103" t="str">
        <f t="shared" ca="1" si="1"/>
        <v/>
      </c>
      <c r="F13" s="14"/>
      <c r="G13" s="6"/>
      <c r="H13" s="6" t="str">
        <f t="shared" si="3"/>
        <v/>
      </c>
      <c r="I13" s="5" t="str">
        <f t="shared" si="2"/>
        <v/>
      </c>
    </row>
    <row r="14" spans="1:9" x14ac:dyDescent="0.2">
      <c r="A14" s="3">
        <v>9</v>
      </c>
      <c r="B14" s="1"/>
      <c r="C14" s="103" t="str">
        <f t="shared" ca="1" si="0"/>
        <v/>
      </c>
      <c r="D14" s="103" t="str">
        <f t="shared" ca="1" si="1"/>
        <v/>
      </c>
      <c r="E14" s="12"/>
      <c r="F14" s="14"/>
      <c r="G14" s="6"/>
      <c r="H14" s="6" t="str">
        <f t="shared" si="3"/>
        <v/>
      </c>
      <c r="I14" s="5" t="str">
        <f t="shared" si="2"/>
        <v/>
      </c>
    </row>
    <row r="15" spans="1:9" x14ac:dyDescent="0.2">
      <c r="A15" s="3">
        <v>10</v>
      </c>
      <c r="B15" s="1"/>
      <c r="C15" s="103" t="str">
        <f t="shared" ca="1" si="0"/>
        <v/>
      </c>
      <c r="D15" s="103" t="str">
        <f t="shared" ca="1" si="1"/>
        <v/>
      </c>
      <c r="F15" s="14"/>
      <c r="G15" s="6"/>
      <c r="H15" s="6" t="str">
        <f t="shared" si="3"/>
        <v/>
      </c>
      <c r="I15" s="5" t="str">
        <f t="shared" si="2"/>
        <v/>
      </c>
    </row>
    <row r="16" spans="1:9" ht="19.5" customHeight="1" x14ac:dyDescent="0.2"/>
    <row r="17" spans="1:9" ht="15" customHeight="1" x14ac:dyDescent="0.2">
      <c r="B17" s="120" t="s">
        <v>3</v>
      </c>
      <c r="C17" s="120"/>
      <c r="D17" s="120"/>
      <c r="E17" s="120"/>
      <c r="F17" s="120"/>
      <c r="G17" s="120"/>
      <c r="H17" s="120"/>
      <c r="I17" s="120"/>
    </row>
    <row r="18" spans="1:9" x14ac:dyDescent="0.2">
      <c r="B18" s="16" t="s">
        <v>73</v>
      </c>
      <c r="C18" s="47"/>
      <c r="D18" s="47"/>
      <c r="E18" s="47" t="s">
        <v>16</v>
      </c>
      <c r="F18" s="48" t="s">
        <v>18</v>
      </c>
      <c r="G18" s="49" t="s">
        <v>19</v>
      </c>
      <c r="H18" s="49" t="s">
        <v>24</v>
      </c>
      <c r="I18" s="50" t="s">
        <v>25</v>
      </c>
    </row>
    <row r="19" spans="1:9" x14ac:dyDescent="0.2">
      <c r="A19" s="3">
        <v>1</v>
      </c>
      <c r="B19" s="15" t="str">
        <f>B6</f>
        <v>Strategie- und Planungssicht</v>
      </c>
      <c r="C19" s="15"/>
      <c r="D19" s="15"/>
      <c r="E19" s="9"/>
      <c r="F19" s="14">
        <f t="shared" ref="F19:F28" si="4">F6</f>
        <v>1</v>
      </c>
      <c r="G19" s="6">
        <v>-3</v>
      </c>
      <c r="H19" s="6">
        <f t="shared" ref="H19:H28" si="5">IF(AND(F19&lt;&gt;"",G19&lt;&gt;""),F19*G19,"")</f>
        <v>-3</v>
      </c>
      <c r="I19" s="5" t="str">
        <f t="shared" ref="I19:I28" si="6">IF(G19&lt;&gt;"",VLOOKUP(G19,Bewertungen,2,0),"")</f>
        <v>Schwäche</v>
      </c>
    </row>
    <row r="20" spans="1:9" x14ac:dyDescent="0.2">
      <c r="A20" s="3">
        <v>2</v>
      </c>
      <c r="B20" s="15" t="str">
        <f t="shared" ref="B20:B28" si="7">B7</f>
        <v>Markt- und Kundensicht</v>
      </c>
      <c r="C20" s="15"/>
      <c r="D20" s="15"/>
      <c r="E20" s="9"/>
      <c r="F20" s="14">
        <f t="shared" si="4"/>
        <v>2</v>
      </c>
      <c r="G20" s="6">
        <v>-2</v>
      </c>
      <c r="H20" s="6">
        <f t="shared" si="5"/>
        <v>-4</v>
      </c>
      <c r="I20" s="5" t="str">
        <f t="shared" si="6"/>
        <v>Schwäche</v>
      </c>
    </row>
    <row r="21" spans="1:9" x14ac:dyDescent="0.2">
      <c r="A21" s="3">
        <v>3</v>
      </c>
      <c r="B21" s="15" t="str">
        <f t="shared" si="7"/>
        <v>Beschaffungs-, Produktions- und Technologiesicht</v>
      </c>
      <c r="C21" s="15"/>
      <c r="D21" s="15"/>
      <c r="E21" s="9"/>
      <c r="F21" s="14">
        <f t="shared" si="4"/>
        <v>4</v>
      </c>
      <c r="G21" s="6">
        <v>3</v>
      </c>
      <c r="H21" s="6">
        <f t="shared" si="5"/>
        <v>12</v>
      </c>
      <c r="I21" s="5" t="str">
        <f t="shared" si="6"/>
        <v>Stärke</v>
      </c>
    </row>
    <row r="22" spans="1:9" x14ac:dyDescent="0.2">
      <c r="A22" s="3">
        <v>4</v>
      </c>
      <c r="B22" s="15" t="str">
        <f t="shared" si="7"/>
        <v>Finanzsicht</v>
      </c>
      <c r="C22" s="15"/>
      <c r="D22" s="15"/>
      <c r="E22" s="9"/>
      <c r="F22" s="14">
        <f t="shared" si="4"/>
        <v>4</v>
      </c>
      <c r="G22" s="6">
        <v>-1</v>
      </c>
      <c r="H22" s="6">
        <f t="shared" si="5"/>
        <v>-4</v>
      </c>
      <c r="I22" s="5" t="str">
        <f t="shared" si="6"/>
        <v>Schwäche</v>
      </c>
    </row>
    <row r="23" spans="1:9" x14ac:dyDescent="0.2">
      <c r="A23" s="3">
        <v>5</v>
      </c>
      <c r="B23" s="15" t="str">
        <f t="shared" si="7"/>
        <v>Organisations- und Informationssicht</v>
      </c>
      <c r="C23" s="15"/>
      <c r="D23" s="15"/>
      <c r="E23" s="9"/>
      <c r="F23" s="14">
        <f t="shared" si="4"/>
        <v>3</v>
      </c>
      <c r="G23" s="6">
        <v>1</v>
      </c>
      <c r="H23" s="6">
        <f t="shared" si="5"/>
        <v>3</v>
      </c>
      <c r="I23" s="5" t="str">
        <f t="shared" si="6"/>
        <v>Stärke</v>
      </c>
    </row>
    <row r="24" spans="1:9" x14ac:dyDescent="0.2">
      <c r="A24" s="3">
        <v>6</v>
      </c>
      <c r="B24" s="15" t="str">
        <f t="shared" si="7"/>
        <v>Personal- und Führungssicht</v>
      </c>
      <c r="C24" s="15"/>
      <c r="D24" s="15"/>
      <c r="E24" s="9"/>
      <c r="F24" s="14">
        <f t="shared" si="4"/>
        <v>3</v>
      </c>
      <c r="G24" s="6">
        <v>1</v>
      </c>
      <c r="H24" s="6">
        <f t="shared" si="5"/>
        <v>3</v>
      </c>
      <c r="I24" s="5" t="str">
        <f t="shared" si="6"/>
        <v>Stärke</v>
      </c>
    </row>
    <row r="25" spans="1:9" x14ac:dyDescent="0.2">
      <c r="A25" s="3">
        <v>7</v>
      </c>
      <c r="B25" s="15" t="str">
        <f t="shared" si="7"/>
        <v>Unternehmenskultur</v>
      </c>
      <c r="C25" s="15"/>
      <c r="D25" s="15"/>
      <c r="E25" s="9"/>
      <c r="F25" s="14">
        <f t="shared" si="4"/>
        <v>2</v>
      </c>
      <c r="G25" s="6">
        <v>2</v>
      </c>
      <c r="H25" s="6">
        <f t="shared" si="5"/>
        <v>4</v>
      </c>
      <c r="I25" s="5" t="str">
        <f t="shared" si="6"/>
        <v>Stärke</v>
      </c>
    </row>
    <row r="26" spans="1:9" x14ac:dyDescent="0.2">
      <c r="A26" s="3">
        <v>8</v>
      </c>
      <c r="B26" s="15">
        <f t="shared" si="7"/>
        <v>0</v>
      </c>
      <c r="C26" s="15"/>
      <c r="D26" s="15"/>
      <c r="E26" s="9"/>
      <c r="F26" s="14">
        <f t="shared" si="4"/>
        <v>0</v>
      </c>
      <c r="G26" s="6"/>
      <c r="H26" s="6" t="str">
        <f t="shared" si="5"/>
        <v/>
      </c>
      <c r="I26" s="5" t="str">
        <f t="shared" si="6"/>
        <v/>
      </c>
    </row>
    <row r="27" spans="1:9" x14ac:dyDescent="0.2">
      <c r="A27" s="3">
        <v>9</v>
      </c>
      <c r="B27" s="15">
        <f t="shared" si="7"/>
        <v>0</v>
      </c>
      <c r="C27" s="15"/>
      <c r="D27" s="15"/>
      <c r="E27" s="9"/>
      <c r="F27" s="14">
        <f t="shared" si="4"/>
        <v>0</v>
      </c>
      <c r="G27" s="6"/>
      <c r="H27" s="6" t="str">
        <f t="shared" si="5"/>
        <v/>
      </c>
      <c r="I27" s="5" t="str">
        <f t="shared" si="6"/>
        <v/>
      </c>
    </row>
    <row r="28" spans="1:9" x14ac:dyDescent="0.2">
      <c r="A28" s="3">
        <v>10</v>
      </c>
      <c r="B28" s="15">
        <f t="shared" si="7"/>
        <v>0</v>
      </c>
      <c r="C28" s="15"/>
      <c r="D28" s="15"/>
      <c r="E28" s="9"/>
      <c r="F28" s="14">
        <f t="shared" si="4"/>
        <v>0</v>
      </c>
      <c r="G28" s="6"/>
      <c r="H28" s="6" t="str">
        <f t="shared" si="5"/>
        <v/>
      </c>
      <c r="I28" s="5" t="str">
        <f t="shared" si="6"/>
        <v/>
      </c>
    </row>
    <row r="51" spans="2:4" x14ac:dyDescent="0.2">
      <c r="B51" s="44"/>
      <c r="C51" s="44"/>
      <c r="D51" s="44"/>
    </row>
    <row r="54" spans="2:4" x14ac:dyDescent="0.2">
      <c r="B54" s="45"/>
      <c r="C54" s="45"/>
      <c r="D54" s="45"/>
    </row>
  </sheetData>
  <mergeCells count="2">
    <mergeCell ref="B4:I4"/>
    <mergeCell ref="B17:I17"/>
  </mergeCells>
  <phoneticPr fontId="0" type="noConversion"/>
  <conditionalFormatting sqref="I18:I65535 I1:I3 I5:I16">
    <cfRule type="expression" priority="1" stopIfTrue="1">
      <formula>ISBLANK(I1)</formula>
    </cfRule>
    <cfRule type="expression" dxfId="38" priority="2" stopIfTrue="1">
      <formula>FIND("Schwäche",I1)</formula>
    </cfRule>
    <cfRule type="expression" dxfId="37" priority="3" stopIfTrue="1">
      <formula>FIND("Stärke",I1)</formula>
    </cfRule>
  </conditionalFormatting>
  <dataValidations count="4">
    <dataValidation type="list" allowBlank="1" showInputMessage="1" showErrorMessage="1" sqref="G19:G25 G6:G15">
      <formula1>Bewertungsskala</formula1>
    </dataValidation>
    <dataValidation type="list" allowBlank="1" showInputMessage="1" showErrorMessage="1" sqref="B17:I17">
      <formula1>Wettbewerber</formula1>
    </dataValidation>
    <dataValidation type="list" allowBlank="1" showInputMessage="1" showErrorMessage="1" sqref="F6:F15">
      <formula1>Gewichtung</formula1>
    </dataValidation>
    <dataValidation type="list" allowBlank="1" showInputMessage="1" showErrorMessage="1" sqref="B6:B15">
      <formula1>Analysebereiche</formula1>
    </dataValidation>
  </dataValidations>
  <hyperlinks>
    <hyperlink ref="F1" location="Basisdaten!A1" display="Basisdaten!A1"/>
    <hyperlink ref="F2" location="StärkenSchwächen!A1" display="StärkenSchwächen!A1"/>
  </hyperlinks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C26"/>
  <sheetViews>
    <sheetView zoomScale="85" zoomScaleNormal="85" workbookViewId="0">
      <selection activeCell="D36" sqref="D36"/>
    </sheetView>
  </sheetViews>
  <sheetFormatPr baseColWidth="10" defaultRowHeight="12.75" x14ac:dyDescent="0.2"/>
  <cols>
    <col min="1" max="1" width="45.140625" customWidth="1"/>
    <col min="2" max="2" width="44" customWidth="1"/>
    <col min="3" max="3" width="3.42578125" style="13" customWidth="1"/>
    <col min="4" max="4" width="11.85546875" customWidth="1"/>
    <col min="5" max="5" width="8.5703125" customWidth="1"/>
    <col min="6" max="6" width="15.140625" customWidth="1"/>
    <col min="7" max="7" width="15.85546875" customWidth="1"/>
    <col min="9" max="9" width="12.7109375" customWidth="1"/>
  </cols>
  <sheetData>
    <row r="1" spans="1:1" ht="15.75" x14ac:dyDescent="0.25">
      <c r="A1" s="7" t="s">
        <v>262</v>
      </c>
    </row>
    <row r="23" spans="1:1" x14ac:dyDescent="0.2">
      <c r="A23" s="44"/>
    </row>
    <row r="26" spans="1:1" x14ac:dyDescent="0.2">
      <c r="A26" s="45"/>
    </row>
  </sheetData>
  <conditionalFormatting sqref="F1:F65507">
    <cfRule type="expression" priority="1" stopIfTrue="1">
      <formula>ISBLANK(F1)</formula>
    </cfRule>
    <cfRule type="expression" dxfId="36" priority="2" stopIfTrue="1">
      <formula>FIND("Schwäche",F1)</formula>
    </cfRule>
    <cfRule type="expression" dxfId="35" priority="3" stopIfTrue="1">
      <formula>FIND("Stärke",F1)</formula>
    </cfRule>
  </conditionalFormatting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G13"/>
  <sheetViews>
    <sheetView zoomScale="90" zoomScaleNormal="90" workbookViewId="0"/>
  </sheetViews>
  <sheetFormatPr baseColWidth="10" defaultRowHeight="12.75" x14ac:dyDescent="0.2"/>
  <cols>
    <col min="1" max="1" width="30" bestFit="1" customWidth="1"/>
    <col min="2" max="2" width="31.42578125" customWidth="1"/>
    <col min="3" max="3" width="40.28515625" style="12" customWidth="1"/>
    <col min="4" max="5" width="9" customWidth="1"/>
    <col min="6" max="6" width="4.5703125" style="12" customWidth="1"/>
    <col min="7" max="7" width="33.28515625" style="3" customWidth="1"/>
    <col min="8" max="8" width="5.28515625" customWidth="1"/>
  </cols>
  <sheetData>
    <row r="1" spans="1:7" ht="15.75" x14ac:dyDescent="0.25">
      <c r="A1" s="7" t="s">
        <v>28</v>
      </c>
      <c r="B1" s="7"/>
    </row>
    <row r="2" spans="1:7" ht="14.25" customHeight="1" x14ac:dyDescent="0.2"/>
    <row r="3" spans="1:7" x14ac:dyDescent="0.2">
      <c r="A3" s="53" t="s">
        <v>39</v>
      </c>
      <c r="B3" s="53" t="s">
        <v>29</v>
      </c>
      <c r="C3" s="54" t="s">
        <v>30</v>
      </c>
      <c r="D3" s="16" t="s">
        <v>31</v>
      </c>
      <c r="E3" s="16" t="s">
        <v>32</v>
      </c>
      <c r="F3" s="18" t="s">
        <v>2</v>
      </c>
      <c r="G3" s="17" t="s">
        <v>33</v>
      </c>
    </row>
    <row r="4" spans="1:7" ht="25.5" customHeight="1" x14ac:dyDescent="0.2">
      <c r="A4" s="5" t="s">
        <v>34</v>
      </c>
      <c r="B4" t="s">
        <v>41</v>
      </c>
      <c r="C4" s="12" t="s">
        <v>75</v>
      </c>
      <c r="F4" s="3">
        <v>1</v>
      </c>
      <c r="G4" s="12" t="s">
        <v>77</v>
      </c>
    </row>
    <row r="5" spans="1:7" ht="25.5" customHeight="1" x14ac:dyDescent="0.2">
      <c r="A5" s="5" t="s">
        <v>36</v>
      </c>
      <c r="B5" t="s">
        <v>54</v>
      </c>
      <c r="C5" s="12" t="s">
        <v>63</v>
      </c>
      <c r="F5" s="3">
        <v>1</v>
      </c>
      <c r="G5" s="12" t="s">
        <v>78</v>
      </c>
    </row>
    <row r="6" spans="1:7" ht="25.5" customHeight="1" x14ac:dyDescent="0.2">
      <c r="A6" s="5" t="s">
        <v>35</v>
      </c>
      <c r="B6" t="s">
        <v>49</v>
      </c>
      <c r="C6" s="12" t="s">
        <v>76</v>
      </c>
      <c r="F6" s="3">
        <v>1</v>
      </c>
      <c r="G6" s="12" t="s">
        <v>79</v>
      </c>
    </row>
    <row r="7" spans="1:7" ht="25.5" customHeight="1" x14ac:dyDescent="0.2">
      <c r="A7" s="5" t="s">
        <v>38</v>
      </c>
      <c r="B7" t="s">
        <v>59</v>
      </c>
      <c r="C7" s="12" t="s">
        <v>80</v>
      </c>
      <c r="F7" s="3">
        <v>2</v>
      </c>
      <c r="G7" s="12" t="s">
        <v>81</v>
      </c>
    </row>
    <row r="8" spans="1:7" ht="25.5" customHeight="1" x14ac:dyDescent="0.2">
      <c r="A8" s="5" t="s">
        <v>34</v>
      </c>
      <c r="B8" t="s">
        <v>41</v>
      </c>
      <c r="C8" s="12" t="s">
        <v>82</v>
      </c>
      <c r="F8" s="3">
        <v>2</v>
      </c>
      <c r="G8" s="12" t="s">
        <v>83</v>
      </c>
    </row>
    <row r="9" spans="1:7" ht="25.5" customHeight="1" x14ac:dyDescent="0.2">
      <c r="A9" s="5" t="s">
        <v>34</v>
      </c>
      <c r="B9" t="s">
        <v>42</v>
      </c>
      <c r="C9" s="12" t="s">
        <v>84</v>
      </c>
      <c r="F9" s="3">
        <v>2</v>
      </c>
      <c r="G9" s="12" t="s">
        <v>85</v>
      </c>
    </row>
    <row r="10" spans="1:7" ht="25.5" customHeight="1" x14ac:dyDescent="0.2"/>
    <row r="11" spans="1:7" ht="25.5" customHeight="1" x14ac:dyDescent="0.2"/>
    <row r="12" spans="1:7" ht="25.5" customHeight="1" x14ac:dyDescent="0.2"/>
    <row r="13" spans="1:7" ht="25.5" customHeight="1" x14ac:dyDescent="0.2"/>
  </sheetData>
  <phoneticPr fontId="4" type="noConversion"/>
  <dataValidations count="2">
    <dataValidation type="list" allowBlank="1" showInputMessage="1" showErrorMessage="1" sqref="B4:B13">
      <formula1>INDIRECT("Umwelt"&amp;MATCH(A4,Umweltanalysebereiche,0))</formula1>
    </dataValidation>
    <dataValidation type="list" allowBlank="1" showInputMessage="1" showErrorMessage="1" sqref="A4:A13">
      <formula1>Umweltanalysebereiche</formula1>
    </dataValidation>
  </dataValidations>
  <pageMargins left="0.78740157499999996" right="0.78740157499999996" top="0.984251969" bottom="0.984251969" header="0.4921259845" footer="0.492125984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0" r:id="rId3" name="Group Box 4">
              <controlPr defaultSize="0" autoFill="0" autoPict="0">
                <anchor moveWithCells="1">
                  <from>
                    <xdr:col>3</xdr:col>
                    <xdr:colOff>0</xdr:colOff>
                    <xdr:row>3</xdr:row>
                    <xdr:rowOff>0</xdr:rowOff>
                  </from>
                  <to>
                    <xdr:col>5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4" name="Option Button 5">
              <controlPr defaultSize="0" autoFill="0" autoLine="0" autoPict="0">
                <anchor moveWithCells="1">
                  <from>
                    <xdr:col>3</xdr:col>
                    <xdr:colOff>180975</xdr:colOff>
                    <xdr:row>3</xdr:row>
                    <xdr:rowOff>0</xdr:rowOff>
                  </from>
                  <to>
                    <xdr:col>3</xdr:col>
                    <xdr:colOff>485775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5" name="Option Button 6">
              <controlPr defaultSize="0" autoFill="0" autoLine="0" autoPict="0">
                <anchor moveWithCells="1">
                  <from>
                    <xdr:col>4</xdr:col>
                    <xdr:colOff>180975</xdr:colOff>
                    <xdr:row>3</xdr:row>
                    <xdr:rowOff>0</xdr:rowOff>
                  </from>
                  <to>
                    <xdr:col>4</xdr:col>
                    <xdr:colOff>485775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6" name="Group Box 7">
              <controlPr defaultSize="0" autoFill="0" autoPict="0">
                <anchor moveWithCells="1">
                  <from>
                    <xdr:col>3</xdr:col>
                    <xdr:colOff>0</xdr:colOff>
                    <xdr:row>4</xdr:row>
                    <xdr:rowOff>0</xdr:rowOff>
                  </from>
                  <to>
                    <xdr:col>5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7" name="Option Button 8">
              <controlPr defaultSize="0" autoFill="0" autoLine="0" autoPict="0">
                <anchor moveWithCells="1">
                  <from>
                    <xdr:col>3</xdr:col>
                    <xdr:colOff>180975</xdr:colOff>
                    <xdr:row>4</xdr:row>
                    <xdr:rowOff>0</xdr:rowOff>
                  </from>
                  <to>
                    <xdr:col>3</xdr:col>
                    <xdr:colOff>485775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8" name="Option Button 9">
              <controlPr defaultSize="0" autoFill="0" autoLine="0" autoPict="0">
                <anchor moveWithCells="1">
                  <from>
                    <xdr:col>4</xdr:col>
                    <xdr:colOff>180975</xdr:colOff>
                    <xdr:row>4</xdr:row>
                    <xdr:rowOff>0</xdr:rowOff>
                  </from>
                  <to>
                    <xdr:col>4</xdr:col>
                    <xdr:colOff>485775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9" name="Group Box 10">
              <controlPr defaultSize="0" autoFill="0" autoPict="0">
                <anchor moveWithCells="1">
                  <from>
                    <xdr:col>3</xdr:col>
                    <xdr:colOff>0</xdr:colOff>
                    <xdr:row>5</xdr:row>
                    <xdr:rowOff>0</xdr:rowOff>
                  </from>
                  <to>
                    <xdr:col>5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0" name="Option Button 11">
              <controlPr defaultSize="0" autoFill="0" autoLine="0" autoPict="0">
                <anchor moveWithCells="1">
                  <from>
                    <xdr:col>3</xdr:col>
                    <xdr:colOff>180975</xdr:colOff>
                    <xdr:row>5</xdr:row>
                    <xdr:rowOff>0</xdr:rowOff>
                  </from>
                  <to>
                    <xdr:col>3</xdr:col>
                    <xdr:colOff>485775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1" name="Option Button 12">
              <controlPr defaultSize="0" autoFill="0" autoLine="0" autoPict="0">
                <anchor moveWithCells="1">
                  <from>
                    <xdr:col>4</xdr:col>
                    <xdr:colOff>180975</xdr:colOff>
                    <xdr:row>5</xdr:row>
                    <xdr:rowOff>0</xdr:rowOff>
                  </from>
                  <to>
                    <xdr:col>4</xdr:col>
                    <xdr:colOff>485775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2" name="Group Box 13">
              <controlPr defaultSize="0" autoFill="0" autoPict="0">
                <anchor moveWithCells="1">
                  <from>
                    <xdr:col>3</xdr:col>
                    <xdr:colOff>0</xdr:colOff>
                    <xdr:row>6</xdr:row>
                    <xdr:rowOff>0</xdr:rowOff>
                  </from>
                  <to>
                    <xdr:col>5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3" name="Option Button 14">
              <controlPr defaultSize="0" autoFill="0" autoLine="0" autoPict="0">
                <anchor moveWithCells="1">
                  <from>
                    <xdr:col>3</xdr:col>
                    <xdr:colOff>180975</xdr:colOff>
                    <xdr:row>6</xdr:row>
                    <xdr:rowOff>0</xdr:rowOff>
                  </from>
                  <to>
                    <xdr:col>3</xdr:col>
                    <xdr:colOff>485775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4" name="Option Button 15">
              <controlPr defaultSize="0" autoFill="0" autoLine="0" autoPict="0">
                <anchor moveWithCells="1">
                  <from>
                    <xdr:col>4</xdr:col>
                    <xdr:colOff>180975</xdr:colOff>
                    <xdr:row>6</xdr:row>
                    <xdr:rowOff>0</xdr:rowOff>
                  </from>
                  <to>
                    <xdr:col>4</xdr:col>
                    <xdr:colOff>485775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5" name="Group Box 16">
              <controlPr defaultSize="0" autoFill="0" autoPict="0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5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16" name="Option Button 17">
              <controlPr defaultSize="0" autoFill="0" autoLine="0" autoPict="0">
                <anchor moveWithCells="1">
                  <from>
                    <xdr:col>3</xdr:col>
                    <xdr:colOff>180975</xdr:colOff>
                    <xdr:row>7</xdr:row>
                    <xdr:rowOff>0</xdr:rowOff>
                  </from>
                  <to>
                    <xdr:col>3</xdr:col>
                    <xdr:colOff>485775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17" name="Option Button 18">
              <controlPr defaultSize="0" autoFill="0" autoLine="0" autoPict="0">
                <anchor moveWithCells="1">
                  <from>
                    <xdr:col>4</xdr:col>
                    <xdr:colOff>180975</xdr:colOff>
                    <xdr:row>7</xdr:row>
                    <xdr:rowOff>0</xdr:rowOff>
                  </from>
                  <to>
                    <xdr:col>4</xdr:col>
                    <xdr:colOff>485775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18" name="Group Box 19">
              <controlPr defaultSize="0" autoFill="0" autoPict="0">
                <anchor moveWithCells="1">
                  <from>
                    <xdr:col>3</xdr:col>
                    <xdr:colOff>0</xdr:colOff>
                    <xdr:row>8</xdr:row>
                    <xdr:rowOff>0</xdr:rowOff>
                  </from>
                  <to>
                    <xdr:col>5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19" name="Option Button 20">
              <controlPr defaultSize="0" autoFill="0" autoLine="0" autoPict="0">
                <anchor moveWithCells="1">
                  <from>
                    <xdr:col>3</xdr:col>
                    <xdr:colOff>180975</xdr:colOff>
                    <xdr:row>8</xdr:row>
                    <xdr:rowOff>0</xdr:rowOff>
                  </from>
                  <to>
                    <xdr:col>3</xdr:col>
                    <xdr:colOff>485775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0" name="Option Button 21">
              <controlPr defaultSize="0" autoFill="0" autoLine="0" autoPict="0">
                <anchor moveWithCells="1">
                  <from>
                    <xdr:col>4</xdr:col>
                    <xdr:colOff>180975</xdr:colOff>
                    <xdr:row>8</xdr:row>
                    <xdr:rowOff>0</xdr:rowOff>
                  </from>
                  <to>
                    <xdr:col>4</xdr:col>
                    <xdr:colOff>485775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1" name="Group Box 22">
              <controlPr defaultSize="0" autoFill="0" autoPict="0">
                <anchor moveWithCells="1">
                  <from>
                    <xdr:col>3</xdr:col>
                    <xdr:colOff>0</xdr:colOff>
                    <xdr:row>9</xdr:row>
                    <xdr:rowOff>0</xdr:rowOff>
                  </from>
                  <to>
                    <xdr:col>5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2" name="Option Button 23">
              <controlPr defaultSize="0" autoFill="0" autoLine="0" autoPict="0">
                <anchor moveWithCells="1">
                  <from>
                    <xdr:col>3</xdr:col>
                    <xdr:colOff>180975</xdr:colOff>
                    <xdr:row>9</xdr:row>
                    <xdr:rowOff>0</xdr:rowOff>
                  </from>
                  <to>
                    <xdr:col>3</xdr:col>
                    <xdr:colOff>485775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3" name="Option Button 24">
              <controlPr defaultSize="0" autoFill="0" autoLine="0" autoPict="0">
                <anchor moveWithCells="1">
                  <from>
                    <xdr:col>4</xdr:col>
                    <xdr:colOff>180975</xdr:colOff>
                    <xdr:row>9</xdr:row>
                    <xdr:rowOff>0</xdr:rowOff>
                  </from>
                  <to>
                    <xdr:col>4</xdr:col>
                    <xdr:colOff>485775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4" name="Group Box 25">
              <controlPr defaultSize="0" autoFill="0" autoPict="0">
                <anchor moveWithCells="1">
                  <from>
                    <xdr:col>3</xdr:col>
                    <xdr:colOff>0</xdr:colOff>
                    <xdr:row>10</xdr:row>
                    <xdr:rowOff>0</xdr:rowOff>
                  </from>
                  <to>
                    <xdr:col>5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5" name="Option Button 26">
              <controlPr defaultSize="0" autoFill="0" autoLine="0" autoPict="0">
                <anchor moveWithCells="1">
                  <from>
                    <xdr:col>3</xdr:col>
                    <xdr:colOff>180975</xdr:colOff>
                    <xdr:row>10</xdr:row>
                    <xdr:rowOff>0</xdr:rowOff>
                  </from>
                  <to>
                    <xdr:col>3</xdr:col>
                    <xdr:colOff>485775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6" name="Option Button 27">
              <controlPr defaultSize="0" autoFill="0" autoLine="0" autoPict="0">
                <anchor moveWithCells="1">
                  <from>
                    <xdr:col>4</xdr:col>
                    <xdr:colOff>180975</xdr:colOff>
                    <xdr:row>10</xdr:row>
                    <xdr:rowOff>0</xdr:rowOff>
                  </from>
                  <to>
                    <xdr:col>4</xdr:col>
                    <xdr:colOff>485775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7" name="Group Box 28">
              <controlPr defaultSize="0" autoFill="0" autoPict="0">
                <anchor moveWithCells="1">
                  <from>
                    <xdr:col>3</xdr:col>
                    <xdr:colOff>0</xdr:colOff>
                    <xdr:row>11</xdr:row>
                    <xdr:rowOff>0</xdr:rowOff>
                  </from>
                  <to>
                    <xdr:col>5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8" name="Option Button 29">
              <controlPr defaultSize="0" autoFill="0" autoLine="0" autoPict="0">
                <anchor moveWithCells="1">
                  <from>
                    <xdr:col>3</xdr:col>
                    <xdr:colOff>180975</xdr:colOff>
                    <xdr:row>11</xdr:row>
                    <xdr:rowOff>0</xdr:rowOff>
                  </from>
                  <to>
                    <xdr:col>3</xdr:col>
                    <xdr:colOff>485775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29" name="Option Button 30">
              <controlPr defaultSize="0" autoFill="0" autoLine="0" autoPict="0">
                <anchor moveWithCells="1">
                  <from>
                    <xdr:col>4</xdr:col>
                    <xdr:colOff>180975</xdr:colOff>
                    <xdr:row>11</xdr:row>
                    <xdr:rowOff>0</xdr:rowOff>
                  </from>
                  <to>
                    <xdr:col>4</xdr:col>
                    <xdr:colOff>485775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0" name="Group Box 31">
              <controlPr defaultSize="0" autoFill="0" autoPict="0">
                <anchor moveWithCells="1">
                  <from>
                    <xdr:col>3</xdr:col>
                    <xdr:colOff>0</xdr:colOff>
                    <xdr:row>12</xdr:row>
                    <xdr:rowOff>0</xdr:rowOff>
                  </from>
                  <to>
                    <xdr:col>5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1" name="Option Button 32">
              <controlPr defaultSize="0" autoFill="0" autoLine="0" autoPict="0">
                <anchor moveWithCells="1">
                  <from>
                    <xdr:col>3</xdr:col>
                    <xdr:colOff>180975</xdr:colOff>
                    <xdr:row>12</xdr:row>
                    <xdr:rowOff>0</xdr:rowOff>
                  </from>
                  <to>
                    <xdr:col>3</xdr:col>
                    <xdr:colOff>485775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2" name="Option Button 33">
              <controlPr defaultSize="0" autoFill="0" autoLine="0" autoPict="0">
                <anchor moveWithCells="1">
                  <from>
                    <xdr:col>4</xdr:col>
                    <xdr:colOff>180975</xdr:colOff>
                    <xdr:row>12</xdr:row>
                    <xdr:rowOff>0</xdr:rowOff>
                  </from>
                  <to>
                    <xdr:col>4</xdr:col>
                    <xdr:colOff>485775</xdr:colOff>
                    <xdr:row>13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N23"/>
  <sheetViews>
    <sheetView showGridLines="0" tabSelected="1" zoomScale="85" zoomScaleNormal="85" workbookViewId="0">
      <selection activeCell="E9" sqref="E9"/>
    </sheetView>
  </sheetViews>
  <sheetFormatPr baseColWidth="10" defaultRowHeight="12.75" outlineLevelCol="1" x14ac:dyDescent="0.2"/>
  <cols>
    <col min="1" max="1" width="6" customWidth="1"/>
    <col min="2" max="2" width="40.42578125" style="19" customWidth="1"/>
    <col min="3" max="4" width="3" style="19" customWidth="1"/>
    <col min="5" max="5" width="43.5703125" style="19" customWidth="1"/>
    <col min="6" max="7" width="3" style="19" customWidth="1"/>
    <col min="8" max="8" width="48.140625" style="19" customWidth="1"/>
    <col min="9" max="9" width="2.85546875" style="89" bestFit="1" customWidth="1"/>
    <col min="10" max="10" width="2.5703125" style="89" customWidth="1"/>
    <col min="11" max="11" width="5" customWidth="1"/>
    <col min="12" max="12" width="15.42578125" hidden="1" customWidth="1" outlineLevel="1"/>
    <col min="13" max="13" width="5.5703125" hidden="1" customWidth="1" outlineLevel="1"/>
    <col min="14" max="14" width="5.85546875" customWidth="1" collapsed="1"/>
  </cols>
  <sheetData>
    <row r="1" spans="1:13" ht="27.75" customHeight="1" x14ac:dyDescent="0.2">
      <c r="A1" s="131" t="s">
        <v>64</v>
      </c>
      <c r="B1" s="131"/>
      <c r="C1" s="100"/>
      <c r="D1" s="100"/>
      <c r="E1" s="100"/>
      <c r="F1" s="100"/>
      <c r="G1" s="100"/>
      <c r="H1" s="100"/>
      <c r="I1" s="88"/>
      <c r="J1" s="88"/>
      <c r="L1" s="73" t="s">
        <v>269</v>
      </c>
      <c r="M1">
        <f ca="1">CELL("Zeile")</f>
        <v>9</v>
      </c>
    </row>
    <row r="2" spans="1:13" ht="31.5" customHeight="1" x14ac:dyDescent="0.2">
      <c r="C2" s="125"/>
      <c r="D2" s="126"/>
      <c r="E2" s="91" t="s">
        <v>71</v>
      </c>
      <c r="F2" s="70"/>
      <c r="G2" s="70"/>
      <c r="H2" s="91" t="s">
        <v>72</v>
      </c>
      <c r="I2" s="88"/>
      <c r="J2" s="88"/>
      <c r="L2" s="73" t="s">
        <v>270</v>
      </c>
      <c r="M2">
        <f ca="1">CELL("Spalte")</f>
        <v>5</v>
      </c>
    </row>
    <row r="3" spans="1:13" ht="25.5" customHeight="1" x14ac:dyDescent="0.2">
      <c r="C3" s="129">
        <v>1</v>
      </c>
      <c r="D3" s="130"/>
      <c r="E3" s="74" t="str">
        <f t="array" ref="E3:E7">Stärken</f>
        <v>Gute Corporate Governance</v>
      </c>
      <c r="F3" s="132">
        <v>1</v>
      </c>
      <c r="G3" s="133"/>
      <c r="H3" s="77" t="str">
        <f t="array" ref="H3:H7">Schwächen</f>
        <v>Fehlende schriftlich fixierte Strategie</v>
      </c>
      <c r="I3" s="88"/>
      <c r="J3" s="88"/>
      <c r="L3" s="73" t="s">
        <v>271</v>
      </c>
      <c r="M3">
        <f ca="1">IF(AND($M$1&gt;=9,$M$1&lt;=13,$M$2=5),INDIRECT(ADDRESS($M$1,CELL("Spalte")+1)),"")</f>
        <v>4</v>
      </c>
    </row>
    <row r="4" spans="1:13" ht="25.5" customHeight="1" x14ac:dyDescent="0.2">
      <c r="C4" s="127">
        <v>2</v>
      </c>
      <c r="D4" s="128"/>
      <c r="E4" s="75" t="str">
        <v>Hohe Cash-Position</v>
      </c>
      <c r="F4" s="134">
        <v>2</v>
      </c>
      <c r="G4" s="135"/>
      <c r="H4" s="78" t="str">
        <v>Schwaches Marketing im Südpazifik</v>
      </c>
      <c r="I4" s="88"/>
      <c r="J4" s="88"/>
      <c r="L4" s="73" t="s">
        <v>272</v>
      </c>
      <c r="M4">
        <f ca="1">IF(AND($M$1&gt;=9,$M$1&lt;=13,$M$2=5),INDIRECT(ADDRESS($M$1,CELL("Spalte")+2)),"")</f>
        <v>2</v>
      </c>
    </row>
    <row r="5" spans="1:13" ht="25.5" customHeight="1" x14ac:dyDescent="0.2">
      <c r="C5" s="127">
        <v>3</v>
      </c>
      <c r="D5" s="128"/>
      <c r="E5" s="75" t="str">
        <v>Hohe Mitarbeitermotivation</v>
      </c>
      <c r="F5" s="127">
        <v>3</v>
      </c>
      <c r="G5" s="128"/>
      <c r="H5" s="75" t="str">
        <v>Sicherheitsmängel in der Web-Administration</v>
      </c>
      <c r="I5" s="88"/>
      <c r="J5" s="88"/>
      <c r="L5" s="73" t="s">
        <v>273</v>
      </c>
      <c r="M5" t="str">
        <f ca="1">IF(AND($M$1&gt;=15,$M$1&lt;=19,$M$2=5),INDIRECT(ADDRESS($M$1,CELL("Spalte")+1)),"")</f>
        <v/>
      </c>
    </row>
    <row r="6" spans="1:13" ht="25.5" customHeight="1" x14ac:dyDescent="0.2">
      <c r="C6" s="127">
        <v>4</v>
      </c>
      <c r="D6" s="128"/>
      <c r="E6" s="75" t="str">
        <v>Weltweit führend im Forschungsbereich</v>
      </c>
      <c r="F6" s="127">
        <v>4</v>
      </c>
      <c r="G6" s="128"/>
      <c r="H6" s="75">
        <v>0</v>
      </c>
      <c r="I6" s="88"/>
      <c r="J6" s="88"/>
      <c r="L6" s="73" t="s">
        <v>274</v>
      </c>
      <c r="M6" t="str">
        <f ca="1">IF(AND($M$1&gt;=15,$M$1&lt;=19,$M$2=5),INDIRECT(ADDRESS($M$1,CELL("Spalte")+2)),"")</f>
        <v/>
      </c>
    </row>
    <row r="7" spans="1:13" ht="25.5" customHeight="1" x14ac:dyDescent="0.2">
      <c r="C7" s="123">
        <v>5</v>
      </c>
      <c r="D7" s="124"/>
      <c r="E7" s="76">
        <v>0</v>
      </c>
      <c r="F7" s="123">
        <v>5</v>
      </c>
      <c r="G7" s="124"/>
      <c r="H7" s="76">
        <v>0</v>
      </c>
      <c r="I7" s="88"/>
      <c r="J7" s="88"/>
      <c r="L7" s="73" t="s">
        <v>275</v>
      </c>
      <c r="M7" t="str">
        <f ca="1">IF(AND($M$1&gt;=9,$M$1&lt;=13,$M$2=8),INDIRECT(ADDRESS($M$1,CELL("Spalte")+1)),"")</f>
        <v/>
      </c>
    </row>
    <row r="8" spans="1:13" ht="27.75" customHeight="1" x14ac:dyDescent="0.2">
      <c r="B8" s="91" t="s">
        <v>65</v>
      </c>
      <c r="C8" s="121"/>
      <c r="D8" s="122"/>
      <c r="E8" s="95" t="s">
        <v>67</v>
      </c>
      <c r="F8" s="72" t="s">
        <v>267</v>
      </c>
      <c r="G8" s="72" t="s">
        <v>268</v>
      </c>
      <c r="H8" s="95" t="s">
        <v>68</v>
      </c>
      <c r="I8" s="92" t="s">
        <v>280</v>
      </c>
      <c r="J8" s="92" t="s">
        <v>268</v>
      </c>
      <c r="L8" s="73" t="s">
        <v>276</v>
      </c>
      <c r="M8" t="str">
        <f ca="1">IF(AND($M$1&gt;=9,$M$1&lt;=13,$M$2=8),INDIRECT(ADDRESS($M$1,CELL("Spalte")+2)),"")</f>
        <v/>
      </c>
    </row>
    <row r="9" spans="1:13" ht="25.5" customHeight="1" x14ac:dyDescent="0.2">
      <c r="A9" s="93">
        <v>1</v>
      </c>
      <c r="B9" s="74" t="str">
        <f t="array" ref="B9:B13">Chancen</f>
        <v>Einkommenssteigerung 12% p.a.</v>
      </c>
      <c r="C9" s="121"/>
      <c r="D9" s="122"/>
      <c r="E9" s="81" t="s">
        <v>86</v>
      </c>
      <c r="F9" s="68">
        <v>4</v>
      </c>
      <c r="G9" s="68">
        <v>2</v>
      </c>
      <c r="H9" s="81" t="s">
        <v>88</v>
      </c>
      <c r="I9" s="97">
        <v>2</v>
      </c>
      <c r="J9" s="97">
        <v>3</v>
      </c>
      <c r="L9" s="73" t="s">
        <v>277</v>
      </c>
      <c r="M9" t="str">
        <f ca="1">IF(AND($M$1&gt;=15,$M$1&lt;=19,$M$2=8),INDIRECT(ADDRESS($M$1,CELL("Spalte")+1)),"")</f>
        <v/>
      </c>
    </row>
    <row r="10" spans="1:13" ht="25.5" customHeight="1" x14ac:dyDescent="0.2">
      <c r="A10" s="93">
        <v>2</v>
      </c>
      <c r="B10" s="75" t="str">
        <v>Gesundheitsbewusstsein zunehmend</v>
      </c>
      <c r="C10" s="121"/>
      <c r="D10" s="122"/>
      <c r="E10" s="82" t="s">
        <v>87</v>
      </c>
      <c r="F10" s="68">
        <v>2</v>
      </c>
      <c r="G10" s="68">
        <v>3</v>
      </c>
      <c r="H10" s="84" t="s">
        <v>89</v>
      </c>
      <c r="I10" s="97"/>
      <c r="J10" s="97"/>
      <c r="L10" s="73" t="s">
        <v>278</v>
      </c>
      <c r="M10" t="str">
        <f ca="1">IF(AND($M$1&gt;=15,$M$1&lt;=19,$M$2=8),INDIRECT(ADDRESS($M$1,CELL("Spalte")+2)),"")</f>
        <v/>
      </c>
    </row>
    <row r="11" spans="1:13" ht="25.5" customHeight="1" x14ac:dyDescent="0.2">
      <c r="A11" s="93">
        <v>3</v>
      </c>
      <c r="B11" s="75" t="str">
        <v>Handelsabkommen mit China</v>
      </c>
      <c r="C11" s="121"/>
      <c r="D11" s="122"/>
      <c r="E11" s="83"/>
      <c r="F11" s="96">
        <v>3</v>
      </c>
      <c r="G11" s="96">
        <v>3</v>
      </c>
      <c r="H11" s="83"/>
      <c r="I11" s="97"/>
      <c r="J11" s="97"/>
    </row>
    <row r="12" spans="1:13" ht="25.5" customHeight="1" x14ac:dyDescent="0.2">
      <c r="A12" s="93">
        <v>4</v>
      </c>
      <c r="B12" s="75">
        <v>0</v>
      </c>
      <c r="C12" s="121"/>
      <c r="D12" s="122"/>
      <c r="E12" s="84"/>
      <c r="F12" s="68">
        <v>1</v>
      </c>
      <c r="G12" s="68">
        <v>4</v>
      </c>
      <c r="H12" s="84"/>
      <c r="I12" s="97"/>
      <c r="J12" s="97"/>
    </row>
    <row r="13" spans="1:13" ht="25.5" customHeight="1" x14ac:dyDescent="0.2">
      <c r="A13" s="93">
        <v>5</v>
      </c>
      <c r="B13" s="76">
        <v>0</v>
      </c>
      <c r="C13" s="121"/>
      <c r="D13" s="122"/>
      <c r="E13" s="85"/>
      <c r="F13" s="68">
        <v>3</v>
      </c>
      <c r="G13" s="68">
        <v>5</v>
      </c>
      <c r="H13" s="85"/>
      <c r="I13" s="97"/>
      <c r="J13" s="97"/>
    </row>
    <row r="14" spans="1:13" ht="28.5" customHeight="1" x14ac:dyDescent="0.2">
      <c r="B14" s="91" t="s">
        <v>66</v>
      </c>
      <c r="C14" s="121"/>
      <c r="D14" s="122"/>
      <c r="E14" s="95" t="s">
        <v>69</v>
      </c>
      <c r="F14" s="72" t="s">
        <v>267</v>
      </c>
      <c r="G14" s="72" t="s">
        <v>279</v>
      </c>
      <c r="H14" s="95" t="s">
        <v>70</v>
      </c>
      <c r="I14" s="90" t="s">
        <v>280</v>
      </c>
      <c r="J14" s="90" t="s">
        <v>279</v>
      </c>
    </row>
    <row r="15" spans="1:13" ht="26.25" customHeight="1" x14ac:dyDescent="0.2">
      <c r="A15" s="94">
        <v>1</v>
      </c>
      <c r="B15" s="87" t="str">
        <f t="array" ref="B15:B19">Gefahren</f>
        <v>Beschränkungen im EU-Raum zunehmend</v>
      </c>
      <c r="C15" s="121"/>
      <c r="D15" s="122"/>
      <c r="E15" s="86"/>
      <c r="F15" s="99">
        <v>1</v>
      </c>
      <c r="G15" s="99">
        <v>5</v>
      </c>
      <c r="H15" s="81" t="s">
        <v>266</v>
      </c>
      <c r="I15" s="97"/>
      <c r="J15" s="97"/>
    </row>
    <row r="16" spans="1:13" ht="26.25" customHeight="1" x14ac:dyDescent="0.2">
      <c r="A16" s="94">
        <v>2</v>
      </c>
      <c r="B16" s="79" t="str">
        <v>Margeneinbruch im Food-Bereich</v>
      </c>
      <c r="C16" s="121"/>
      <c r="D16" s="122"/>
      <c r="E16" s="84"/>
      <c r="F16" s="99">
        <v>2</v>
      </c>
      <c r="G16" s="99">
        <v>3</v>
      </c>
      <c r="H16" s="84" t="s">
        <v>90</v>
      </c>
      <c r="I16" s="97"/>
      <c r="J16" s="97"/>
    </row>
    <row r="17" spans="1:10" ht="26.25" customHeight="1" x14ac:dyDescent="0.2">
      <c r="A17" s="94">
        <v>3</v>
      </c>
      <c r="B17" s="79" t="str">
        <v>Neue ausländische Konkurrenz</v>
      </c>
      <c r="C17" s="121"/>
      <c r="D17" s="122"/>
      <c r="E17" s="84"/>
      <c r="F17" s="99">
        <v>3</v>
      </c>
      <c r="G17" s="99">
        <v>2</v>
      </c>
      <c r="H17" s="84"/>
      <c r="I17" s="97"/>
      <c r="J17" s="97"/>
    </row>
    <row r="18" spans="1:10" ht="26.25" customHeight="1" x14ac:dyDescent="0.2">
      <c r="A18" s="94">
        <v>4</v>
      </c>
      <c r="B18" s="79">
        <v>0</v>
      </c>
      <c r="C18" s="121"/>
      <c r="D18" s="122"/>
      <c r="E18" s="84"/>
      <c r="F18" s="99">
        <v>3</v>
      </c>
      <c r="G18" s="99">
        <v>1</v>
      </c>
      <c r="H18" s="84"/>
      <c r="I18" s="97"/>
      <c r="J18" s="97"/>
    </row>
    <row r="19" spans="1:10" ht="26.25" customHeight="1" x14ac:dyDescent="0.2">
      <c r="A19" s="94">
        <v>5</v>
      </c>
      <c r="B19" s="80">
        <v>0</v>
      </c>
      <c r="C19" s="121"/>
      <c r="D19" s="122"/>
      <c r="E19" s="85"/>
      <c r="F19" s="99">
        <v>3</v>
      </c>
      <c r="G19" s="99">
        <v>3</v>
      </c>
      <c r="H19" s="85"/>
      <c r="I19" s="98"/>
      <c r="J19" s="98"/>
    </row>
    <row r="20" spans="1:10" x14ac:dyDescent="0.2">
      <c r="E20" s="20"/>
      <c r="F20" s="20"/>
      <c r="G20" s="20"/>
      <c r="H20" s="20"/>
      <c r="I20" s="71"/>
      <c r="J20" s="71"/>
    </row>
    <row r="21" spans="1:10" x14ac:dyDescent="0.2">
      <c r="E21" s="20"/>
      <c r="F21" s="20"/>
      <c r="G21" s="20"/>
      <c r="H21" s="20"/>
      <c r="I21" s="71"/>
      <c r="J21" s="71"/>
    </row>
    <row r="22" spans="1:10" x14ac:dyDescent="0.2">
      <c r="E22" s="20"/>
      <c r="F22" s="20"/>
      <c r="G22" s="20"/>
      <c r="H22" s="20"/>
      <c r="I22" s="71"/>
      <c r="J22" s="71"/>
    </row>
    <row r="23" spans="1:10" x14ac:dyDescent="0.2">
      <c r="E23" s="20"/>
      <c r="F23" s="20"/>
      <c r="G23" s="20"/>
      <c r="H23" s="20"/>
      <c r="I23" s="71"/>
      <c r="J23" s="71"/>
    </row>
  </sheetData>
  <mergeCells count="24">
    <mergeCell ref="A1:B1"/>
    <mergeCell ref="F3:G3"/>
    <mergeCell ref="F4:G4"/>
    <mergeCell ref="F5:G5"/>
    <mergeCell ref="F6:G6"/>
    <mergeCell ref="F7:G7"/>
    <mergeCell ref="C8:D8"/>
    <mergeCell ref="C14:D14"/>
    <mergeCell ref="C2:D2"/>
    <mergeCell ref="C9:D9"/>
    <mergeCell ref="C10:D10"/>
    <mergeCell ref="C11:D11"/>
    <mergeCell ref="C12:D12"/>
    <mergeCell ref="C13:D13"/>
    <mergeCell ref="C6:D6"/>
    <mergeCell ref="C5:D5"/>
    <mergeCell ref="C4:D4"/>
    <mergeCell ref="C3:D3"/>
    <mergeCell ref="C7:D7"/>
    <mergeCell ref="C15:D15"/>
    <mergeCell ref="C16:D16"/>
    <mergeCell ref="C17:D17"/>
    <mergeCell ref="C18:D18"/>
    <mergeCell ref="C19:D19"/>
  </mergeCells>
  <phoneticPr fontId="4" type="noConversion"/>
  <conditionalFormatting sqref="E3:E7">
    <cfRule type="expression" dxfId="34" priority="6">
      <formula>OR(AND($M$3&lt;&gt;"",C3=$M$3),AND($M$5&lt;&gt;"",C3=$M$5))</formula>
    </cfRule>
  </conditionalFormatting>
  <conditionalFormatting sqref="B9:B13">
    <cfRule type="expression" dxfId="33" priority="5">
      <formula>OR(AND($M$4&gt;0,A9=$M$4),AND($M$8&gt;0,A9=$M$8))</formula>
    </cfRule>
  </conditionalFormatting>
  <conditionalFormatting sqref="B15:B19">
    <cfRule type="expression" dxfId="32" priority="3">
      <formula>OR(AND($M$6&gt;0,A15=$M$6),AND($M$10&gt;0,A15=$M$10))</formula>
    </cfRule>
  </conditionalFormatting>
  <conditionalFormatting sqref="H3:H7">
    <cfRule type="expression" dxfId="31" priority="2">
      <formula>OR(AND($M$7&gt;0,F3=$M$7),AND($M$9&gt;0,F3=$M$9))</formula>
    </cfRule>
  </conditionalFormatting>
  <pageMargins left="0.78740157499999996" right="0.78740157499999996" top="0.984251969" bottom="0.984251969" header="0.4921259845" footer="0.492125984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baseColWidth="10" defaultRowHeight="12.75" x14ac:dyDescent="0.2"/>
  <cols>
    <col min="1" max="1" width="34.140625" customWidth="1"/>
    <col min="2" max="2" width="8.7109375" customWidth="1"/>
    <col min="3" max="3" width="4.28515625" customWidth="1"/>
    <col min="4" max="4" width="39" customWidth="1"/>
    <col min="5" max="5" width="11.85546875" customWidth="1"/>
    <col min="6" max="6" width="15.7109375" bestFit="1" customWidth="1"/>
  </cols>
  <sheetData>
    <row r="1" spans="1:5" ht="18" x14ac:dyDescent="0.25">
      <c r="A1" s="109" t="s">
        <v>71</v>
      </c>
      <c r="D1" s="109" t="s">
        <v>72</v>
      </c>
    </row>
    <row r="3" spans="1:5" x14ac:dyDescent="0.2">
      <c r="A3" s="110" t="s">
        <v>25</v>
      </c>
      <c r="B3" s="108" t="s">
        <v>22</v>
      </c>
      <c r="D3" s="69" t="s">
        <v>25</v>
      </c>
      <c r="E3" t="s">
        <v>21</v>
      </c>
    </row>
    <row r="5" spans="1:5" x14ac:dyDescent="0.2">
      <c r="A5" s="107" t="s">
        <v>109</v>
      </c>
      <c r="D5" s="1" t="s">
        <v>111</v>
      </c>
    </row>
    <row r="6" spans="1:5" x14ac:dyDescent="0.2">
      <c r="A6" s="107" t="s">
        <v>106</v>
      </c>
      <c r="D6" s="1" t="s">
        <v>110</v>
      </c>
    </row>
    <row r="7" spans="1:5" x14ac:dyDescent="0.2">
      <c r="A7" s="107" t="s">
        <v>108</v>
      </c>
      <c r="D7" s="1" t="s">
        <v>107</v>
      </c>
    </row>
    <row r="8" spans="1:5" x14ac:dyDescent="0.2">
      <c r="A8" s="107" t="s">
        <v>74</v>
      </c>
    </row>
    <row r="9" spans="1:5" x14ac:dyDescent="0.2">
      <c r="A9" s="108"/>
    </row>
    <row r="10" spans="1:5" x14ac:dyDescent="0.2">
      <c r="A10" s="108"/>
    </row>
    <row r="11" spans="1:5" ht="18" x14ac:dyDescent="0.25">
      <c r="A11" s="109" t="s">
        <v>264</v>
      </c>
      <c r="D11" s="109" t="s">
        <v>265</v>
      </c>
    </row>
    <row r="13" spans="1:5" x14ac:dyDescent="0.2">
      <c r="A13" s="69" t="s">
        <v>2</v>
      </c>
      <c r="B13" s="1">
        <v>1</v>
      </c>
      <c r="D13" s="69" t="s">
        <v>2</v>
      </c>
      <c r="E13" s="1">
        <v>2</v>
      </c>
    </row>
    <row r="15" spans="1:5" x14ac:dyDescent="0.2">
      <c r="A15" s="1" t="s">
        <v>75</v>
      </c>
      <c r="D15" s="1" t="s">
        <v>80</v>
      </c>
    </row>
    <row r="16" spans="1:5" x14ac:dyDescent="0.2">
      <c r="A16" s="1" t="s">
        <v>63</v>
      </c>
      <c r="D16" s="1" t="s">
        <v>84</v>
      </c>
    </row>
    <row r="17" spans="1:4" x14ac:dyDescent="0.2">
      <c r="A17" s="1" t="s">
        <v>76</v>
      </c>
      <c r="D17" s="1" t="s">
        <v>82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5"/>
  <dimension ref="A1:F50"/>
  <sheetViews>
    <sheetView workbookViewId="0"/>
  </sheetViews>
  <sheetFormatPr baseColWidth="10" defaultRowHeight="12.75" outlineLevelRow="1" x14ac:dyDescent="0.2"/>
  <cols>
    <col min="1" max="1" width="5" style="22" customWidth="1"/>
    <col min="2" max="2" width="86.28515625" customWidth="1"/>
    <col min="3" max="4" width="5.5703125" customWidth="1"/>
    <col min="5" max="5" width="3.28515625" style="46" customWidth="1"/>
    <col min="6" max="6" width="13.7109375" customWidth="1"/>
  </cols>
  <sheetData>
    <row r="1" spans="1:6" ht="18" x14ac:dyDescent="0.25">
      <c r="B1" s="23" t="s">
        <v>26</v>
      </c>
      <c r="F1" s="27" t="s">
        <v>134</v>
      </c>
    </row>
    <row r="2" spans="1:6" ht="15" x14ac:dyDescent="0.2">
      <c r="B2" s="43" t="s">
        <v>113</v>
      </c>
      <c r="F2" s="27" t="s">
        <v>135</v>
      </c>
    </row>
    <row r="4" spans="1:6" x14ac:dyDescent="0.2">
      <c r="B4" s="10" t="s">
        <v>14</v>
      </c>
    </row>
    <row r="5" spans="1:6" ht="63.75" x14ac:dyDescent="0.2">
      <c r="B5" s="32" t="s">
        <v>114</v>
      </c>
      <c r="C5" t="s">
        <v>132</v>
      </c>
      <c r="D5" t="s">
        <v>133</v>
      </c>
    </row>
    <row r="6" spans="1:6" ht="22.5" customHeight="1" x14ac:dyDescent="0.2">
      <c r="A6" s="22" t="s">
        <v>115</v>
      </c>
      <c r="B6" s="73" t="s">
        <v>289</v>
      </c>
      <c r="E6" s="46">
        <v>2</v>
      </c>
      <c r="F6" t="str">
        <f>IF(E6=1,"Stärke",IF(E6=2,"Schwäche",""))</f>
        <v>Schwäche</v>
      </c>
    </row>
    <row r="7" spans="1:6" ht="21.75" customHeight="1" x14ac:dyDescent="0.2">
      <c r="A7" s="22" t="s">
        <v>116</v>
      </c>
      <c r="B7" t="s">
        <v>91</v>
      </c>
      <c r="E7" s="46">
        <v>2</v>
      </c>
      <c r="F7" t="str">
        <f t="shared" ref="F7:F22" si="0">IF(E7=1,"Stärke",IF(E7=2,"Schwäche",""))</f>
        <v>Schwäche</v>
      </c>
    </row>
    <row r="8" spans="1:6" ht="21.75" customHeight="1" x14ac:dyDescent="0.2">
      <c r="A8" s="22" t="s">
        <v>117</v>
      </c>
      <c r="B8" t="s">
        <v>92</v>
      </c>
      <c r="E8" s="46">
        <v>2</v>
      </c>
      <c r="F8" t="str">
        <f t="shared" si="0"/>
        <v>Schwäche</v>
      </c>
    </row>
    <row r="9" spans="1:6" ht="21.75" customHeight="1" x14ac:dyDescent="0.2">
      <c r="A9" s="22" t="s">
        <v>118</v>
      </c>
      <c r="B9" t="s">
        <v>93</v>
      </c>
      <c r="E9" s="46">
        <v>1</v>
      </c>
      <c r="F9" t="str">
        <f t="shared" si="0"/>
        <v>Stärke</v>
      </c>
    </row>
    <row r="10" spans="1:6" ht="21.75" customHeight="1" x14ac:dyDescent="0.2">
      <c r="A10" s="22" t="s">
        <v>119</v>
      </c>
      <c r="B10" t="s">
        <v>94</v>
      </c>
      <c r="E10" s="46">
        <v>2</v>
      </c>
      <c r="F10" t="str">
        <f t="shared" si="0"/>
        <v>Schwäche</v>
      </c>
    </row>
    <row r="11" spans="1:6" ht="21.75" customHeight="1" x14ac:dyDescent="0.2">
      <c r="A11" s="22" t="s">
        <v>120</v>
      </c>
      <c r="B11" t="s">
        <v>95</v>
      </c>
      <c r="E11" s="46">
        <v>1</v>
      </c>
      <c r="F11" t="str">
        <f t="shared" si="0"/>
        <v>Stärke</v>
      </c>
    </row>
    <row r="12" spans="1:6" ht="21.75" customHeight="1" x14ac:dyDescent="0.2">
      <c r="A12" s="22" t="s">
        <v>121</v>
      </c>
      <c r="B12" t="s">
        <v>96</v>
      </c>
      <c r="E12" s="46">
        <v>2</v>
      </c>
      <c r="F12" t="str">
        <f t="shared" si="0"/>
        <v>Schwäche</v>
      </c>
    </row>
    <row r="13" spans="1:6" ht="21.75" customHeight="1" x14ac:dyDescent="0.2">
      <c r="A13" s="22" t="s">
        <v>122</v>
      </c>
      <c r="B13" t="s">
        <v>97</v>
      </c>
      <c r="E13" s="46">
        <v>2</v>
      </c>
      <c r="F13" t="str">
        <f t="shared" si="0"/>
        <v>Schwäche</v>
      </c>
    </row>
    <row r="14" spans="1:6" ht="21.75" customHeight="1" x14ac:dyDescent="0.2">
      <c r="A14" s="22" t="s">
        <v>123</v>
      </c>
      <c r="B14" t="s">
        <v>98</v>
      </c>
      <c r="E14" s="46">
        <v>1</v>
      </c>
      <c r="F14" t="str">
        <f t="shared" si="0"/>
        <v>Stärke</v>
      </c>
    </row>
    <row r="15" spans="1:6" ht="21.75" customHeight="1" x14ac:dyDescent="0.2">
      <c r="A15" s="22" t="s">
        <v>124</v>
      </c>
      <c r="B15" s="73" t="s">
        <v>290</v>
      </c>
      <c r="E15" s="46">
        <v>2</v>
      </c>
      <c r="F15" t="str">
        <f t="shared" si="0"/>
        <v>Schwäche</v>
      </c>
    </row>
    <row r="16" spans="1:6" ht="21.75" customHeight="1" x14ac:dyDescent="0.2">
      <c r="A16" s="22" t="s">
        <v>125</v>
      </c>
      <c r="B16" t="s">
        <v>99</v>
      </c>
      <c r="E16" s="46">
        <v>1</v>
      </c>
      <c r="F16" t="str">
        <f t="shared" si="0"/>
        <v>Stärke</v>
      </c>
    </row>
    <row r="17" spans="1:6" ht="21.75" customHeight="1" x14ac:dyDescent="0.2">
      <c r="A17" s="22" t="s">
        <v>126</v>
      </c>
      <c r="B17" t="s">
        <v>100</v>
      </c>
      <c r="E17" s="46">
        <v>2</v>
      </c>
      <c r="F17" t="str">
        <f t="shared" si="0"/>
        <v>Schwäche</v>
      </c>
    </row>
    <row r="18" spans="1:6" ht="21.75" customHeight="1" x14ac:dyDescent="0.2">
      <c r="A18" s="22" t="s">
        <v>127</v>
      </c>
      <c r="B18" t="s">
        <v>101</v>
      </c>
      <c r="E18" s="46">
        <v>2</v>
      </c>
      <c r="F18" t="str">
        <f t="shared" si="0"/>
        <v>Schwäche</v>
      </c>
    </row>
    <row r="19" spans="1:6" ht="21.75" customHeight="1" x14ac:dyDescent="0.2">
      <c r="A19" s="22" t="s">
        <v>128</v>
      </c>
      <c r="B19" t="s">
        <v>102</v>
      </c>
      <c r="E19" s="46">
        <v>2</v>
      </c>
      <c r="F19" t="str">
        <f t="shared" si="0"/>
        <v>Schwäche</v>
      </c>
    </row>
    <row r="20" spans="1:6" ht="21.75" customHeight="1" x14ac:dyDescent="0.2">
      <c r="A20" s="22" t="s">
        <v>129</v>
      </c>
      <c r="B20" t="s">
        <v>103</v>
      </c>
      <c r="E20" s="46">
        <v>1</v>
      </c>
      <c r="F20" t="str">
        <f t="shared" si="0"/>
        <v>Stärke</v>
      </c>
    </row>
    <row r="21" spans="1:6" ht="21.75" customHeight="1" x14ac:dyDescent="0.2">
      <c r="A21" s="22" t="s">
        <v>130</v>
      </c>
      <c r="B21" t="s">
        <v>104</v>
      </c>
      <c r="E21" s="46">
        <v>2</v>
      </c>
      <c r="F21" t="str">
        <f t="shared" si="0"/>
        <v>Schwäche</v>
      </c>
    </row>
    <row r="22" spans="1:6" ht="21.75" customHeight="1" x14ac:dyDescent="0.2">
      <c r="A22" s="22" t="s">
        <v>131</v>
      </c>
      <c r="B22" t="s">
        <v>105</v>
      </c>
      <c r="E22" s="46">
        <v>1</v>
      </c>
      <c r="F22" t="str">
        <f t="shared" si="0"/>
        <v>Stärke</v>
      </c>
    </row>
    <row r="24" spans="1:6" hidden="1" outlineLevel="1" x14ac:dyDescent="0.2"/>
    <row r="25" spans="1:6" hidden="1" outlineLevel="1" x14ac:dyDescent="0.2"/>
    <row r="26" spans="1:6" hidden="1" outlineLevel="1" x14ac:dyDescent="0.2"/>
    <row r="27" spans="1:6" hidden="1" outlineLevel="1" x14ac:dyDescent="0.2"/>
    <row r="28" spans="1:6" hidden="1" outlineLevel="1" x14ac:dyDescent="0.2"/>
    <row r="29" spans="1:6" hidden="1" outlineLevel="1" x14ac:dyDescent="0.2"/>
    <row r="30" spans="1:6" hidden="1" outlineLevel="1" x14ac:dyDescent="0.2"/>
    <row r="31" spans="1:6" hidden="1" outlineLevel="1" x14ac:dyDescent="0.2"/>
    <row r="32" spans="1:6" hidden="1" outlineLevel="1" x14ac:dyDescent="0.2"/>
    <row r="33" hidden="1" outlineLevel="1" x14ac:dyDescent="0.2"/>
    <row r="34" hidden="1" outlineLevel="1" x14ac:dyDescent="0.2"/>
    <row r="35" hidden="1" outlineLevel="1" x14ac:dyDescent="0.2"/>
    <row r="36" hidden="1" outlineLevel="1" x14ac:dyDescent="0.2"/>
    <row r="37" hidden="1" outlineLevel="1" x14ac:dyDescent="0.2"/>
    <row r="38" hidden="1" outlineLevel="1" x14ac:dyDescent="0.2"/>
    <row r="39" hidden="1" outlineLevel="1" x14ac:dyDescent="0.2"/>
    <row r="40" hidden="1" outlineLevel="1" x14ac:dyDescent="0.2"/>
    <row r="41" hidden="1" outlineLevel="1" x14ac:dyDescent="0.2"/>
    <row r="42" hidden="1" outlineLevel="1" x14ac:dyDescent="0.2"/>
    <row r="43" hidden="1" outlineLevel="1" x14ac:dyDescent="0.2"/>
    <row r="44" hidden="1" outlineLevel="1" x14ac:dyDescent="0.2"/>
    <row r="45" hidden="1" outlineLevel="1" x14ac:dyDescent="0.2"/>
    <row r="46" hidden="1" outlineLevel="1" x14ac:dyDescent="0.2"/>
    <row r="47" hidden="1" outlineLevel="1" x14ac:dyDescent="0.2"/>
    <row r="48" hidden="1" outlineLevel="1" x14ac:dyDescent="0.2"/>
    <row r="49" spans="3:4" hidden="1" outlineLevel="1" x14ac:dyDescent="0.2"/>
    <row r="50" spans="3:4" collapsed="1" x14ac:dyDescent="0.2">
      <c r="C50" s="25">
        <f>COUNTIF($E$6:$E$22,1)/COUNTA($A:$A)</f>
        <v>0.35294117647058826</v>
      </c>
      <c r="D50" s="25">
        <f>COUNTIF($E$6:$E$22,2)/COUNTA($A:$A)</f>
        <v>0.6470588235294118</v>
      </c>
    </row>
  </sheetData>
  <phoneticPr fontId="4" type="noConversion"/>
  <conditionalFormatting sqref="C6:C22">
    <cfRule type="expression" dxfId="29" priority="1" stopIfTrue="1">
      <formula>E6=1</formula>
    </cfRule>
  </conditionalFormatting>
  <conditionalFormatting sqref="D6:D22">
    <cfRule type="expression" dxfId="28" priority="2" stopIfTrue="1">
      <formula>E6=2</formula>
    </cfRule>
  </conditionalFormatting>
  <conditionalFormatting sqref="F6:F22">
    <cfRule type="cellIs" dxfId="27" priority="3" stopIfTrue="1" operator="equal">
      <formula>"Stärke"</formula>
    </cfRule>
    <cfRule type="cellIs" dxfId="26" priority="4" stopIfTrue="1" operator="equal">
      <formula>"Schwäche"</formula>
    </cfRule>
  </conditionalFormatting>
  <dataValidations count="1">
    <dataValidation type="list" allowBlank="1" showInputMessage="1" showErrorMessage="1" sqref="B4">
      <formula1>Analysebereiche</formula1>
    </dataValidation>
  </dataValidations>
  <hyperlinks>
    <hyperlink ref="F1" location="Basisdaten!A1" display="Basisdaten!A1"/>
    <hyperlink ref="F2" location="StärkenSchwächen!A1" display="StärkenSchwächen!A1"/>
  </hyperlinks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3" r:id="rId4" name="Group Box 3">
              <controlPr defaultSize="0" autoFill="0" autoPict="0">
                <anchor moveWithCells="1">
                  <from>
                    <xdr:col>2</xdr:col>
                    <xdr:colOff>0</xdr:colOff>
                    <xdr:row>5</xdr:row>
                    <xdr:rowOff>0</xdr:rowOff>
                  </from>
                  <to>
                    <xdr:col>4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5" name="Option Button 4">
              <controlPr defaultSize="0" autoFill="0" autoLine="0" autoPict="0">
                <anchor moveWithCells="1">
                  <from>
                    <xdr:col>2</xdr:col>
                    <xdr:colOff>57150</xdr:colOff>
                    <xdr:row>5</xdr:row>
                    <xdr:rowOff>0</xdr:rowOff>
                  </from>
                  <to>
                    <xdr:col>2</xdr:col>
                    <xdr:colOff>361950</xdr:colOff>
                    <xdr:row>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6" name="Option Button 5">
              <controlPr defaultSize="0" autoFill="0" autoLine="0" autoPict="0">
                <anchor moveWithCells="1">
                  <from>
                    <xdr:col>3</xdr:col>
                    <xdr:colOff>38100</xdr:colOff>
                    <xdr:row>5</xdr:row>
                    <xdr:rowOff>19050</xdr:rowOff>
                  </from>
                  <to>
                    <xdr:col>3</xdr:col>
                    <xdr:colOff>342900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7" name="Group Box 7">
              <controlPr defaultSize="0" autoFill="0" autoPict="0">
                <anchor moveWithCells="1">
                  <from>
                    <xdr:col>2</xdr:col>
                    <xdr:colOff>0</xdr:colOff>
                    <xdr:row>6</xdr:row>
                    <xdr:rowOff>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8" name="Option Button 8">
              <controlPr defaultSize="0" autoFill="0" autoLine="0" autoPict="0">
                <anchor moveWithCells="1">
                  <from>
                    <xdr:col>2</xdr:col>
                    <xdr:colOff>57150</xdr:colOff>
                    <xdr:row>6</xdr:row>
                    <xdr:rowOff>0</xdr:rowOff>
                  </from>
                  <to>
                    <xdr:col>2</xdr:col>
                    <xdr:colOff>361950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9" name="Option Button 9">
              <controlPr defaultSize="0" autoFill="0" autoLine="0" autoPict="0">
                <anchor moveWithCells="1">
                  <from>
                    <xdr:col>3</xdr:col>
                    <xdr:colOff>38100</xdr:colOff>
                    <xdr:row>6</xdr:row>
                    <xdr:rowOff>19050</xdr:rowOff>
                  </from>
                  <to>
                    <xdr:col>3</xdr:col>
                    <xdr:colOff>342900</xdr:colOff>
                    <xdr:row>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0" name="Group Box 10">
              <controlPr defaultSize="0" autoFill="0" autoPict="0">
                <anchor moveWithCells="1">
                  <from>
                    <xdr:col>2</xdr:col>
                    <xdr:colOff>0</xdr:colOff>
                    <xdr:row>7</xdr:row>
                    <xdr:rowOff>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1" name="Option Button 11">
              <controlPr defaultSize="0" autoFill="0" autoLine="0" autoPict="0">
                <anchor moveWithCells="1">
                  <from>
                    <xdr:col>2</xdr:col>
                    <xdr:colOff>57150</xdr:colOff>
                    <xdr:row>7</xdr:row>
                    <xdr:rowOff>0</xdr:rowOff>
                  </from>
                  <to>
                    <xdr:col>2</xdr:col>
                    <xdr:colOff>361950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2" name="Option Button 12">
              <controlPr defaultSize="0" autoFill="0" autoLine="0" autoPict="0">
                <anchor moveWithCells="1">
                  <from>
                    <xdr:col>3</xdr:col>
                    <xdr:colOff>38100</xdr:colOff>
                    <xdr:row>7</xdr:row>
                    <xdr:rowOff>19050</xdr:rowOff>
                  </from>
                  <to>
                    <xdr:col>3</xdr:col>
                    <xdr:colOff>342900</xdr:colOff>
                    <xdr:row>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3" name="Group Box 13">
              <controlPr defaultSize="0" autoFill="0" autoPict="0">
                <anchor moveWithCells="1">
                  <from>
                    <xdr:col>2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4" name="Option Button 14">
              <controlPr defaultSize="0" autoFill="0" autoLine="0" autoPict="0">
                <anchor moveWithCells="1">
                  <from>
                    <xdr:col>2</xdr:col>
                    <xdr:colOff>57150</xdr:colOff>
                    <xdr:row>8</xdr:row>
                    <xdr:rowOff>0</xdr:rowOff>
                  </from>
                  <to>
                    <xdr:col>2</xdr:col>
                    <xdr:colOff>361950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5" name="Option Button 15">
              <controlPr defaultSize="0" autoFill="0" autoLine="0" autoPict="0">
                <anchor moveWithCells="1">
                  <from>
                    <xdr:col>3</xdr:col>
                    <xdr:colOff>38100</xdr:colOff>
                    <xdr:row>8</xdr:row>
                    <xdr:rowOff>19050</xdr:rowOff>
                  </from>
                  <to>
                    <xdr:col>3</xdr:col>
                    <xdr:colOff>342900</xdr:colOff>
                    <xdr:row>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6" name="Group Box 16">
              <controlPr defaultSize="0" autoFill="0" autoPict="0">
                <anchor moveWithCells="1">
                  <from>
                    <xdr:col>2</xdr:col>
                    <xdr:colOff>0</xdr:colOff>
                    <xdr:row>9</xdr:row>
                    <xdr:rowOff>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17" name="Option Button 17">
              <controlPr defaultSize="0" autoFill="0" autoLine="0" autoPict="0">
                <anchor moveWithCells="1">
                  <from>
                    <xdr:col>2</xdr:col>
                    <xdr:colOff>57150</xdr:colOff>
                    <xdr:row>9</xdr:row>
                    <xdr:rowOff>0</xdr:rowOff>
                  </from>
                  <to>
                    <xdr:col>2</xdr:col>
                    <xdr:colOff>361950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18" name="Option Button 18">
              <controlPr defaultSize="0" autoFill="0" autoLine="0" autoPict="0">
                <anchor moveWithCells="1">
                  <from>
                    <xdr:col>3</xdr:col>
                    <xdr:colOff>38100</xdr:colOff>
                    <xdr:row>9</xdr:row>
                    <xdr:rowOff>19050</xdr:rowOff>
                  </from>
                  <to>
                    <xdr:col>3</xdr:col>
                    <xdr:colOff>342900</xdr:colOff>
                    <xdr:row>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19" name="Group Box 19">
              <controlPr defaultSize="0" autoFill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0" name="Option Button 20">
              <controlPr defaultSize="0" autoFill="0" autoLine="0" autoPict="0">
                <anchor moveWithCells="1">
                  <from>
                    <xdr:col>2</xdr:col>
                    <xdr:colOff>57150</xdr:colOff>
                    <xdr:row>10</xdr:row>
                    <xdr:rowOff>0</xdr:rowOff>
                  </from>
                  <to>
                    <xdr:col>2</xdr:col>
                    <xdr:colOff>361950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1" name="Option Button 21">
              <controlPr defaultSize="0" autoFill="0" autoLine="0" autoPict="0">
                <anchor moveWithCells="1">
                  <from>
                    <xdr:col>3</xdr:col>
                    <xdr:colOff>38100</xdr:colOff>
                    <xdr:row>10</xdr:row>
                    <xdr:rowOff>19050</xdr:rowOff>
                  </from>
                  <to>
                    <xdr:col>3</xdr:col>
                    <xdr:colOff>342900</xdr:colOff>
                    <xdr:row>10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2" name="Group Box 22">
              <controlPr defaultSize="0" autoFill="0" autoPict="0">
                <anchor moveWithCells="1">
                  <from>
                    <xdr:col>2</xdr:col>
                    <xdr:colOff>0</xdr:colOff>
                    <xdr:row>11</xdr:row>
                    <xdr:rowOff>0</xdr:rowOff>
                  </from>
                  <to>
                    <xdr:col>4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3" name="Option Button 23">
              <controlPr defaultSize="0" autoFill="0" autoLine="0" autoPict="0">
                <anchor moveWithCells="1">
                  <from>
                    <xdr:col>2</xdr:col>
                    <xdr:colOff>57150</xdr:colOff>
                    <xdr:row>11</xdr:row>
                    <xdr:rowOff>0</xdr:rowOff>
                  </from>
                  <to>
                    <xdr:col>2</xdr:col>
                    <xdr:colOff>361950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4" name="Option Button 24">
              <controlPr defaultSize="0" autoFill="0" autoLine="0" autoPict="0">
                <anchor moveWithCells="1">
                  <from>
                    <xdr:col>3</xdr:col>
                    <xdr:colOff>38100</xdr:colOff>
                    <xdr:row>11</xdr:row>
                    <xdr:rowOff>19050</xdr:rowOff>
                  </from>
                  <to>
                    <xdr:col>3</xdr:col>
                    <xdr:colOff>342900</xdr:colOff>
                    <xdr:row>11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5" name="Group Box 25">
              <controlPr defaultSize="0" autoFill="0" autoPict="0">
                <anchor moveWithCells="1">
                  <from>
                    <xdr:col>2</xdr:col>
                    <xdr:colOff>0</xdr:colOff>
                    <xdr:row>12</xdr:row>
                    <xdr:rowOff>0</xdr:rowOff>
                  </from>
                  <to>
                    <xdr:col>4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6" name="Option Button 26">
              <controlPr defaultSize="0" autoFill="0" autoLine="0" autoPict="0">
                <anchor moveWithCells="1">
                  <from>
                    <xdr:col>2</xdr:col>
                    <xdr:colOff>57150</xdr:colOff>
                    <xdr:row>12</xdr:row>
                    <xdr:rowOff>0</xdr:rowOff>
                  </from>
                  <to>
                    <xdr:col>2</xdr:col>
                    <xdr:colOff>361950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27" name="Option Button 27">
              <controlPr defaultSize="0" autoFill="0" autoLine="0" autoPict="0">
                <anchor moveWithCells="1">
                  <from>
                    <xdr:col>3</xdr:col>
                    <xdr:colOff>38100</xdr:colOff>
                    <xdr:row>12</xdr:row>
                    <xdr:rowOff>19050</xdr:rowOff>
                  </from>
                  <to>
                    <xdr:col>3</xdr:col>
                    <xdr:colOff>342900</xdr:colOff>
                    <xdr:row>12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28" name="Group Box 28">
              <controlPr defaultSize="0" autoFill="0" autoPict="0">
                <anchor mov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4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29" name="Option Button 29">
              <controlPr defaultSize="0" autoFill="0" autoLine="0" autoPict="0">
                <anchor moveWithCells="1">
                  <from>
                    <xdr:col>2</xdr:col>
                    <xdr:colOff>57150</xdr:colOff>
                    <xdr:row>13</xdr:row>
                    <xdr:rowOff>0</xdr:rowOff>
                  </from>
                  <to>
                    <xdr:col>2</xdr:col>
                    <xdr:colOff>361950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0" name="Option Button 30">
              <controlPr defaultSize="0" autoFill="0" autoLine="0" autoPict="0">
                <anchor moveWithCells="1">
                  <from>
                    <xdr:col>3</xdr:col>
                    <xdr:colOff>38100</xdr:colOff>
                    <xdr:row>13</xdr:row>
                    <xdr:rowOff>19050</xdr:rowOff>
                  </from>
                  <to>
                    <xdr:col>3</xdr:col>
                    <xdr:colOff>342900</xdr:colOff>
                    <xdr:row>13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1" name="Group Box 31">
              <controlPr defaultSize="0" autoFill="0" autoPict="0">
                <anchor moveWithCells="1">
                  <from>
                    <xdr:col>2</xdr:col>
                    <xdr:colOff>0</xdr:colOff>
                    <xdr:row>14</xdr:row>
                    <xdr:rowOff>0</xdr:rowOff>
                  </from>
                  <to>
                    <xdr:col>4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2" name="Option Button 32">
              <controlPr defaultSize="0" autoFill="0" autoLine="0" autoPict="0">
                <anchor moveWithCells="1">
                  <from>
                    <xdr:col>2</xdr:col>
                    <xdr:colOff>57150</xdr:colOff>
                    <xdr:row>14</xdr:row>
                    <xdr:rowOff>0</xdr:rowOff>
                  </from>
                  <to>
                    <xdr:col>2</xdr:col>
                    <xdr:colOff>361950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3" name="Option Button 33">
              <controlPr defaultSize="0" autoFill="0" autoLine="0" autoPict="0">
                <anchor moveWithCells="1">
                  <from>
                    <xdr:col>3</xdr:col>
                    <xdr:colOff>38100</xdr:colOff>
                    <xdr:row>14</xdr:row>
                    <xdr:rowOff>19050</xdr:rowOff>
                  </from>
                  <to>
                    <xdr:col>3</xdr:col>
                    <xdr:colOff>342900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34" name="Group Box 34">
              <controlPr defaultSize="0" autoFill="0" autoPict="0">
                <anchor moveWithCells="1">
                  <from>
                    <xdr:col>2</xdr:col>
                    <xdr:colOff>0</xdr:colOff>
                    <xdr:row>15</xdr:row>
                    <xdr:rowOff>0</xdr:rowOff>
                  </from>
                  <to>
                    <xdr:col>4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35" name="Option Button 35">
              <controlPr defaultSize="0" autoFill="0" autoLine="0" autoPict="0">
                <anchor moveWithCells="1">
                  <from>
                    <xdr:col>2</xdr:col>
                    <xdr:colOff>57150</xdr:colOff>
                    <xdr:row>15</xdr:row>
                    <xdr:rowOff>0</xdr:rowOff>
                  </from>
                  <to>
                    <xdr:col>2</xdr:col>
                    <xdr:colOff>361950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36" name="Option Button 36">
              <controlPr defaultSize="0" autoFill="0" autoLine="0" autoPict="0">
                <anchor moveWithCells="1">
                  <from>
                    <xdr:col>3</xdr:col>
                    <xdr:colOff>38100</xdr:colOff>
                    <xdr:row>15</xdr:row>
                    <xdr:rowOff>19050</xdr:rowOff>
                  </from>
                  <to>
                    <xdr:col>3</xdr:col>
                    <xdr:colOff>342900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37" name="Group Box 37">
              <controlPr defaultSize="0" autoFill="0" autoPict="0">
                <anchor moveWithCells="1">
                  <from>
                    <xdr:col>2</xdr:col>
                    <xdr:colOff>0</xdr:colOff>
                    <xdr:row>16</xdr:row>
                    <xdr:rowOff>0</xdr:rowOff>
                  </from>
                  <to>
                    <xdr:col>4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38" name="Option Button 38">
              <controlPr defaultSize="0" autoFill="0" autoLine="0" autoPict="0">
                <anchor moveWithCells="1">
                  <from>
                    <xdr:col>2</xdr:col>
                    <xdr:colOff>57150</xdr:colOff>
                    <xdr:row>16</xdr:row>
                    <xdr:rowOff>0</xdr:rowOff>
                  </from>
                  <to>
                    <xdr:col>2</xdr:col>
                    <xdr:colOff>361950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39" name="Option Button 39">
              <controlPr defaultSize="0" autoFill="0" autoLine="0" autoPict="0">
                <anchor moveWithCells="1">
                  <from>
                    <xdr:col>3</xdr:col>
                    <xdr:colOff>38100</xdr:colOff>
                    <xdr:row>16</xdr:row>
                    <xdr:rowOff>19050</xdr:rowOff>
                  </from>
                  <to>
                    <xdr:col>3</xdr:col>
                    <xdr:colOff>342900</xdr:colOff>
                    <xdr:row>16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40" name="Group Box 40">
              <controlPr defaultSize="0" autoFill="0" autoPict="0">
                <anchor moveWithCells="1">
                  <from>
                    <xdr:col>2</xdr:col>
                    <xdr:colOff>0</xdr:colOff>
                    <xdr:row>17</xdr:row>
                    <xdr:rowOff>0</xdr:rowOff>
                  </from>
                  <to>
                    <xdr:col>4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41" name="Option Button 41">
              <controlPr defaultSize="0" autoFill="0" autoLine="0" autoPict="0">
                <anchor moveWithCells="1">
                  <from>
                    <xdr:col>2</xdr:col>
                    <xdr:colOff>57150</xdr:colOff>
                    <xdr:row>17</xdr:row>
                    <xdr:rowOff>0</xdr:rowOff>
                  </from>
                  <to>
                    <xdr:col>2</xdr:col>
                    <xdr:colOff>361950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42" name="Option Button 42">
              <controlPr defaultSize="0" autoFill="0" autoLine="0" autoPict="0">
                <anchor moveWithCells="1">
                  <from>
                    <xdr:col>3</xdr:col>
                    <xdr:colOff>38100</xdr:colOff>
                    <xdr:row>17</xdr:row>
                    <xdr:rowOff>19050</xdr:rowOff>
                  </from>
                  <to>
                    <xdr:col>3</xdr:col>
                    <xdr:colOff>342900</xdr:colOff>
                    <xdr:row>17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43" name="Group Box 43">
              <controlPr defaultSize="0" autoFill="0" autoPict="0">
                <anchor moveWithCells="1">
                  <from>
                    <xdr:col>2</xdr:col>
                    <xdr:colOff>0</xdr:colOff>
                    <xdr:row>18</xdr:row>
                    <xdr:rowOff>0</xdr:rowOff>
                  </from>
                  <to>
                    <xdr:col>4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44" name="Option Button 44">
              <controlPr defaultSize="0" autoFill="0" autoLine="0" autoPict="0">
                <anchor moveWithCells="1">
                  <from>
                    <xdr:col>2</xdr:col>
                    <xdr:colOff>57150</xdr:colOff>
                    <xdr:row>18</xdr:row>
                    <xdr:rowOff>0</xdr:rowOff>
                  </from>
                  <to>
                    <xdr:col>2</xdr:col>
                    <xdr:colOff>361950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45" name="Option Button 45">
              <controlPr defaultSize="0" autoFill="0" autoLine="0" autoPict="0">
                <anchor moveWithCells="1">
                  <from>
                    <xdr:col>3</xdr:col>
                    <xdr:colOff>38100</xdr:colOff>
                    <xdr:row>18</xdr:row>
                    <xdr:rowOff>19050</xdr:rowOff>
                  </from>
                  <to>
                    <xdr:col>3</xdr:col>
                    <xdr:colOff>342900</xdr:colOff>
                    <xdr:row>18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46" name="Group Box 46">
              <controlPr defaultSize="0" autoFill="0" autoPict="0">
                <anchor moveWithCells="1">
                  <from>
                    <xdr:col>2</xdr:col>
                    <xdr:colOff>0</xdr:colOff>
                    <xdr:row>19</xdr:row>
                    <xdr:rowOff>0</xdr:rowOff>
                  </from>
                  <to>
                    <xdr:col>4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47" name="Option Button 47">
              <controlPr defaultSize="0" autoFill="0" autoLine="0" autoPict="0">
                <anchor moveWithCells="1">
                  <from>
                    <xdr:col>2</xdr:col>
                    <xdr:colOff>57150</xdr:colOff>
                    <xdr:row>19</xdr:row>
                    <xdr:rowOff>0</xdr:rowOff>
                  </from>
                  <to>
                    <xdr:col>2</xdr:col>
                    <xdr:colOff>361950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48" name="Option Button 48">
              <controlPr defaultSize="0" autoFill="0" autoLine="0" autoPict="0">
                <anchor moveWithCells="1">
                  <from>
                    <xdr:col>3</xdr:col>
                    <xdr:colOff>38100</xdr:colOff>
                    <xdr:row>19</xdr:row>
                    <xdr:rowOff>19050</xdr:rowOff>
                  </from>
                  <to>
                    <xdr:col>3</xdr:col>
                    <xdr:colOff>342900</xdr:colOff>
                    <xdr:row>19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49" name="Group Box 49">
              <controlPr defaultSize="0" autoFill="0" autoPict="0">
                <anchor moveWithCells="1">
                  <from>
                    <xdr:col>2</xdr:col>
                    <xdr:colOff>0</xdr:colOff>
                    <xdr:row>20</xdr:row>
                    <xdr:rowOff>0</xdr:rowOff>
                  </from>
                  <to>
                    <xdr:col>4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50" name="Option Button 50">
              <controlPr defaultSize="0" autoFill="0" autoLine="0" autoPict="0">
                <anchor moveWithCells="1">
                  <from>
                    <xdr:col>2</xdr:col>
                    <xdr:colOff>57150</xdr:colOff>
                    <xdr:row>20</xdr:row>
                    <xdr:rowOff>0</xdr:rowOff>
                  </from>
                  <to>
                    <xdr:col>2</xdr:col>
                    <xdr:colOff>361950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51" name="Option Button 51">
              <controlPr defaultSize="0" autoFill="0" autoLine="0" autoPict="0">
                <anchor moveWithCells="1">
                  <from>
                    <xdr:col>3</xdr:col>
                    <xdr:colOff>38100</xdr:colOff>
                    <xdr:row>20</xdr:row>
                    <xdr:rowOff>19050</xdr:rowOff>
                  </from>
                  <to>
                    <xdr:col>3</xdr:col>
                    <xdr:colOff>342900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52" name="Group Box 52">
              <controlPr defaultSize="0" autoFill="0" autoPict="0">
                <anchor moveWithCells="1">
                  <from>
                    <xdr:col>2</xdr:col>
                    <xdr:colOff>0</xdr:colOff>
                    <xdr:row>21</xdr:row>
                    <xdr:rowOff>0</xdr:rowOff>
                  </from>
                  <to>
                    <xdr:col>4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3" r:id="rId53" name="Option Button 53">
              <controlPr defaultSize="0" autoFill="0" autoLine="0" autoPict="0">
                <anchor moveWithCells="1">
                  <from>
                    <xdr:col>2</xdr:col>
                    <xdr:colOff>57150</xdr:colOff>
                    <xdr:row>21</xdr:row>
                    <xdr:rowOff>0</xdr:rowOff>
                  </from>
                  <to>
                    <xdr:col>2</xdr:col>
                    <xdr:colOff>361950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4" r:id="rId54" name="Option Button 54">
              <controlPr defaultSize="0" autoFill="0" autoLine="0" autoPict="0">
                <anchor moveWithCells="1">
                  <from>
                    <xdr:col>3</xdr:col>
                    <xdr:colOff>38100</xdr:colOff>
                    <xdr:row>21</xdr:row>
                    <xdr:rowOff>19050</xdr:rowOff>
                  </from>
                  <to>
                    <xdr:col>3</xdr:col>
                    <xdr:colOff>342900</xdr:colOff>
                    <xdr:row>21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6"/>
  <dimension ref="A1:F50"/>
  <sheetViews>
    <sheetView workbookViewId="0"/>
  </sheetViews>
  <sheetFormatPr baseColWidth="10" defaultRowHeight="12.75" outlineLevelRow="1" x14ac:dyDescent="0.2"/>
  <cols>
    <col min="1" max="1" width="5" style="35" customWidth="1"/>
    <col min="2" max="2" width="84" style="21" customWidth="1"/>
    <col min="3" max="4" width="8.85546875" customWidth="1"/>
    <col min="5" max="5" width="4.85546875" style="24" customWidth="1"/>
    <col min="6" max="6" width="13.7109375" customWidth="1"/>
  </cols>
  <sheetData>
    <row r="1" spans="1:6" ht="18" x14ac:dyDescent="0.2">
      <c r="B1" s="30" t="s">
        <v>26</v>
      </c>
      <c r="F1" s="27" t="s">
        <v>134</v>
      </c>
    </row>
    <row r="2" spans="1:6" ht="15" x14ac:dyDescent="0.2">
      <c r="B2" s="41" t="s">
        <v>113</v>
      </c>
      <c r="F2" s="27" t="s">
        <v>135</v>
      </c>
    </row>
    <row r="4" spans="1:6" x14ac:dyDescent="0.2">
      <c r="B4" s="31" t="s">
        <v>136</v>
      </c>
    </row>
    <row r="5" spans="1:6" ht="38.25" x14ac:dyDescent="0.2">
      <c r="B5" s="21" t="s">
        <v>137</v>
      </c>
    </row>
    <row r="6" spans="1:6" ht="21.75" customHeight="1" x14ac:dyDescent="0.2">
      <c r="A6" s="35" t="s">
        <v>115</v>
      </c>
      <c r="B6" s="32" t="s">
        <v>169</v>
      </c>
      <c r="C6" s="5"/>
    </row>
    <row r="7" spans="1:6" ht="21.75" customHeight="1" x14ac:dyDescent="0.2">
      <c r="B7" s="33"/>
    </row>
    <row r="8" spans="1:6" ht="21.75" customHeight="1" x14ac:dyDescent="0.2">
      <c r="A8" s="35" t="s">
        <v>116</v>
      </c>
      <c r="B8" s="32" t="s">
        <v>147</v>
      </c>
    </row>
    <row r="9" spans="1:6" ht="21.75" customHeight="1" x14ac:dyDescent="0.2">
      <c r="B9" s="33"/>
    </row>
    <row r="10" spans="1:6" ht="21.75" customHeight="1" x14ac:dyDescent="0.2">
      <c r="A10" s="35" t="s">
        <v>117</v>
      </c>
      <c r="B10" s="32" t="s">
        <v>155</v>
      </c>
    </row>
    <row r="11" spans="1:6" ht="21.75" customHeight="1" x14ac:dyDescent="0.2">
      <c r="A11" s="36" t="s">
        <v>157</v>
      </c>
      <c r="B11" s="34" t="s">
        <v>151</v>
      </c>
      <c r="E11" s="24">
        <v>1</v>
      </c>
      <c r="F11" t="str">
        <f t="shared" ref="F11:F35" si="0">IF(E11=1,"Stärke",IF(E11=2,"Schwäche",""))</f>
        <v>Stärke</v>
      </c>
    </row>
    <row r="12" spans="1:6" ht="21.75" customHeight="1" x14ac:dyDescent="0.2">
      <c r="A12" s="36" t="s">
        <v>158</v>
      </c>
      <c r="B12" s="34" t="s">
        <v>152</v>
      </c>
      <c r="E12" s="24">
        <v>2</v>
      </c>
      <c r="F12" t="str">
        <f t="shared" si="0"/>
        <v>Schwäche</v>
      </c>
    </row>
    <row r="13" spans="1:6" ht="21.75" customHeight="1" x14ac:dyDescent="0.2">
      <c r="A13" s="36" t="s">
        <v>159</v>
      </c>
      <c r="B13" s="34" t="s">
        <v>291</v>
      </c>
      <c r="E13" s="24">
        <v>2</v>
      </c>
      <c r="F13" t="str">
        <f t="shared" si="0"/>
        <v>Schwäche</v>
      </c>
    </row>
    <row r="14" spans="1:6" ht="21.75" customHeight="1" x14ac:dyDescent="0.2">
      <c r="A14" s="36" t="s">
        <v>159</v>
      </c>
      <c r="B14" s="34" t="s">
        <v>153</v>
      </c>
      <c r="E14" s="24">
        <v>1</v>
      </c>
      <c r="F14" t="str">
        <f t="shared" si="0"/>
        <v>Stärke</v>
      </c>
    </row>
    <row r="15" spans="1:6" ht="21.75" customHeight="1" x14ac:dyDescent="0.2">
      <c r="A15" s="36" t="s">
        <v>160</v>
      </c>
      <c r="B15" s="34" t="s">
        <v>154</v>
      </c>
      <c r="E15" s="24">
        <v>1</v>
      </c>
      <c r="F15" t="str">
        <f t="shared" si="0"/>
        <v>Stärke</v>
      </c>
    </row>
    <row r="16" spans="1:6" ht="60" customHeight="1" x14ac:dyDescent="0.2">
      <c r="A16" s="35" t="s">
        <v>118</v>
      </c>
      <c r="B16" s="32" t="s">
        <v>292</v>
      </c>
      <c r="E16" s="24">
        <v>2</v>
      </c>
      <c r="F16" s="111" t="str">
        <f t="shared" si="0"/>
        <v>Schwäche</v>
      </c>
    </row>
    <row r="17" spans="1:6" ht="21.75" customHeight="1" x14ac:dyDescent="0.2">
      <c r="A17" s="35" t="s">
        <v>119</v>
      </c>
      <c r="B17" s="32" t="s">
        <v>167</v>
      </c>
    </row>
    <row r="18" spans="1:6" ht="21.75" customHeight="1" x14ac:dyDescent="0.2">
      <c r="A18" s="36" t="s">
        <v>161</v>
      </c>
      <c r="B18" s="34" t="s">
        <v>168</v>
      </c>
      <c r="E18" s="24">
        <v>1</v>
      </c>
      <c r="F18" t="str">
        <f t="shared" si="0"/>
        <v>Stärke</v>
      </c>
    </row>
    <row r="19" spans="1:6" ht="21.75" customHeight="1" x14ac:dyDescent="0.2">
      <c r="A19" s="36" t="s">
        <v>162</v>
      </c>
      <c r="B19" s="34" t="s">
        <v>148</v>
      </c>
      <c r="E19" s="24">
        <v>1</v>
      </c>
      <c r="F19" t="str">
        <f t="shared" si="0"/>
        <v>Stärke</v>
      </c>
    </row>
    <row r="20" spans="1:6" ht="21.75" customHeight="1" x14ac:dyDescent="0.2">
      <c r="A20" s="36" t="s">
        <v>163</v>
      </c>
      <c r="B20" s="34" t="s">
        <v>149</v>
      </c>
      <c r="E20" s="24">
        <v>1</v>
      </c>
      <c r="F20" t="str">
        <f t="shared" si="0"/>
        <v>Stärke</v>
      </c>
    </row>
    <row r="21" spans="1:6" ht="21.75" customHeight="1" x14ac:dyDescent="0.2">
      <c r="A21" s="36" t="s">
        <v>164</v>
      </c>
      <c r="B21" s="34" t="s">
        <v>150</v>
      </c>
      <c r="E21" s="24">
        <v>1</v>
      </c>
      <c r="F21" t="str">
        <f t="shared" si="0"/>
        <v>Stärke</v>
      </c>
    </row>
    <row r="22" spans="1:6" ht="28.5" customHeight="1" x14ac:dyDescent="0.2">
      <c r="A22" s="35" t="s">
        <v>120</v>
      </c>
      <c r="B22" s="32" t="s">
        <v>156</v>
      </c>
      <c r="E22" s="24">
        <v>1</v>
      </c>
      <c r="F22" t="str">
        <f t="shared" si="0"/>
        <v>Stärke</v>
      </c>
    </row>
    <row r="23" spans="1:6" ht="21.75" customHeight="1" x14ac:dyDescent="0.2">
      <c r="A23" s="36" t="s">
        <v>165</v>
      </c>
      <c r="B23" s="32" t="s">
        <v>96</v>
      </c>
      <c r="E23" s="24">
        <v>1</v>
      </c>
      <c r="F23" t="str">
        <f t="shared" si="0"/>
        <v>Stärke</v>
      </c>
    </row>
    <row r="24" spans="1:6" ht="21.75" customHeight="1" x14ac:dyDescent="0.2">
      <c r="A24" s="35" t="s">
        <v>121</v>
      </c>
      <c r="B24" s="32" t="s">
        <v>138</v>
      </c>
      <c r="E24" s="24">
        <v>2</v>
      </c>
      <c r="F24" t="str">
        <f t="shared" si="0"/>
        <v>Schwäche</v>
      </c>
    </row>
    <row r="25" spans="1:6" ht="21.75" customHeight="1" x14ac:dyDescent="0.2">
      <c r="A25" s="35" t="s">
        <v>122</v>
      </c>
      <c r="B25" s="32" t="s">
        <v>294</v>
      </c>
      <c r="E25" s="24">
        <v>2</v>
      </c>
      <c r="F25" t="str">
        <f t="shared" si="0"/>
        <v>Schwäche</v>
      </c>
    </row>
    <row r="26" spans="1:6" ht="27.75" customHeight="1" x14ac:dyDescent="0.2">
      <c r="B26" s="33"/>
    </row>
    <row r="27" spans="1:6" ht="27.75" customHeight="1" x14ac:dyDescent="0.2">
      <c r="A27" s="35" t="s">
        <v>123</v>
      </c>
      <c r="B27" s="32" t="s">
        <v>293</v>
      </c>
      <c r="E27" s="24">
        <v>2</v>
      </c>
      <c r="F27" t="str">
        <f t="shared" si="0"/>
        <v>Schwäche</v>
      </c>
    </row>
    <row r="28" spans="1:6" ht="27" customHeight="1" x14ac:dyDescent="0.2">
      <c r="B28" s="33"/>
    </row>
    <row r="29" spans="1:6" ht="22.5" customHeight="1" x14ac:dyDescent="0.2">
      <c r="A29" s="35" t="s">
        <v>124</v>
      </c>
      <c r="B29" s="32" t="s">
        <v>139</v>
      </c>
      <c r="E29" s="24">
        <v>1</v>
      </c>
      <c r="F29" t="str">
        <f t="shared" si="0"/>
        <v>Stärke</v>
      </c>
    </row>
    <row r="30" spans="1:6" ht="29.25" customHeight="1" x14ac:dyDescent="0.2">
      <c r="A30" s="35" t="s">
        <v>125</v>
      </c>
      <c r="B30" s="32" t="s">
        <v>295</v>
      </c>
      <c r="E30" s="24">
        <v>1</v>
      </c>
      <c r="F30" t="str">
        <f t="shared" si="0"/>
        <v>Stärke</v>
      </c>
    </row>
    <row r="31" spans="1:6" ht="22.5" customHeight="1" x14ac:dyDescent="0.2">
      <c r="A31" s="35" t="s">
        <v>126</v>
      </c>
      <c r="B31" s="32" t="s">
        <v>140</v>
      </c>
      <c r="E31" s="24">
        <v>1</v>
      </c>
      <c r="F31" t="str">
        <f t="shared" si="0"/>
        <v>Stärke</v>
      </c>
    </row>
    <row r="32" spans="1:6" ht="22.5" customHeight="1" x14ac:dyDescent="0.2">
      <c r="A32" s="35" t="s">
        <v>127</v>
      </c>
      <c r="B32" s="32" t="s">
        <v>141</v>
      </c>
      <c r="E32" s="24">
        <v>1</v>
      </c>
      <c r="F32" t="str">
        <f t="shared" si="0"/>
        <v>Stärke</v>
      </c>
    </row>
    <row r="33" spans="1:6" ht="22.5" customHeight="1" x14ac:dyDescent="0.2">
      <c r="A33" s="35" t="s">
        <v>128</v>
      </c>
      <c r="B33" s="32" t="s">
        <v>142</v>
      </c>
      <c r="E33" s="24">
        <v>1</v>
      </c>
      <c r="F33" t="str">
        <f t="shared" si="0"/>
        <v>Stärke</v>
      </c>
    </row>
    <row r="34" spans="1:6" ht="22.5" customHeight="1" x14ac:dyDescent="0.2">
      <c r="A34" s="35" t="s">
        <v>129</v>
      </c>
      <c r="B34" s="32" t="s">
        <v>143</v>
      </c>
      <c r="E34" s="24">
        <v>1</v>
      </c>
      <c r="F34" t="str">
        <f t="shared" si="0"/>
        <v>Stärke</v>
      </c>
    </row>
    <row r="35" spans="1:6" ht="22.5" customHeight="1" x14ac:dyDescent="0.2">
      <c r="A35" s="35" t="s">
        <v>130</v>
      </c>
      <c r="B35" s="32" t="s">
        <v>144</v>
      </c>
      <c r="C35" s="37">
        <v>10</v>
      </c>
      <c r="E35" s="24">
        <f>IF(C35&gt;30,2,1)</f>
        <v>1</v>
      </c>
      <c r="F35" t="str">
        <f t="shared" si="0"/>
        <v>Stärke</v>
      </c>
    </row>
    <row r="36" spans="1:6" ht="17.25" customHeight="1" x14ac:dyDescent="0.2">
      <c r="A36" s="35" t="s">
        <v>131</v>
      </c>
      <c r="B36" s="32" t="s">
        <v>145</v>
      </c>
    </row>
    <row r="37" spans="1:6" ht="24" customHeight="1" x14ac:dyDescent="0.2">
      <c r="B37" s="33"/>
    </row>
    <row r="38" spans="1:6" ht="21" customHeight="1" x14ac:dyDescent="0.2">
      <c r="A38" s="35" t="s">
        <v>166</v>
      </c>
      <c r="B38" s="32" t="s">
        <v>146</v>
      </c>
    </row>
    <row r="39" spans="1:6" ht="29.25" customHeight="1" x14ac:dyDescent="0.2">
      <c r="B39" s="33"/>
    </row>
    <row r="41" spans="1:6" hidden="1" outlineLevel="1" x14ac:dyDescent="0.2"/>
    <row r="42" spans="1:6" hidden="1" outlineLevel="1" x14ac:dyDescent="0.2"/>
    <row r="43" spans="1:6" hidden="1" outlineLevel="1" x14ac:dyDescent="0.2"/>
    <row r="44" spans="1:6" hidden="1" outlineLevel="1" x14ac:dyDescent="0.2"/>
    <row r="45" spans="1:6" hidden="1" outlineLevel="1" x14ac:dyDescent="0.2"/>
    <row r="46" spans="1:6" hidden="1" outlineLevel="1" x14ac:dyDescent="0.2"/>
    <row r="47" spans="1:6" hidden="1" outlineLevel="1" x14ac:dyDescent="0.2"/>
    <row r="48" spans="1:6" hidden="1" outlineLevel="1" x14ac:dyDescent="0.2"/>
    <row r="49" spans="3:4" hidden="1" outlineLevel="1" x14ac:dyDescent="0.2"/>
    <row r="50" spans="3:4" collapsed="1" x14ac:dyDescent="0.2">
      <c r="C50" s="28">
        <f>COUNTIF($E$11:$E$35,1)/COUNTA($E$11:$E$35)</f>
        <v>0.72727272727272729</v>
      </c>
      <c r="D50" s="28">
        <f>COUNTIF($E$11:$E$35,2)/COUNTA($E$11:$E$35)</f>
        <v>0.27272727272727271</v>
      </c>
    </row>
  </sheetData>
  <phoneticPr fontId="4" type="noConversion"/>
  <conditionalFormatting sqref="C7:C9">
    <cfRule type="expression" dxfId="25" priority="1" stopIfTrue="1">
      <formula>E7=1</formula>
    </cfRule>
  </conditionalFormatting>
  <conditionalFormatting sqref="D7:D9">
    <cfRule type="expression" dxfId="24" priority="2" stopIfTrue="1">
      <formula>E7=2</formula>
    </cfRule>
  </conditionalFormatting>
  <conditionalFormatting sqref="C11:C34">
    <cfRule type="expression" dxfId="23" priority="3" stopIfTrue="1">
      <formula>AND(NOT(ISBLANK(E11)),E11=1)</formula>
    </cfRule>
  </conditionalFormatting>
  <conditionalFormatting sqref="D11:D34">
    <cfRule type="expression" dxfId="22" priority="4" stopIfTrue="1">
      <formula>AND(NOT(ISBLANK(E11)),E11=2)</formula>
    </cfRule>
  </conditionalFormatting>
  <conditionalFormatting sqref="F6:F27 F29:F35">
    <cfRule type="cellIs" dxfId="21" priority="5" stopIfTrue="1" operator="equal">
      <formula>"Stärke"</formula>
    </cfRule>
    <cfRule type="cellIs" dxfId="20" priority="6" stopIfTrue="1" operator="equal">
      <formula>"Schwäche"</formula>
    </cfRule>
  </conditionalFormatting>
  <hyperlinks>
    <hyperlink ref="F1" location="Basisdaten!A1" display="Basisdaten!A1"/>
    <hyperlink ref="F2" location="StärkenSchwächen!A1" display="StärkenSchwächen!A1"/>
  </hyperlinks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6" r:id="rId4" name="Group Box 1032">
              <controlPr defaultSize="0" autoFill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5" name="Option Button 1033">
              <controlPr defaultSize="0" autoFill="0" autoLine="0" autoPict="0">
                <anchor moveWithCells="1">
                  <from>
                    <xdr:col>2</xdr:col>
                    <xdr:colOff>57150</xdr:colOff>
                    <xdr:row>10</xdr:row>
                    <xdr:rowOff>0</xdr:rowOff>
                  </from>
                  <to>
                    <xdr:col>2</xdr:col>
                    <xdr:colOff>476250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6" name="Option Button 1034">
              <controlPr defaultSize="0" autoFill="0" autoLine="0" autoPict="0">
                <anchor moveWithCells="1">
                  <from>
                    <xdr:col>3</xdr:col>
                    <xdr:colOff>38100</xdr:colOff>
                    <xdr:row>10</xdr:row>
                    <xdr:rowOff>19050</xdr:rowOff>
                  </from>
                  <to>
                    <xdr:col>3</xdr:col>
                    <xdr:colOff>552450</xdr:colOff>
                    <xdr:row>10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1" r:id="rId7" name="Group Box 1077">
              <controlPr defaultSize="0" autoFill="0" autoPict="0">
                <anchor moveWithCells="1">
                  <from>
                    <xdr:col>2</xdr:col>
                    <xdr:colOff>0</xdr:colOff>
                    <xdr:row>11</xdr:row>
                    <xdr:rowOff>0</xdr:rowOff>
                  </from>
                  <to>
                    <xdr:col>4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2" r:id="rId8" name="Option Button 1078">
              <controlPr defaultSize="0" autoFill="0" autoLine="0" autoPict="0">
                <anchor moveWithCells="1">
                  <from>
                    <xdr:col>2</xdr:col>
                    <xdr:colOff>57150</xdr:colOff>
                    <xdr:row>11</xdr:row>
                    <xdr:rowOff>0</xdr:rowOff>
                  </from>
                  <to>
                    <xdr:col>2</xdr:col>
                    <xdr:colOff>476250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3" r:id="rId9" name="Option Button 1079">
              <controlPr defaultSize="0" autoFill="0" autoLine="0" autoPict="0">
                <anchor moveWithCells="1">
                  <from>
                    <xdr:col>3</xdr:col>
                    <xdr:colOff>38100</xdr:colOff>
                    <xdr:row>11</xdr:row>
                    <xdr:rowOff>19050</xdr:rowOff>
                  </from>
                  <to>
                    <xdr:col>3</xdr:col>
                    <xdr:colOff>552450</xdr:colOff>
                    <xdr:row>11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4" r:id="rId10" name="Group Box 1080">
              <controlPr defaultSize="0" autoFill="0" autoPict="0">
                <anchor moveWithCells="1">
                  <from>
                    <xdr:col>2</xdr:col>
                    <xdr:colOff>0</xdr:colOff>
                    <xdr:row>19</xdr:row>
                    <xdr:rowOff>0</xdr:rowOff>
                  </from>
                  <to>
                    <xdr:col>4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5" r:id="rId11" name="Option Button 1081">
              <controlPr defaultSize="0" autoFill="0" autoLine="0" autoPict="0">
                <anchor moveWithCells="1">
                  <from>
                    <xdr:col>2</xdr:col>
                    <xdr:colOff>57150</xdr:colOff>
                    <xdr:row>19</xdr:row>
                    <xdr:rowOff>0</xdr:rowOff>
                  </from>
                  <to>
                    <xdr:col>2</xdr:col>
                    <xdr:colOff>476250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6" r:id="rId12" name="Option Button 1082">
              <controlPr defaultSize="0" autoFill="0" autoLine="0" autoPict="0">
                <anchor moveWithCells="1">
                  <from>
                    <xdr:col>3</xdr:col>
                    <xdr:colOff>38100</xdr:colOff>
                    <xdr:row>19</xdr:row>
                    <xdr:rowOff>19050</xdr:rowOff>
                  </from>
                  <to>
                    <xdr:col>3</xdr:col>
                    <xdr:colOff>552450</xdr:colOff>
                    <xdr:row>19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7" r:id="rId13" name="Group Box 1083">
              <controlPr defaultSize="0" autoFill="0" autoPict="0">
                <anchor moveWithCells="1">
                  <from>
                    <xdr:col>2</xdr:col>
                    <xdr:colOff>0</xdr:colOff>
                    <xdr:row>20</xdr:row>
                    <xdr:rowOff>0</xdr:rowOff>
                  </from>
                  <to>
                    <xdr:col>4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8" r:id="rId14" name="Option Button 1084">
              <controlPr defaultSize="0" autoFill="0" autoLine="0" autoPict="0">
                <anchor moveWithCells="1">
                  <from>
                    <xdr:col>2</xdr:col>
                    <xdr:colOff>57150</xdr:colOff>
                    <xdr:row>20</xdr:row>
                    <xdr:rowOff>0</xdr:rowOff>
                  </from>
                  <to>
                    <xdr:col>2</xdr:col>
                    <xdr:colOff>476250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9" r:id="rId15" name="Option Button 1085">
              <controlPr defaultSize="0" autoFill="0" autoLine="0" autoPict="0">
                <anchor moveWithCells="1">
                  <from>
                    <xdr:col>3</xdr:col>
                    <xdr:colOff>38100</xdr:colOff>
                    <xdr:row>20</xdr:row>
                    <xdr:rowOff>19050</xdr:rowOff>
                  </from>
                  <to>
                    <xdr:col>3</xdr:col>
                    <xdr:colOff>552450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0" r:id="rId16" name="Group Box 1086">
              <controlPr defaultSize="0" autoFill="0" autoPict="0">
                <anchor moveWithCells="1">
                  <from>
                    <xdr:col>2</xdr:col>
                    <xdr:colOff>0</xdr:colOff>
                    <xdr:row>12</xdr:row>
                    <xdr:rowOff>0</xdr:rowOff>
                  </from>
                  <to>
                    <xdr:col>4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1" r:id="rId17" name="Option Button 1087">
              <controlPr defaultSize="0" autoFill="0" autoLine="0" autoPict="0">
                <anchor moveWithCells="1">
                  <from>
                    <xdr:col>2</xdr:col>
                    <xdr:colOff>57150</xdr:colOff>
                    <xdr:row>12</xdr:row>
                    <xdr:rowOff>0</xdr:rowOff>
                  </from>
                  <to>
                    <xdr:col>2</xdr:col>
                    <xdr:colOff>476250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2" r:id="rId18" name="Option Button 1088">
              <controlPr defaultSize="0" autoFill="0" autoLine="0" autoPict="0">
                <anchor moveWithCells="1">
                  <from>
                    <xdr:col>3</xdr:col>
                    <xdr:colOff>38100</xdr:colOff>
                    <xdr:row>12</xdr:row>
                    <xdr:rowOff>19050</xdr:rowOff>
                  </from>
                  <to>
                    <xdr:col>3</xdr:col>
                    <xdr:colOff>552450</xdr:colOff>
                    <xdr:row>12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3" r:id="rId19" name="Group Box 1089">
              <controlPr defaultSize="0" autoFill="0" autoPict="0">
                <anchor moveWithCells="1">
                  <from>
                    <xdr:col>2</xdr:col>
                    <xdr:colOff>0</xdr:colOff>
                    <xdr:row>21</xdr:row>
                    <xdr:rowOff>0</xdr:rowOff>
                  </from>
                  <to>
                    <xdr:col>4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4" r:id="rId20" name="Option Button 1090">
              <controlPr defaultSize="0" autoFill="0" autoLine="0" autoPict="0">
                <anchor moveWithCells="1">
                  <from>
                    <xdr:col>2</xdr:col>
                    <xdr:colOff>57150</xdr:colOff>
                    <xdr:row>21</xdr:row>
                    <xdr:rowOff>38100</xdr:rowOff>
                  </from>
                  <to>
                    <xdr:col>2</xdr:col>
                    <xdr:colOff>476250</xdr:colOff>
                    <xdr:row>21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5" r:id="rId21" name="Option Button 1091">
              <controlPr defaultSize="0" autoFill="0" autoLine="0" autoPict="0">
                <anchor moveWithCells="1">
                  <from>
                    <xdr:col>3</xdr:col>
                    <xdr:colOff>38100</xdr:colOff>
                    <xdr:row>21</xdr:row>
                    <xdr:rowOff>66675</xdr:rowOff>
                  </from>
                  <to>
                    <xdr:col>3</xdr:col>
                    <xdr:colOff>552450</xdr:colOff>
                    <xdr:row>21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1" r:id="rId22" name="Group Box 1107">
              <controlPr defaultSize="0" autoFill="0" autoPict="0">
                <anchor moveWithCells="1">
                  <from>
                    <xdr:col>2</xdr:col>
                    <xdr:colOff>0</xdr:colOff>
                    <xdr:row>15</xdr:row>
                    <xdr:rowOff>0</xdr:rowOff>
                  </from>
                  <to>
                    <xdr:col>4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2" r:id="rId23" name="Option Button 1108">
              <controlPr defaultSize="0" autoFill="0" autoLine="0" autoPict="0">
                <anchor moveWithCells="1">
                  <from>
                    <xdr:col>2</xdr:col>
                    <xdr:colOff>57150</xdr:colOff>
                    <xdr:row>15</xdr:row>
                    <xdr:rowOff>0</xdr:rowOff>
                  </from>
                  <to>
                    <xdr:col>2</xdr:col>
                    <xdr:colOff>476250</xdr:colOff>
                    <xdr:row>15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3" r:id="rId24" name="Option Button 1109">
              <controlPr defaultSize="0" autoFill="0" autoLine="0" autoPict="0">
                <anchor moveWithCells="1">
                  <from>
                    <xdr:col>3</xdr:col>
                    <xdr:colOff>38100</xdr:colOff>
                    <xdr:row>15</xdr:row>
                    <xdr:rowOff>19050</xdr:rowOff>
                  </from>
                  <to>
                    <xdr:col>3</xdr:col>
                    <xdr:colOff>552450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0" r:id="rId25" name="Group Box 1116">
              <controlPr defaultSize="0" autoFill="0" autoPict="0">
                <anchor mov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4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1" r:id="rId26" name="Option Button 1117">
              <controlPr defaultSize="0" autoFill="0" autoLine="0" autoPict="0">
                <anchor moveWithCells="1">
                  <from>
                    <xdr:col>2</xdr:col>
                    <xdr:colOff>57150</xdr:colOff>
                    <xdr:row>13</xdr:row>
                    <xdr:rowOff>0</xdr:rowOff>
                  </from>
                  <to>
                    <xdr:col>2</xdr:col>
                    <xdr:colOff>476250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2" r:id="rId27" name="Option Button 1118">
              <controlPr defaultSize="0" autoFill="0" autoLine="0" autoPict="0">
                <anchor moveWithCells="1">
                  <from>
                    <xdr:col>3</xdr:col>
                    <xdr:colOff>38100</xdr:colOff>
                    <xdr:row>13</xdr:row>
                    <xdr:rowOff>19050</xdr:rowOff>
                  </from>
                  <to>
                    <xdr:col>3</xdr:col>
                    <xdr:colOff>552450</xdr:colOff>
                    <xdr:row>13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3" r:id="rId28" name="Group Box 1119">
              <controlPr defaultSize="0" autoFill="0" autoPict="0">
                <anchor moveWithCells="1">
                  <from>
                    <xdr:col>2</xdr:col>
                    <xdr:colOff>0</xdr:colOff>
                    <xdr:row>14</xdr:row>
                    <xdr:rowOff>0</xdr:rowOff>
                  </from>
                  <to>
                    <xdr:col>4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4" r:id="rId29" name="Option Button 1120">
              <controlPr defaultSize="0" autoFill="0" autoLine="0" autoPict="0">
                <anchor moveWithCells="1">
                  <from>
                    <xdr:col>2</xdr:col>
                    <xdr:colOff>57150</xdr:colOff>
                    <xdr:row>14</xdr:row>
                    <xdr:rowOff>0</xdr:rowOff>
                  </from>
                  <to>
                    <xdr:col>2</xdr:col>
                    <xdr:colOff>476250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5" r:id="rId30" name="Option Button 1121">
              <controlPr defaultSize="0" autoFill="0" autoLine="0" autoPict="0">
                <anchor moveWithCells="1">
                  <from>
                    <xdr:col>3</xdr:col>
                    <xdr:colOff>38100</xdr:colOff>
                    <xdr:row>14</xdr:row>
                    <xdr:rowOff>19050</xdr:rowOff>
                  </from>
                  <to>
                    <xdr:col>3</xdr:col>
                    <xdr:colOff>552450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6" r:id="rId31" name="Group Box 1122">
              <controlPr defaultSize="0" autoFill="0" autoPict="0">
                <anchor moveWithCells="1">
                  <from>
                    <xdr:col>2</xdr:col>
                    <xdr:colOff>0</xdr:colOff>
                    <xdr:row>22</xdr:row>
                    <xdr:rowOff>0</xdr:rowOff>
                  </from>
                  <to>
                    <xdr:col>4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7" r:id="rId32" name="Option Button 1123">
              <controlPr defaultSize="0" autoFill="0" autoLine="0" autoPict="0">
                <anchor moveWithCells="1">
                  <from>
                    <xdr:col>2</xdr:col>
                    <xdr:colOff>57150</xdr:colOff>
                    <xdr:row>22</xdr:row>
                    <xdr:rowOff>0</xdr:rowOff>
                  </from>
                  <to>
                    <xdr:col>2</xdr:col>
                    <xdr:colOff>476250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8" r:id="rId33" name="Option Button 1124">
              <controlPr defaultSize="0" autoFill="0" autoLine="0" autoPict="0">
                <anchor moveWithCells="1">
                  <from>
                    <xdr:col>3</xdr:col>
                    <xdr:colOff>38100</xdr:colOff>
                    <xdr:row>22</xdr:row>
                    <xdr:rowOff>19050</xdr:rowOff>
                  </from>
                  <to>
                    <xdr:col>3</xdr:col>
                    <xdr:colOff>552450</xdr:colOff>
                    <xdr:row>22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9" r:id="rId34" name="Group Box 1125">
              <controlPr defaultSize="0" autoFill="0" autoPict="0">
                <anchor moveWithCells="1">
                  <from>
                    <xdr:col>2</xdr:col>
                    <xdr:colOff>0</xdr:colOff>
                    <xdr:row>23</xdr:row>
                    <xdr:rowOff>0</xdr:rowOff>
                  </from>
                  <to>
                    <xdr:col>4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0" r:id="rId35" name="Option Button 1126">
              <controlPr defaultSize="0" autoFill="0" autoLine="0" autoPict="0">
                <anchor moveWithCells="1">
                  <from>
                    <xdr:col>2</xdr:col>
                    <xdr:colOff>57150</xdr:colOff>
                    <xdr:row>23</xdr:row>
                    <xdr:rowOff>0</xdr:rowOff>
                  </from>
                  <to>
                    <xdr:col>2</xdr:col>
                    <xdr:colOff>476250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1" r:id="rId36" name="Option Button 1127">
              <controlPr defaultSize="0" autoFill="0" autoLine="0" autoPict="0">
                <anchor moveWithCells="1">
                  <from>
                    <xdr:col>3</xdr:col>
                    <xdr:colOff>38100</xdr:colOff>
                    <xdr:row>23</xdr:row>
                    <xdr:rowOff>19050</xdr:rowOff>
                  </from>
                  <to>
                    <xdr:col>3</xdr:col>
                    <xdr:colOff>552450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2" r:id="rId37" name="Group Box 1128">
              <controlPr defaultSize="0" autoFill="0" autoPict="0">
                <anchor moveWithCells="1">
                  <from>
                    <xdr:col>2</xdr:col>
                    <xdr:colOff>0</xdr:colOff>
                    <xdr:row>24</xdr:row>
                    <xdr:rowOff>0</xdr:rowOff>
                  </from>
                  <to>
                    <xdr:col>4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3" r:id="rId38" name="Option Button 1129">
              <controlPr defaultSize="0" autoFill="0" autoLine="0" autoPict="0">
                <anchor moveWithCells="1">
                  <from>
                    <xdr:col>2</xdr:col>
                    <xdr:colOff>57150</xdr:colOff>
                    <xdr:row>24</xdr:row>
                    <xdr:rowOff>0</xdr:rowOff>
                  </from>
                  <to>
                    <xdr:col>2</xdr:col>
                    <xdr:colOff>476250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4" r:id="rId39" name="Option Button 1130">
              <controlPr defaultSize="0" autoFill="0" autoLine="0" autoPict="0">
                <anchor moveWithCells="1">
                  <from>
                    <xdr:col>3</xdr:col>
                    <xdr:colOff>38100</xdr:colOff>
                    <xdr:row>24</xdr:row>
                    <xdr:rowOff>19050</xdr:rowOff>
                  </from>
                  <to>
                    <xdr:col>3</xdr:col>
                    <xdr:colOff>552450</xdr:colOff>
                    <xdr:row>24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5" r:id="rId40" name="Group Box 1131">
              <controlPr defaultSize="0" autoFill="0" autoPict="0">
                <anchor moveWithCells="1">
                  <from>
                    <xdr:col>2</xdr:col>
                    <xdr:colOff>0</xdr:colOff>
                    <xdr:row>26</xdr:row>
                    <xdr:rowOff>0</xdr:rowOff>
                  </from>
                  <to>
                    <xdr:col>4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6" r:id="rId41" name="Option Button 1132">
              <controlPr defaultSize="0" autoFill="0" autoLine="0" autoPict="0">
                <anchor moveWithCells="1">
                  <from>
                    <xdr:col>2</xdr:col>
                    <xdr:colOff>57150</xdr:colOff>
                    <xdr:row>26</xdr:row>
                    <xdr:rowOff>28575</xdr:rowOff>
                  </from>
                  <to>
                    <xdr:col>2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7" r:id="rId42" name="Option Button 1133">
              <controlPr defaultSize="0" autoFill="0" autoLine="0" autoPict="0">
                <anchor moveWithCells="1">
                  <from>
                    <xdr:col>3</xdr:col>
                    <xdr:colOff>38100</xdr:colOff>
                    <xdr:row>26</xdr:row>
                    <xdr:rowOff>47625</xdr:rowOff>
                  </from>
                  <to>
                    <xdr:col>3</xdr:col>
                    <xdr:colOff>552450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8" r:id="rId43" name="Group Box 1134">
              <controlPr defaultSize="0" autoFill="0" autoPict="0">
                <anchor moveWithCells="1">
                  <from>
                    <xdr:col>2</xdr:col>
                    <xdr:colOff>0</xdr:colOff>
                    <xdr:row>29</xdr:row>
                    <xdr:rowOff>0</xdr:rowOff>
                  </from>
                  <to>
                    <xdr:col>4</xdr:col>
                    <xdr:colOff>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9" r:id="rId44" name="Option Button 1135">
              <controlPr defaultSize="0" autoFill="0" autoLine="0" autoPict="0">
                <anchor moveWithCells="1">
                  <from>
                    <xdr:col>2</xdr:col>
                    <xdr:colOff>57150</xdr:colOff>
                    <xdr:row>29</xdr:row>
                    <xdr:rowOff>38100</xdr:rowOff>
                  </from>
                  <to>
                    <xdr:col>2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0" r:id="rId45" name="Option Button 1136">
              <controlPr defaultSize="0" autoFill="0" autoLine="0" autoPict="0">
                <anchor moveWithCells="1">
                  <from>
                    <xdr:col>3</xdr:col>
                    <xdr:colOff>38100</xdr:colOff>
                    <xdr:row>29</xdr:row>
                    <xdr:rowOff>57150</xdr:rowOff>
                  </from>
                  <to>
                    <xdr:col>3</xdr:col>
                    <xdr:colOff>552450</xdr:colOff>
                    <xdr:row>29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1" r:id="rId46" name="Group Box 1167">
              <controlPr defaultSize="0" autoFill="0" autoPict="0">
                <anchor moveWithCells="1">
                  <from>
                    <xdr:col>2</xdr:col>
                    <xdr:colOff>0</xdr:colOff>
                    <xdr:row>17</xdr:row>
                    <xdr:rowOff>0</xdr:rowOff>
                  </from>
                  <to>
                    <xdr:col>4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2" r:id="rId47" name="Option Button 1168">
              <controlPr defaultSize="0" autoFill="0" autoLine="0" autoPict="0">
                <anchor moveWithCells="1">
                  <from>
                    <xdr:col>2</xdr:col>
                    <xdr:colOff>57150</xdr:colOff>
                    <xdr:row>17</xdr:row>
                    <xdr:rowOff>0</xdr:rowOff>
                  </from>
                  <to>
                    <xdr:col>2</xdr:col>
                    <xdr:colOff>476250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3" r:id="rId48" name="Option Button 1169">
              <controlPr defaultSize="0" autoFill="0" autoLine="0" autoPict="0">
                <anchor moveWithCells="1">
                  <from>
                    <xdr:col>3</xdr:col>
                    <xdr:colOff>38100</xdr:colOff>
                    <xdr:row>17</xdr:row>
                    <xdr:rowOff>19050</xdr:rowOff>
                  </from>
                  <to>
                    <xdr:col>3</xdr:col>
                    <xdr:colOff>552450</xdr:colOff>
                    <xdr:row>17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4" r:id="rId49" name="Group Box 1170">
              <controlPr defaultSize="0" autoFill="0" autoPict="0">
                <anchor moveWithCells="1">
                  <from>
                    <xdr:col>2</xdr:col>
                    <xdr:colOff>0</xdr:colOff>
                    <xdr:row>18</xdr:row>
                    <xdr:rowOff>0</xdr:rowOff>
                  </from>
                  <to>
                    <xdr:col>4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5" r:id="rId50" name="Option Button 1171">
              <controlPr defaultSize="0" autoFill="0" autoLine="0" autoPict="0">
                <anchor moveWithCells="1">
                  <from>
                    <xdr:col>2</xdr:col>
                    <xdr:colOff>57150</xdr:colOff>
                    <xdr:row>18</xdr:row>
                    <xdr:rowOff>0</xdr:rowOff>
                  </from>
                  <to>
                    <xdr:col>2</xdr:col>
                    <xdr:colOff>476250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6" r:id="rId51" name="Option Button 1172">
              <controlPr defaultSize="0" autoFill="0" autoLine="0" autoPict="0">
                <anchor moveWithCells="1">
                  <from>
                    <xdr:col>3</xdr:col>
                    <xdr:colOff>38100</xdr:colOff>
                    <xdr:row>18</xdr:row>
                    <xdr:rowOff>19050</xdr:rowOff>
                  </from>
                  <to>
                    <xdr:col>3</xdr:col>
                    <xdr:colOff>552450</xdr:colOff>
                    <xdr:row>18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7" r:id="rId52" name="Group Box 1173">
              <controlPr defaultSize="0" autoFill="0" autoPict="0">
                <anchor moveWithCells="1">
                  <from>
                    <xdr:col>2</xdr:col>
                    <xdr:colOff>0</xdr:colOff>
                    <xdr:row>30</xdr:row>
                    <xdr:rowOff>0</xdr:rowOff>
                  </from>
                  <to>
                    <xdr:col>4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8" r:id="rId53" name="Option Button 1174">
              <controlPr defaultSize="0" autoFill="0" autoLine="0" autoPict="0">
                <anchor moveWithCells="1">
                  <from>
                    <xdr:col>2</xdr:col>
                    <xdr:colOff>57150</xdr:colOff>
                    <xdr:row>30</xdr:row>
                    <xdr:rowOff>38100</xdr:rowOff>
                  </from>
                  <to>
                    <xdr:col>2</xdr:col>
                    <xdr:colOff>476250</xdr:colOff>
                    <xdr:row>30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9" r:id="rId54" name="Option Button 1175">
              <controlPr defaultSize="0" autoFill="0" autoLine="0" autoPict="0">
                <anchor moveWithCells="1">
                  <from>
                    <xdr:col>3</xdr:col>
                    <xdr:colOff>38100</xdr:colOff>
                    <xdr:row>30</xdr:row>
                    <xdr:rowOff>47625</xdr:rowOff>
                  </from>
                  <to>
                    <xdr:col>3</xdr:col>
                    <xdr:colOff>552450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0" r:id="rId55" name="Group Box 1176">
              <controlPr defaultSize="0" autoFill="0" autoPict="0">
                <anchor moveWithCells="1">
                  <from>
                    <xdr:col>2</xdr:col>
                    <xdr:colOff>0</xdr:colOff>
                    <xdr:row>31</xdr:row>
                    <xdr:rowOff>0</xdr:rowOff>
                  </from>
                  <to>
                    <xdr:col>4</xdr:col>
                    <xdr:colOff>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1" r:id="rId56" name="Option Button 1177">
              <controlPr defaultSize="0" autoFill="0" autoLine="0" autoPict="0">
                <anchor moveWithCells="1">
                  <from>
                    <xdr:col>2</xdr:col>
                    <xdr:colOff>57150</xdr:colOff>
                    <xdr:row>31</xdr:row>
                    <xdr:rowOff>47625</xdr:rowOff>
                  </from>
                  <to>
                    <xdr:col>2</xdr:col>
                    <xdr:colOff>476250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2" r:id="rId57" name="Option Button 1178">
              <controlPr defaultSize="0" autoFill="0" autoLine="0" autoPict="0">
                <anchor moveWithCells="1">
                  <from>
                    <xdr:col>3</xdr:col>
                    <xdr:colOff>38100</xdr:colOff>
                    <xdr:row>31</xdr:row>
                    <xdr:rowOff>57150</xdr:rowOff>
                  </from>
                  <to>
                    <xdr:col>3</xdr:col>
                    <xdr:colOff>552450</xdr:colOff>
                    <xdr:row>31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3" r:id="rId58" name="Group Box 1179">
              <controlPr defaultSize="0" autoFill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4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4" r:id="rId59" name="Option Button 1180">
              <controlPr defaultSize="0" autoFill="0" autoLine="0" autoPict="0">
                <anchor moveWithCells="1">
                  <from>
                    <xdr:col>2</xdr:col>
                    <xdr:colOff>57150</xdr:colOff>
                    <xdr:row>32</xdr:row>
                    <xdr:rowOff>47625</xdr:rowOff>
                  </from>
                  <to>
                    <xdr:col>2</xdr:col>
                    <xdr:colOff>476250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5" r:id="rId60" name="Option Button 1181">
              <controlPr defaultSize="0" autoFill="0" autoLine="0" autoPict="0">
                <anchor moveWithCells="1">
                  <from>
                    <xdr:col>3</xdr:col>
                    <xdr:colOff>38100</xdr:colOff>
                    <xdr:row>32</xdr:row>
                    <xdr:rowOff>57150</xdr:rowOff>
                  </from>
                  <to>
                    <xdr:col>3</xdr:col>
                    <xdr:colOff>552450</xdr:colOff>
                    <xdr:row>32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6" r:id="rId61" name="Group Box 1182">
              <controlPr defaultSize="0" autoFill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4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7" r:id="rId62" name="Option Button 1183">
              <controlPr defaultSize="0" autoFill="0" autoLine="0" autoPict="0">
                <anchor moveWithCells="1">
                  <from>
                    <xdr:col>2</xdr:col>
                    <xdr:colOff>57150</xdr:colOff>
                    <xdr:row>33</xdr:row>
                    <xdr:rowOff>47625</xdr:rowOff>
                  </from>
                  <to>
                    <xdr:col>2</xdr:col>
                    <xdr:colOff>476250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8" r:id="rId63" name="Option Button 1184">
              <controlPr defaultSize="0" autoFill="0" autoLine="0" autoPict="0">
                <anchor moveWithCells="1">
                  <from>
                    <xdr:col>3</xdr:col>
                    <xdr:colOff>38100</xdr:colOff>
                    <xdr:row>33</xdr:row>
                    <xdr:rowOff>57150</xdr:rowOff>
                  </from>
                  <to>
                    <xdr:col>3</xdr:col>
                    <xdr:colOff>552450</xdr:colOff>
                    <xdr:row>33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2" r:id="rId64" name="Group Box 1188">
              <controlPr defaultSize="0" autoFill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4</xdr:col>
                    <xdr:colOff>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3" r:id="rId65" name="Option Button 1189">
              <controlPr defaultSize="0" autoFill="0" autoLine="0" autoPict="0">
                <anchor moveWithCells="1">
                  <from>
                    <xdr:col>2</xdr:col>
                    <xdr:colOff>57150</xdr:colOff>
                    <xdr:row>28</xdr:row>
                    <xdr:rowOff>38100</xdr:rowOff>
                  </from>
                  <to>
                    <xdr:col>2</xdr:col>
                    <xdr:colOff>476250</xdr:colOff>
                    <xdr:row>28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4" r:id="rId66" name="Option Button 1190">
              <controlPr defaultSize="0" autoFill="0" autoLine="0" autoPict="0">
                <anchor moveWithCells="1">
                  <from>
                    <xdr:col>3</xdr:col>
                    <xdr:colOff>38100</xdr:colOff>
                    <xdr:row>28</xdr:row>
                    <xdr:rowOff>47625</xdr:rowOff>
                  </from>
                  <to>
                    <xdr:col>3</xdr:col>
                    <xdr:colOff>552450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6" r:id="rId67" name="Spinner 1192">
              <controlPr defaultSize="0" autoPict="0">
                <anchor moveWithCells="1" sizeWithCells="1">
                  <from>
                    <xdr:col>3</xdr:col>
                    <xdr:colOff>285750</xdr:colOff>
                    <xdr:row>34</xdr:row>
                    <xdr:rowOff>9525</xdr:rowOff>
                  </from>
                  <to>
                    <xdr:col>4</xdr:col>
                    <xdr:colOff>0</xdr:colOff>
                    <xdr:row>35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8"/>
  <dimension ref="A1:H50"/>
  <sheetViews>
    <sheetView topLeftCell="A10" workbookViewId="0">
      <selection activeCell="B15" sqref="B15"/>
    </sheetView>
  </sheetViews>
  <sheetFormatPr baseColWidth="10" defaultRowHeight="12.75" outlineLevelRow="1" x14ac:dyDescent="0.2"/>
  <cols>
    <col min="1" max="1" width="5" style="35" customWidth="1"/>
    <col min="2" max="2" width="101.42578125" style="29" customWidth="1"/>
    <col min="3" max="4" width="8.85546875" customWidth="1"/>
    <col min="5" max="5" width="4.85546875" style="24" customWidth="1"/>
    <col min="6" max="6" width="13.7109375" customWidth="1"/>
  </cols>
  <sheetData>
    <row r="1" spans="1:8" ht="18" x14ac:dyDescent="0.2">
      <c r="B1" s="30" t="s">
        <v>26</v>
      </c>
      <c r="F1" s="27" t="s">
        <v>134</v>
      </c>
    </row>
    <row r="2" spans="1:8" ht="15" x14ac:dyDescent="0.2">
      <c r="B2" s="41" t="s">
        <v>113</v>
      </c>
      <c r="F2" s="27" t="s">
        <v>135</v>
      </c>
    </row>
    <row r="4" spans="1:8" x14ac:dyDescent="0.2">
      <c r="B4" s="31" t="s">
        <v>27</v>
      </c>
    </row>
    <row r="5" spans="1:8" ht="51" x14ac:dyDescent="0.2">
      <c r="B5" s="29" t="s">
        <v>170</v>
      </c>
    </row>
    <row r="6" spans="1:8" ht="22.5" customHeight="1" x14ac:dyDescent="0.2">
      <c r="A6" s="35" t="s">
        <v>115</v>
      </c>
      <c r="B6" s="32" t="s">
        <v>174</v>
      </c>
    </row>
    <row r="7" spans="1:8" ht="21.75" customHeight="1" x14ac:dyDescent="0.2">
      <c r="A7" s="36" t="s">
        <v>190</v>
      </c>
      <c r="B7" s="34" t="s">
        <v>171</v>
      </c>
      <c r="E7" s="24">
        <v>1</v>
      </c>
      <c r="F7" t="str">
        <f t="shared" ref="F7:F12" si="0">IF(E7=1,"Stärke",IF(E7=2,"Schwäche",""))</f>
        <v>Stärke</v>
      </c>
    </row>
    <row r="8" spans="1:8" ht="21.75" customHeight="1" x14ac:dyDescent="0.2">
      <c r="A8" s="36" t="s">
        <v>191</v>
      </c>
      <c r="B8" s="34" t="s">
        <v>172</v>
      </c>
      <c r="E8" s="24">
        <v>1</v>
      </c>
      <c r="F8" t="str">
        <f t="shared" si="0"/>
        <v>Stärke</v>
      </c>
    </row>
    <row r="9" spans="1:8" ht="21.75" customHeight="1" x14ac:dyDescent="0.2">
      <c r="A9" s="36" t="s">
        <v>192</v>
      </c>
      <c r="B9" s="34" t="s">
        <v>173</v>
      </c>
      <c r="E9" s="24">
        <v>1</v>
      </c>
      <c r="F9" t="str">
        <f t="shared" si="0"/>
        <v>Stärke</v>
      </c>
    </row>
    <row r="10" spans="1:8" ht="28.5" customHeight="1" x14ac:dyDescent="0.2">
      <c r="A10" s="35" t="s">
        <v>116</v>
      </c>
      <c r="B10" s="32" t="s">
        <v>175</v>
      </c>
      <c r="E10" s="24">
        <v>1</v>
      </c>
      <c r="F10" t="str">
        <f t="shared" si="0"/>
        <v>Stärke</v>
      </c>
    </row>
    <row r="11" spans="1:8" ht="25.5" x14ac:dyDescent="0.2">
      <c r="A11" s="35" t="s">
        <v>117</v>
      </c>
      <c r="B11" s="114" t="s">
        <v>320</v>
      </c>
      <c r="E11" s="24">
        <v>1</v>
      </c>
      <c r="F11" t="str">
        <f t="shared" si="0"/>
        <v>Stärke</v>
      </c>
      <c r="H11" s="112"/>
    </row>
    <row r="12" spans="1:8" ht="29.25" customHeight="1" x14ac:dyDescent="0.2">
      <c r="A12" s="35" t="s">
        <v>118</v>
      </c>
      <c r="B12" s="32" t="s">
        <v>176</v>
      </c>
      <c r="C12" s="115"/>
      <c r="D12" s="5"/>
      <c r="E12" s="24">
        <v>1</v>
      </c>
      <c r="F12" t="str">
        <f t="shared" si="0"/>
        <v>Stärke</v>
      </c>
    </row>
    <row r="13" spans="1:8" ht="21.75" customHeight="1" x14ac:dyDescent="0.2">
      <c r="A13" s="35" t="s">
        <v>119</v>
      </c>
      <c r="B13" s="32" t="s">
        <v>177</v>
      </c>
      <c r="E13" s="24">
        <v>2</v>
      </c>
      <c r="F13" t="str">
        <f t="shared" ref="F13:F21" si="1">IF(E13=1,"Stärke",IF(E13=2,"Schwäche",""))</f>
        <v>Schwäche</v>
      </c>
    </row>
    <row r="14" spans="1:8" ht="21.75" customHeight="1" x14ac:dyDescent="0.2">
      <c r="A14" s="35" t="s">
        <v>120</v>
      </c>
      <c r="B14" s="32" t="s">
        <v>178</v>
      </c>
      <c r="E14" s="24">
        <v>2</v>
      </c>
      <c r="F14" t="str">
        <f t="shared" si="1"/>
        <v>Schwäche</v>
      </c>
    </row>
    <row r="15" spans="1:8" ht="21.75" customHeight="1" x14ac:dyDescent="0.2">
      <c r="A15" s="35" t="s">
        <v>121</v>
      </c>
      <c r="B15" s="32" t="s">
        <v>179</v>
      </c>
      <c r="E15" s="24">
        <v>2</v>
      </c>
      <c r="F15" t="str">
        <f t="shared" si="1"/>
        <v>Schwäche</v>
      </c>
    </row>
    <row r="16" spans="1:8" ht="22.5" customHeight="1" x14ac:dyDescent="0.2">
      <c r="A16" s="35" t="s">
        <v>122</v>
      </c>
      <c r="B16" s="32" t="s">
        <v>180</v>
      </c>
      <c r="E16" s="24">
        <v>2</v>
      </c>
      <c r="F16" t="str">
        <f t="shared" si="1"/>
        <v>Schwäche</v>
      </c>
    </row>
    <row r="17" spans="1:6" ht="28.5" customHeight="1" x14ac:dyDescent="0.2">
      <c r="A17" s="35" t="s">
        <v>123</v>
      </c>
      <c r="B17" s="32" t="s">
        <v>181</v>
      </c>
      <c r="E17" s="24">
        <v>2</v>
      </c>
      <c r="F17" t="str">
        <f t="shared" si="1"/>
        <v>Schwäche</v>
      </c>
    </row>
    <row r="18" spans="1:6" ht="21.75" customHeight="1" x14ac:dyDescent="0.2">
      <c r="A18" s="35" t="s">
        <v>124</v>
      </c>
      <c r="B18" s="32" t="s">
        <v>182</v>
      </c>
      <c r="E18" s="24">
        <v>1</v>
      </c>
      <c r="F18" t="str">
        <f t="shared" si="1"/>
        <v>Stärke</v>
      </c>
    </row>
    <row r="19" spans="1:6" ht="22.5" customHeight="1" x14ac:dyDescent="0.2">
      <c r="A19" s="35" t="s">
        <v>125</v>
      </c>
      <c r="B19" s="32" t="s">
        <v>183</v>
      </c>
      <c r="E19" s="24">
        <v>1</v>
      </c>
      <c r="F19" t="str">
        <f t="shared" si="1"/>
        <v>Stärke</v>
      </c>
    </row>
    <row r="20" spans="1:6" ht="30" customHeight="1" x14ac:dyDescent="0.2">
      <c r="A20" s="35" t="s">
        <v>126</v>
      </c>
      <c r="B20" s="32" t="s">
        <v>184</v>
      </c>
      <c r="E20" s="24">
        <v>1</v>
      </c>
      <c r="F20" t="str">
        <f t="shared" si="1"/>
        <v>Stärke</v>
      </c>
    </row>
    <row r="21" spans="1:6" ht="27.75" customHeight="1" x14ac:dyDescent="0.2">
      <c r="A21" s="35" t="s">
        <v>127</v>
      </c>
      <c r="B21" s="32" t="s">
        <v>189</v>
      </c>
      <c r="C21" s="115"/>
      <c r="D21" s="5"/>
      <c r="E21" s="24">
        <v>2</v>
      </c>
      <c r="F21" t="str">
        <f t="shared" si="1"/>
        <v>Schwäche</v>
      </c>
    </row>
    <row r="22" spans="1:6" ht="27.75" customHeight="1" x14ac:dyDescent="0.2">
      <c r="A22" s="35" t="s">
        <v>128</v>
      </c>
      <c r="B22" s="32" t="s">
        <v>185</v>
      </c>
      <c r="E22" s="24">
        <v>1</v>
      </c>
      <c r="F22" t="str">
        <f>IF(E22=1,"Stärke",IF(E22=2,"Schwäche",""))</f>
        <v>Stärke</v>
      </c>
    </row>
    <row r="23" spans="1:6" ht="27" customHeight="1" x14ac:dyDescent="0.2">
      <c r="A23" s="35" t="s">
        <v>129</v>
      </c>
      <c r="B23" s="32" t="s">
        <v>296</v>
      </c>
      <c r="C23" s="115"/>
      <c r="D23" s="5"/>
      <c r="E23" s="24">
        <v>1</v>
      </c>
      <c r="F23" t="str">
        <f>IF(E23=1,"Stärke",IF(E23=2,"Schwäche",""))</f>
        <v>Stärke</v>
      </c>
    </row>
    <row r="24" spans="1:6" ht="30" customHeight="1" x14ac:dyDescent="0.2">
      <c r="A24" s="35" t="s">
        <v>130</v>
      </c>
      <c r="B24" s="32" t="s">
        <v>186</v>
      </c>
      <c r="E24" s="24">
        <v>2</v>
      </c>
      <c r="F24" t="str">
        <f>IF(E24=1,"Stärke",IF(E24=2,"Schwäche",""))</f>
        <v>Schwäche</v>
      </c>
    </row>
    <row r="25" spans="1:6" ht="29.25" customHeight="1" x14ac:dyDescent="0.2">
      <c r="A25" s="35" t="s">
        <v>131</v>
      </c>
      <c r="B25" s="32" t="s">
        <v>187</v>
      </c>
      <c r="E25" s="24">
        <v>2</v>
      </c>
      <c r="F25" t="str">
        <f>IF(E25=1,"Stärke",IF(E25=2,"Schwäche",""))</f>
        <v>Schwäche</v>
      </c>
    </row>
    <row r="26" spans="1:6" ht="22.5" customHeight="1" x14ac:dyDescent="0.2">
      <c r="A26" s="35" t="s">
        <v>166</v>
      </c>
      <c r="B26" s="32" t="s">
        <v>188</v>
      </c>
      <c r="E26" s="24">
        <v>1</v>
      </c>
      <c r="F26" t="str">
        <f>IF(E26=1,"Stärke",IF(E26=2,"Schwäche",""))</f>
        <v>Stärke</v>
      </c>
    </row>
    <row r="28" spans="1:6" hidden="1" outlineLevel="1" x14ac:dyDescent="0.2"/>
    <row r="29" spans="1:6" hidden="1" outlineLevel="1" x14ac:dyDescent="0.2"/>
    <row r="30" spans="1:6" hidden="1" outlineLevel="1" x14ac:dyDescent="0.2"/>
    <row r="31" spans="1:6" hidden="1" outlineLevel="1" x14ac:dyDescent="0.2"/>
    <row r="32" spans="1:6" hidden="1" outlineLevel="1" x14ac:dyDescent="0.2"/>
    <row r="33" hidden="1" outlineLevel="1" x14ac:dyDescent="0.2"/>
    <row r="34" hidden="1" outlineLevel="1" x14ac:dyDescent="0.2"/>
    <row r="35" hidden="1" outlineLevel="1" x14ac:dyDescent="0.2"/>
    <row r="36" hidden="1" outlineLevel="1" x14ac:dyDescent="0.2"/>
    <row r="37" hidden="1" outlineLevel="1" x14ac:dyDescent="0.2"/>
    <row r="38" hidden="1" outlineLevel="1" x14ac:dyDescent="0.2"/>
    <row r="39" hidden="1" outlineLevel="1" x14ac:dyDescent="0.2"/>
    <row r="40" hidden="1" outlineLevel="1" x14ac:dyDescent="0.2"/>
    <row r="41" hidden="1" outlineLevel="1" x14ac:dyDescent="0.2"/>
    <row r="42" hidden="1" outlineLevel="1" x14ac:dyDescent="0.2"/>
    <row r="43" hidden="1" outlineLevel="1" x14ac:dyDescent="0.2"/>
    <row r="44" hidden="1" outlineLevel="1" x14ac:dyDescent="0.2"/>
    <row r="45" hidden="1" outlineLevel="1" x14ac:dyDescent="0.2"/>
    <row r="46" hidden="1" outlineLevel="1" x14ac:dyDescent="0.2"/>
    <row r="47" hidden="1" outlineLevel="1" x14ac:dyDescent="0.2"/>
    <row r="48" hidden="1" outlineLevel="1" x14ac:dyDescent="0.2"/>
    <row r="49" spans="3:4" hidden="1" outlineLevel="1" x14ac:dyDescent="0.2"/>
    <row r="50" spans="3:4" collapsed="1" x14ac:dyDescent="0.2">
      <c r="C50" s="28">
        <f>COUNTIF($E$6:$E$26,1)/COUNTA($E$6:$E$26)</f>
        <v>0.6</v>
      </c>
      <c r="D50" s="28">
        <f>COUNTIF($E$6:$E$26,2)/COUNTA($E$6:$E$26)</f>
        <v>0.4</v>
      </c>
    </row>
  </sheetData>
  <phoneticPr fontId="4" type="noConversion"/>
  <conditionalFormatting sqref="C7:C26">
    <cfRule type="expression" dxfId="19" priority="1" stopIfTrue="1">
      <formula>AND(NOT(ISBLANK(E7)),E7=1)</formula>
    </cfRule>
  </conditionalFormatting>
  <conditionalFormatting sqref="D7:D26">
    <cfRule type="expression" dxfId="18" priority="2" stopIfTrue="1">
      <formula>AND(NOT(ISBLANK(E7)),E7=2)</formula>
    </cfRule>
  </conditionalFormatting>
  <conditionalFormatting sqref="F6:F26">
    <cfRule type="cellIs" dxfId="17" priority="3" stopIfTrue="1" operator="equal">
      <formula>"Stärke"</formula>
    </cfRule>
    <cfRule type="cellIs" dxfId="16" priority="4" stopIfTrue="1" operator="equal">
      <formula>"Schwäche"</formula>
    </cfRule>
  </conditionalFormatting>
  <hyperlinks>
    <hyperlink ref="F1" location="Basisdaten!A1" display="Basisdaten!A1"/>
    <hyperlink ref="F2" location="StärkenSchwächen!A1" display="StärkenSchwächen!A1"/>
  </hyperlinks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6" r:id="rId4" name="Group Box 4">
              <controlPr defaultSize="0" autoFill="0" autoPict="0">
                <anchor moveWithCells="1">
                  <from>
                    <xdr:col>2</xdr:col>
                    <xdr:colOff>0</xdr:colOff>
                    <xdr:row>6</xdr:row>
                    <xdr:rowOff>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5" name="Option Button 5">
              <controlPr defaultSize="0" autoFill="0" autoLine="0" autoPict="0">
                <anchor moveWithCells="1">
                  <from>
                    <xdr:col>2</xdr:col>
                    <xdr:colOff>57150</xdr:colOff>
                    <xdr:row>6</xdr:row>
                    <xdr:rowOff>0</xdr:rowOff>
                  </from>
                  <to>
                    <xdr:col>2</xdr:col>
                    <xdr:colOff>476250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6" name="Option Button 6">
              <controlPr defaultSize="0" autoFill="0" autoLine="0" autoPict="0">
                <anchor moveWithCells="1">
                  <from>
                    <xdr:col>3</xdr:col>
                    <xdr:colOff>38100</xdr:colOff>
                    <xdr:row>6</xdr:row>
                    <xdr:rowOff>19050</xdr:rowOff>
                  </from>
                  <to>
                    <xdr:col>3</xdr:col>
                    <xdr:colOff>552450</xdr:colOff>
                    <xdr:row>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7" name="Group Box 7">
              <controlPr defaultSize="0" autoFill="0" autoPict="0">
                <anchor moveWithCells="1">
                  <from>
                    <xdr:col>2</xdr:col>
                    <xdr:colOff>0</xdr:colOff>
                    <xdr:row>14</xdr:row>
                    <xdr:rowOff>0</xdr:rowOff>
                  </from>
                  <to>
                    <xdr:col>4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8" name="Option Button 8">
              <controlPr defaultSize="0" autoFill="0" autoLine="0" autoPict="0">
                <anchor moveWithCells="1">
                  <from>
                    <xdr:col>2</xdr:col>
                    <xdr:colOff>57150</xdr:colOff>
                    <xdr:row>14</xdr:row>
                    <xdr:rowOff>0</xdr:rowOff>
                  </from>
                  <to>
                    <xdr:col>2</xdr:col>
                    <xdr:colOff>476250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9" name="Option Button 9">
              <controlPr defaultSize="0" autoFill="0" autoLine="0" autoPict="0">
                <anchor moveWithCells="1">
                  <from>
                    <xdr:col>3</xdr:col>
                    <xdr:colOff>38100</xdr:colOff>
                    <xdr:row>14</xdr:row>
                    <xdr:rowOff>19050</xdr:rowOff>
                  </from>
                  <to>
                    <xdr:col>3</xdr:col>
                    <xdr:colOff>552450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0" name="Group Box 10">
              <controlPr defaultSize="0" autoFill="0" autoPict="0">
                <anchor moveWithCells="1">
                  <from>
                    <xdr:col>2</xdr:col>
                    <xdr:colOff>0</xdr:colOff>
                    <xdr:row>15</xdr:row>
                    <xdr:rowOff>0</xdr:rowOff>
                  </from>
                  <to>
                    <xdr:col>4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1" name="Option Button 11">
              <controlPr defaultSize="0" autoFill="0" autoLine="0" autoPict="0">
                <anchor moveWithCells="1">
                  <from>
                    <xdr:col>2</xdr:col>
                    <xdr:colOff>57150</xdr:colOff>
                    <xdr:row>15</xdr:row>
                    <xdr:rowOff>0</xdr:rowOff>
                  </from>
                  <to>
                    <xdr:col>2</xdr:col>
                    <xdr:colOff>476250</xdr:colOff>
                    <xdr:row>15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2" name="Option Button 12">
              <controlPr defaultSize="0" autoFill="0" autoLine="0" autoPict="0">
                <anchor moveWithCells="1">
                  <from>
                    <xdr:col>3</xdr:col>
                    <xdr:colOff>38100</xdr:colOff>
                    <xdr:row>15</xdr:row>
                    <xdr:rowOff>19050</xdr:rowOff>
                  </from>
                  <to>
                    <xdr:col>3</xdr:col>
                    <xdr:colOff>552450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3" name="Group Box 13">
              <controlPr defaultSize="0" autoFill="0" autoPict="0">
                <anchor moveWithCells="1">
                  <from>
                    <xdr:col>2</xdr:col>
                    <xdr:colOff>0</xdr:colOff>
                    <xdr:row>7</xdr:row>
                    <xdr:rowOff>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4" name="Option Button 14">
              <controlPr defaultSize="0" autoFill="0" autoLine="0" autoPict="0">
                <anchor moveWithCells="1">
                  <from>
                    <xdr:col>2</xdr:col>
                    <xdr:colOff>57150</xdr:colOff>
                    <xdr:row>7</xdr:row>
                    <xdr:rowOff>0</xdr:rowOff>
                  </from>
                  <to>
                    <xdr:col>2</xdr:col>
                    <xdr:colOff>476250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5" name="Option Button 15">
              <controlPr defaultSize="0" autoFill="0" autoLine="0" autoPict="0">
                <anchor moveWithCells="1">
                  <from>
                    <xdr:col>3</xdr:col>
                    <xdr:colOff>38100</xdr:colOff>
                    <xdr:row>7</xdr:row>
                    <xdr:rowOff>19050</xdr:rowOff>
                  </from>
                  <to>
                    <xdr:col>3</xdr:col>
                    <xdr:colOff>552450</xdr:colOff>
                    <xdr:row>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6" name="Group Box 16">
              <controlPr defaultSize="0" autoFill="0" autoPict="0">
                <anchor moveWithCells="1">
                  <from>
                    <xdr:col>2</xdr:col>
                    <xdr:colOff>0</xdr:colOff>
                    <xdr:row>16</xdr:row>
                    <xdr:rowOff>0</xdr:rowOff>
                  </from>
                  <to>
                    <xdr:col>4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17" name="Option Button 17">
              <controlPr defaultSize="0" autoFill="0" autoLine="0" autoPict="0">
                <anchor moveWithCells="1">
                  <from>
                    <xdr:col>2</xdr:col>
                    <xdr:colOff>57150</xdr:colOff>
                    <xdr:row>16</xdr:row>
                    <xdr:rowOff>38100</xdr:rowOff>
                  </from>
                  <to>
                    <xdr:col>2</xdr:col>
                    <xdr:colOff>476250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18" name="Option Button 18">
              <controlPr defaultSize="0" autoFill="0" autoLine="0" autoPict="0">
                <anchor moveWithCells="1">
                  <from>
                    <xdr:col>3</xdr:col>
                    <xdr:colOff>38100</xdr:colOff>
                    <xdr:row>16</xdr:row>
                    <xdr:rowOff>66675</xdr:rowOff>
                  </from>
                  <to>
                    <xdr:col>3</xdr:col>
                    <xdr:colOff>552450</xdr:colOff>
                    <xdr:row>16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19" name="Group Box 19">
              <controlPr defaultSize="0" autoFill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0" name="Option Button 20">
              <controlPr defaultSize="0" autoFill="0" autoLine="0" autoPict="0">
                <anchor moveWithCells="1">
                  <from>
                    <xdr:col>2</xdr:col>
                    <xdr:colOff>57150</xdr:colOff>
                    <xdr:row>10</xdr:row>
                    <xdr:rowOff>47625</xdr:rowOff>
                  </from>
                  <to>
                    <xdr:col>2</xdr:col>
                    <xdr:colOff>476250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1" name="Option Button 21">
              <controlPr defaultSize="0" autoFill="0" autoLine="0" autoPict="0">
                <anchor moveWithCells="1">
                  <from>
                    <xdr:col>3</xdr:col>
                    <xdr:colOff>38100</xdr:colOff>
                    <xdr:row>10</xdr:row>
                    <xdr:rowOff>66675</xdr:rowOff>
                  </from>
                  <to>
                    <xdr:col>3</xdr:col>
                    <xdr:colOff>552450</xdr:colOff>
                    <xdr:row>10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2" name="Group Box 22">
              <controlPr defaultSize="0" autoFill="0" autoPict="0">
                <anchor moveWithCells="1">
                  <from>
                    <xdr:col>2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3" name="Option Button 23">
              <controlPr defaultSize="0" autoFill="0" autoLine="0" autoPict="0">
                <anchor moveWithCells="1">
                  <from>
                    <xdr:col>2</xdr:col>
                    <xdr:colOff>57150</xdr:colOff>
                    <xdr:row>8</xdr:row>
                    <xdr:rowOff>0</xdr:rowOff>
                  </from>
                  <to>
                    <xdr:col>2</xdr:col>
                    <xdr:colOff>476250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4" name="Option Button 24">
              <controlPr defaultSize="0" autoFill="0" autoLine="0" autoPict="0">
                <anchor moveWithCells="1">
                  <from>
                    <xdr:col>3</xdr:col>
                    <xdr:colOff>38100</xdr:colOff>
                    <xdr:row>8</xdr:row>
                    <xdr:rowOff>19050</xdr:rowOff>
                  </from>
                  <to>
                    <xdr:col>3</xdr:col>
                    <xdr:colOff>552450</xdr:colOff>
                    <xdr:row>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5" name="Group Box 25">
              <controlPr defaultSize="0" autoFill="0" autoPict="0">
                <anchor moveWithCells="1">
                  <from>
                    <xdr:col>2</xdr:col>
                    <xdr:colOff>0</xdr:colOff>
                    <xdr:row>9</xdr:row>
                    <xdr:rowOff>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6" name="Option Button 26">
              <controlPr defaultSize="0" autoFill="0" autoLine="0" autoPict="0">
                <anchor moveWithCells="1">
                  <from>
                    <xdr:col>2</xdr:col>
                    <xdr:colOff>57150</xdr:colOff>
                    <xdr:row>9</xdr:row>
                    <xdr:rowOff>0</xdr:rowOff>
                  </from>
                  <to>
                    <xdr:col>2</xdr:col>
                    <xdr:colOff>476250</xdr:colOff>
                    <xdr:row>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27" name="Option Button 27">
              <controlPr defaultSize="0" autoFill="0" autoLine="0" autoPict="0">
                <anchor moveWithCells="1">
                  <from>
                    <xdr:col>3</xdr:col>
                    <xdr:colOff>38100</xdr:colOff>
                    <xdr:row>9</xdr:row>
                    <xdr:rowOff>19050</xdr:rowOff>
                  </from>
                  <to>
                    <xdr:col>3</xdr:col>
                    <xdr:colOff>552450</xdr:colOff>
                    <xdr:row>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28" name="Group Box 28">
              <controlPr defaultSize="0" autoFill="0" autoPict="0">
                <anchor moveWithCells="1">
                  <from>
                    <xdr:col>2</xdr:col>
                    <xdr:colOff>0</xdr:colOff>
                    <xdr:row>17</xdr:row>
                    <xdr:rowOff>0</xdr:rowOff>
                  </from>
                  <to>
                    <xdr:col>4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29" name="Option Button 29">
              <controlPr defaultSize="0" autoFill="0" autoLine="0" autoPict="0">
                <anchor moveWithCells="1">
                  <from>
                    <xdr:col>2</xdr:col>
                    <xdr:colOff>57150</xdr:colOff>
                    <xdr:row>17</xdr:row>
                    <xdr:rowOff>0</xdr:rowOff>
                  </from>
                  <to>
                    <xdr:col>2</xdr:col>
                    <xdr:colOff>476250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0" name="Option Button 30">
              <controlPr defaultSize="0" autoFill="0" autoLine="0" autoPict="0">
                <anchor moveWithCells="1">
                  <from>
                    <xdr:col>3</xdr:col>
                    <xdr:colOff>38100</xdr:colOff>
                    <xdr:row>17</xdr:row>
                    <xdr:rowOff>19050</xdr:rowOff>
                  </from>
                  <to>
                    <xdr:col>3</xdr:col>
                    <xdr:colOff>552450</xdr:colOff>
                    <xdr:row>17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3" r:id="rId31" name="Group Box 31">
              <controlPr defaultSize="0" autoFill="0" autoPict="0">
                <anchor moveWithCells="1">
                  <from>
                    <xdr:col>2</xdr:col>
                    <xdr:colOff>0</xdr:colOff>
                    <xdr:row>18</xdr:row>
                    <xdr:rowOff>0</xdr:rowOff>
                  </from>
                  <to>
                    <xdr:col>4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32" name="Option Button 32">
              <controlPr defaultSize="0" autoFill="0" autoLine="0" autoPict="0">
                <anchor moveWithCells="1">
                  <from>
                    <xdr:col>2</xdr:col>
                    <xdr:colOff>57150</xdr:colOff>
                    <xdr:row>18</xdr:row>
                    <xdr:rowOff>0</xdr:rowOff>
                  </from>
                  <to>
                    <xdr:col>2</xdr:col>
                    <xdr:colOff>476250</xdr:colOff>
                    <xdr:row>18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33" name="Option Button 33">
              <controlPr defaultSize="0" autoFill="0" autoLine="0" autoPict="0">
                <anchor moveWithCells="1">
                  <from>
                    <xdr:col>3</xdr:col>
                    <xdr:colOff>38100</xdr:colOff>
                    <xdr:row>18</xdr:row>
                    <xdr:rowOff>19050</xdr:rowOff>
                  </from>
                  <to>
                    <xdr:col>3</xdr:col>
                    <xdr:colOff>552450</xdr:colOff>
                    <xdr:row>18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4" name="Group Box 34">
              <controlPr defaultSize="0" autoFill="0" autoPict="0">
                <anchor moveWithCells="1">
                  <from>
                    <xdr:col>2</xdr:col>
                    <xdr:colOff>0</xdr:colOff>
                    <xdr:row>19</xdr:row>
                    <xdr:rowOff>0</xdr:rowOff>
                  </from>
                  <to>
                    <xdr:col>4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5" name="Option Button 35">
              <controlPr defaultSize="0" autoFill="0" autoLine="0" autoPict="0">
                <anchor moveWithCells="1">
                  <from>
                    <xdr:col>2</xdr:col>
                    <xdr:colOff>57150</xdr:colOff>
                    <xdr:row>19</xdr:row>
                    <xdr:rowOff>66675</xdr:rowOff>
                  </from>
                  <to>
                    <xdr:col>2</xdr:col>
                    <xdr:colOff>476250</xdr:colOff>
                    <xdr:row>19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36" name="Option Button 36">
              <controlPr defaultSize="0" autoFill="0" autoLine="0" autoPict="0">
                <anchor moveWithCells="1">
                  <from>
                    <xdr:col>3</xdr:col>
                    <xdr:colOff>38100</xdr:colOff>
                    <xdr:row>19</xdr:row>
                    <xdr:rowOff>85725</xdr:rowOff>
                  </from>
                  <to>
                    <xdr:col>3</xdr:col>
                    <xdr:colOff>552450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37" name="Group Box 37">
              <controlPr defaultSize="0" autoFill="0" autoPict="0">
                <anchor moveWithCells="1">
                  <from>
                    <xdr:col>2</xdr:col>
                    <xdr:colOff>0</xdr:colOff>
                    <xdr:row>21</xdr:row>
                    <xdr:rowOff>0</xdr:rowOff>
                  </from>
                  <to>
                    <xdr:col>4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38" name="Option Button 38">
              <controlPr defaultSize="0" autoFill="0" autoLine="0" autoPict="0">
                <anchor moveWithCells="1">
                  <from>
                    <xdr:col>2</xdr:col>
                    <xdr:colOff>57150</xdr:colOff>
                    <xdr:row>21</xdr:row>
                    <xdr:rowOff>28575</xdr:rowOff>
                  </from>
                  <to>
                    <xdr:col>2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1" r:id="rId39" name="Option Button 39">
              <controlPr defaultSize="0" autoFill="0" autoLine="0" autoPict="0">
                <anchor moveWithCells="1">
                  <from>
                    <xdr:col>3</xdr:col>
                    <xdr:colOff>38100</xdr:colOff>
                    <xdr:row>21</xdr:row>
                    <xdr:rowOff>47625</xdr:rowOff>
                  </from>
                  <to>
                    <xdr:col>3</xdr:col>
                    <xdr:colOff>552450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40" name="Group Box 40">
              <controlPr defaultSize="0" autoFill="0" autoPict="0">
                <anchor moveWithCells="1">
                  <from>
                    <xdr:col>2</xdr:col>
                    <xdr:colOff>0</xdr:colOff>
                    <xdr:row>24</xdr:row>
                    <xdr:rowOff>0</xdr:rowOff>
                  </from>
                  <to>
                    <xdr:col>4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41" name="Option Button 41">
              <controlPr defaultSize="0" autoFill="0" autoLine="0" autoPict="0">
                <anchor moveWithCells="1">
                  <from>
                    <xdr:col>2</xdr:col>
                    <xdr:colOff>57150</xdr:colOff>
                    <xdr:row>24</xdr:row>
                    <xdr:rowOff>38100</xdr:rowOff>
                  </from>
                  <to>
                    <xdr:col>2</xdr:col>
                    <xdr:colOff>476250</xdr:colOff>
                    <xdr:row>24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42" name="Option Button 42">
              <controlPr defaultSize="0" autoFill="0" autoLine="0" autoPict="0">
                <anchor moveWithCells="1">
                  <from>
                    <xdr:col>3</xdr:col>
                    <xdr:colOff>38100</xdr:colOff>
                    <xdr:row>24</xdr:row>
                    <xdr:rowOff>57150</xdr:rowOff>
                  </from>
                  <to>
                    <xdr:col>3</xdr:col>
                    <xdr:colOff>552450</xdr:colOff>
                    <xdr:row>24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5" r:id="rId43" name="Group Box 43">
              <controlPr defaultSize="0" autoFill="0" autoPict="0">
                <anchor moveWithCells="1">
                  <from>
                    <xdr:col>2</xdr:col>
                    <xdr:colOff>0</xdr:colOff>
                    <xdr:row>12</xdr:row>
                    <xdr:rowOff>0</xdr:rowOff>
                  </from>
                  <to>
                    <xdr:col>4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6" r:id="rId44" name="Option Button 44">
              <controlPr defaultSize="0" autoFill="0" autoLine="0" autoPict="0">
                <anchor moveWithCells="1">
                  <from>
                    <xdr:col>2</xdr:col>
                    <xdr:colOff>57150</xdr:colOff>
                    <xdr:row>12</xdr:row>
                    <xdr:rowOff>0</xdr:rowOff>
                  </from>
                  <to>
                    <xdr:col>2</xdr:col>
                    <xdr:colOff>476250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7" r:id="rId45" name="Option Button 45">
              <controlPr defaultSize="0" autoFill="0" autoLine="0" autoPict="0">
                <anchor moveWithCells="1">
                  <from>
                    <xdr:col>3</xdr:col>
                    <xdr:colOff>38100</xdr:colOff>
                    <xdr:row>12</xdr:row>
                    <xdr:rowOff>19050</xdr:rowOff>
                  </from>
                  <to>
                    <xdr:col>3</xdr:col>
                    <xdr:colOff>552450</xdr:colOff>
                    <xdr:row>12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8" r:id="rId46" name="Group Box 46">
              <controlPr defaultSize="0" autoFill="0" autoPict="0">
                <anchor mov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4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9" r:id="rId47" name="Option Button 47">
              <controlPr defaultSize="0" autoFill="0" autoLine="0" autoPict="0">
                <anchor moveWithCells="1">
                  <from>
                    <xdr:col>2</xdr:col>
                    <xdr:colOff>57150</xdr:colOff>
                    <xdr:row>13</xdr:row>
                    <xdr:rowOff>0</xdr:rowOff>
                  </from>
                  <to>
                    <xdr:col>2</xdr:col>
                    <xdr:colOff>476250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0" r:id="rId48" name="Option Button 48">
              <controlPr defaultSize="0" autoFill="0" autoLine="0" autoPict="0">
                <anchor moveWithCells="1">
                  <from>
                    <xdr:col>3</xdr:col>
                    <xdr:colOff>38100</xdr:colOff>
                    <xdr:row>13</xdr:row>
                    <xdr:rowOff>19050</xdr:rowOff>
                  </from>
                  <to>
                    <xdr:col>3</xdr:col>
                    <xdr:colOff>552450</xdr:colOff>
                    <xdr:row>13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1" r:id="rId49" name="Group Box 49">
              <controlPr defaultSize="0" autoFill="0" autoPict="0">
                <anchor moveWithCells="1">
                  <from>
                    <xdr:col>2</xdr:col>
                    <xdr:colOff>0</xdr:colOff>
                    <xdr:row>25</xdr:row>
                    <xdr:rowOff>0</xdr:rowOff>
                  </from>
                  <to>
                    <xdr:col>4</xdr:col>
                    <xdr:colOff>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2" r:id="rId50" name="Option Button 50">
              <controlPr defaultSize="0" autoFill="0" autoLine="0" autoPict="0">
                <anchor moveWithCells="1">
                  <from>
                    <xdr:col>2</xdr:col>
                    <xdr:colOff>57150</xdr:colOff>
                    <xdr:row>25</xdr:row>
                    <xdr:rowOff>38100</xdr:rowOff>
                  </from>
                  <to>
                    <xdr:col>2</xdr:col>
                    <xdr:colOff>476250</xdr:colOff>
                    <xdr:row>25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3" r:id="rId51" name="Option Button 51">
              <controlPr defaultSize="0" autoFill="0" autoLine="0" autoPict="0">
                <anchor moveWithCells="1">
                  <from>
                    <xdr:col>3</xdr:col>
                    <xdr:colOff>38100</xdr:colOff>
                    <xdr:row>25</xdr:row>
                    <xdr:rowOff>47625</xdr:rowOff>
                  </from>
                  <to>
                    <xdr:col>3</xdr:col>
                    <xdr:colOff>552450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3" r:id="rId52" name="Group Box 61">
              <controlPr defaultSize="0" autoFill="0" autoPict="0">
                <anchor moveWithCells="1">
                  <from>
                    <xdr:col>2</xdr:col>
                    <xdr:colOff>0</xdr:colOff>
                    <xdr:row>23</xdr:row>
                    <xdr:rowOff>0</xdr:rowOff>
                  </from>
                  <to>
                    <xdr:col>4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4" r:id="rId53" name="Option Button 62">
              <controlPr defaultSize="0" autoFill="0" autoLine="0" autoPict="0">
                <anchor moveWithCells="1">
                  <from>
                    <xdr:col>2</xdr:col>
                    <xdr:colOff>57150</xdr:colOff>
                    <xdr:row>23</xdr:row>
                    <xdr:rowOff>38100</xdr:rowOff>
                  </from>
                  <to>
                    <xdr:col>2</xdr:col>
                    <xdr:colOff>476250</xdr:colOff>
                    <xdr:row>23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5" r:id="rId54" name="Option Button 63">
              <controlPr defaultSize="0" autoFill="0" autoLine="0" autoPict="0">
                <anchor moveWithCells="1">
                  <from>
                    <xdr:col>3</xdr:col>
                    <xdr:colOff>38100</xdr:colOff>
                    <xdr:row>23</xdr:row>
                    <xdr:rowOff>47625</xdr:rowOff>
                  </from>
                  <to>
                    <xdr:col>3</xdr:col>
                    <xdr:colOff>552450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6" r:id="rId55" name="Group Box 64">
              <controlPr defaultSize="0" autoFill="0" autoPict="0">
                <anchor moveWithCells="1">
                  <from>
                    <xdr:col>2</xdr:col>
                    <xdr:colOff>0</xdr:colOff>
                    <xdr:row>11</xdr:row>
                    <xdr:rowOff>0</xdr:rowOff>
                  </from>
                  <to>
                    <xdr:col>4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7" r:id="rId56" name="Option Button 65">
              <controlPr defaultSize="0" autoFill="0" autoLine="0" autoPict="0">
                <anchor moveWithCells="1">
                  <from>
                    <xdr:col>2</xdr:col>
                    <xdr:colOff>66675</xdr:colOff>
                    <xdr:row>11</xdr:row>
                    <xdr:rowOff>9525</xdr:rowOff>
                  </from>
                  <to>
                    <xdr:col>2</xdr:col>
                    <xdr:colOff>485775</xdr:colOff>
                    <xdr:row>11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8" r:id="rId57" name="Option Button 66">
              <controlPr defaultSize="0" autoFill="0" autoLine="0" autoPict="0">
                <anchor moveWithCells="1">
                  <from>
                    <xdr:col>3</xdr:col>
                    <xdr:colOff>38100</xdr:colOff>
                    <xdr:row>11</xdr:row>
                    <xdr:rowOff>47625</xdr:rowOff>
                  </from>
                  <to>
                    <xdr:col>3</xdr:col>
                    <xdr:colOff>552450</xdr:colOff>
                    <xdr:row>11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9" r:id="rId58" name="Group Box 67">
              <controlPr defaultSize="0" autoFill="0" autoPict="0">
                <anchor moveWithCells="1">
                  <from>
                    <xdr:col>2</xdr:col>
                    <xdr:colOff>0</xdr:colOff>
                    <xdr:row>20</xdr:row>
                    <xdr:rowOff>0</xdr:rowOff>
                  </from>
                  <to>
                    <xdr:col>4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0" r:id="rId59" name="Option Button 68">
              <controlPr defaultSize="0" autoFill="0" autoLine="0" autoPict="0">
                <anchor moveWithCells="1">
                  <from>
                    <xdr:col>2</xdr:col>
                    <xdr:colOff>57150</xdr:colOff>
                    <xdr:row>20</xdr:row>
                    <xdr:rowOff>28575</xdr:rowOff>
                  </from>
                  <to>
                    <xdr:col>2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1" r:id="rId60" name="Option Button 69">
              <controlPr defaultSize="0" autoFill="0" autoLine="0" autoPict="0">
                <anchor moveWithCells="1">
                  <from>
                    <xdr:col>3</xdr:col>
                    <xdr:colOff>28575</xdr:colOff>
                    <xdr:row>20</xdr:row>
                    <xdr:rowOff>47625</xdr:rowOff>
                  </from>
                  <to>
                    <xdr:col>3</xdr:col>
                    <xdr:colOff>542925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2" r:id="rId61" name="Group Box 70">
              <controlPr defaultSize="0" autoFill="0" autoPict="0">
                <anchor moveWithCells="1">
                  <from>
                    <xdr:col>2</xdr:col>
                    <xdr:colOff>0</xdr:colOff>
                    <xdr:row>22</xdr:row>
                    <xdr:rowOff>0</xdr:rowOff>
                  </from>
                  <to>
                    <xdr:col>4</xdr:col>
                    <xdr:colOff>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5" r:id="rId62" name="Option Button 73">
              <controlPr defaultSize="0" autoFill="0" autoLine="0" autoPict="0">
                <anchor moveWithCells="1">
                  <from>
                    <xdr:col>2</xdr:col>
                    <xdr:colOff>66675</xdr:colOff>
                    <xdr:row>22</xdr:row>
                    <xdr:rowOff>9525</xdr:rowOff>
                  </from>
                  <to>
                    <xdr:col>2</xdr:col>
                    <xdr:colOff>485775</xdr:colOff>
                    <xdr:row>22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6" r:id="rId63" name="Option Button 74">
              <controlPr defaultSize="0" autoFill="0" autoLine="0" autoPict="0">
                <anchor moveWithCells="1">
                  <from>
                    <xdr:col>3</xdr:col>
                    <xdr:colOff>38100</xdr:colOff>
                    <xdr:row>22</xdr:row>
                    <xdr:rowOff>38100</xdr:rowOff>
                  </from>
                  <to>
                    <xdr:col>3</xdr:col>
                    <xdr:colOff>552450</xdr:colOff>
                    <xdr:row>22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9"/>
  <dimension ref="A1:F50"/>
  <sheetViews>
    <sheetView topLeftCell="A25" workbookViewId="0"/>
  </sheetViews>
  <sheetFormatPr baseColWidth="10" defaultRowHeight="12.75" outlineLevelRow="1" x14ac:dyDescent="0.2"/>
  <cols>
    <col min="1" max="1" width="5" style="35" customWidth="1"/>
    <col min="2" max="2" width="84" style="32" customWidth="1"/>
    <col min="3" max="4" width="8.85546875" customWidth="1"/>
    <col min="5" max="5" width="4.85546875" style="24" customWidth="1"/>
    <col min="6" max="6" width="13.7109375" customWidth="1"/>
  </cols>
  <sheetData>
    <row r="1" spans="1:6" ht="18" x14ac:dyDescent="0.2">
      <c r="B1" s="30" t="s">
        <v>26</v>
      </c>
      <c r="F1" s="27" t="s">
        <v>134</v>
      </c>
    </row>
    <row r="2" spans="1:6" ht="15" x14ac:dyDescent="0.2">
      <c r="B2" s="41" t="s">
        <v>113</v>
      </c>
      <c r="F2" s="27" t="s">
        <v>135</v>
      </c>
    </row>
    <row r="4" spans="1:6" x14ac:dyDescent="0.2">
      <c r="B4" s="31" t="s">
        <v>11</v>
      </c>
    </row>
    <row r="5" spans="1:6" ht="25.5" x14ac:dyDescent="0.2">
      <c r="B5" s="38" t="s">
        <v>207</v>
      </c>
    </row>
    <row r="6" spans="1:6" ht="30" customHeight="1" x14ac:dyDescent="0.2">
      <c r="A6" s="35" t="s">
        <v>115</v>
      </c>
      <c r="B6" s="38" t="s">
        <v>193</v>
      </c>
      <c r="E6" s="24">
        <v>1</v>
      </c>
      <c r="F6" t="str">
        <f>IF(E6=1,"Stärke",IF(E6=2,"Schwäche",""))</f>
        <v>Stärke</v>
      </c>
    </row>
    <row r="7" spans="1:6" ht="30" customHeight="1" x14ac:dyDescent="0.2">
      <c r="A7" s="35" t="s">
        <v>116</v>
      </c>
      <c r="B7" s="32" t="s">
        <v>297</v>
      </c>
      <c r="E7" s="24">
        <v>1</v>
      </c>
      <c r="F7" t="str">
        <f>IF(E7=1,"Stärke",IF(E7=2,"Schwäche",""))</f>
        <v>Stärke</v>
      </c>
    </row>
    <row r="8" spans="1:6" ht="14.25" customHeight="1" x14ac:dyDescent="0.2">
      <c r="A8" s="35" t="s">
        <v>117</v>
      </c>
      <c r="B8" s="38" t="s">
        <v>194</v>
      </c>
    </row>
    <row r="9" spans="1:6" ht="21.75" customHeight="1" x14ac:dyDescent="0.2">
      <c r="A9" s="36" t="s">
        <v>157</v>
      </c>
      <c r="B9" s="40" t="s">
        <v>208</v>
      </c>
      <c r="E9" s="24">
        <v>2</v>
      </c>
      <c r="F9" t="str">
        <f>IF(E9=1,"Stärke",IF(E9=2,"Schwäche",""))</f>
        <v>Schwäche</v>
      </c>
    </row>
    <row r="10" spans="1:6" ht="28.5" customHeight="1" x14ac:dyDescent="0.2">
      <c r="A10" s="36" t="s">
        <v>158</v>
      </c>
      <c r="B10" s="40" t="s">
        <v>209</v>
      </c>
      <c r="E10" s="24">
        <v>2</v>
      </c>
      <c r="F10" t="str">
        <f>IF(E10=1,"Stärke",IF(E10=2,"Schwäche",""))</f>
        <v>Schwäche</v>
      </c>
    </row>
    <row r="11" spans="1:6" ht="29.25" customHeight="1" x14ac:dyDescent="0.2">
      <c r="A11" s="36" t="s">
        <v>159</v>
      </c>
      <c r="B11" s="40" t="s">
        <v>210</v>
      </c>
      <c r="E11" s="24">
        <v>1</v>
      </c>
      <c r="F11" t="str">
        <f>IF(E11=1,"Stärke",IF(E11=2,"Schwäche",""))</f>
        <v>Stärke</v>
      </c>
    </row>
    <row r="12" spans="1:6" ht="29.25" customHeight="1" x14ac:dyDescent="0.2">
      <c r="A12" s="36" t="s">
        <v>160</v>
      </c>
      <c r="B12" s="40" t="s">
        <v>211</v>
      </c>
      <c r="C12" s="115"/>
      <c r="D12" s="5"/>
      <c r="E12" s="24">
        <v>1</v>
      </c>
      <c r="F12" t="str">
        <f>IF(E12=1,"Stärke",IF(E12=2,"Schwäche",""))</f>
        <v>Stärke</v>
      </c>
    </row>
    <row r="13" spans="1:6" ht="21.75" customHeight="1" x14ac:dyDescent="0.2">
      <c r="A13" s="36" t="s">
        <v>217</v>
      </c>
      <c r="B13" s="40" t="s">
        <v>212</v>
      </c>
      <c r="E13" s="24">
        <v>2</v>
      </c>
      <c r="F13" t="str">
        <f t="shared" ref="F13:F19" si="0">IF(E13=1,"Stärke",IF(E13=2,"Schwäche",""))</f>
        <v>Schwäche</v>
      </c>
    </row>
    <row r="14" spans="1:6" ht="21.75" customHeight="1" x14ac:dyDescent="0.2">
      <c r="A14" s="36" t="s">
        <v>218</v>
      </c>
      <c r="B14" s="40" t="s">
        <v>213</v>
      </c>
      <c r="E14" s="24">
        <v>2</v>
      </c>
      <c r="F14" t="str">
        <f t="shared" si="0"/>
        <v>Schwäche</v>
      </c>
    </row>
    <row r="15" spans="1:6" ht="21.75" customHeight="1" x14ac:dyDescent="0.2">
      <c r="A15" s="36" t="s">
        <v>219</v>
      </c>
      <c r="B15" s="40" t="s">
        <v>214</v>
      </c>
      <c r="E15" s="24">
        <v>2</v>
      </c>
      <c r="F15" t="str">
        <f t="shared" si="0"/>
        <v>Schwäche</v>
      </c>
    </row>
    <row r="16" spans="1:6" ht="22.5" customHeight="1" x14ac:dyDescent="0.2">
      <c r="A16" s="36" t="s">
        <v>220</v>
      </c>
      <c r="B16" s="40" t="s">
        <v>215</v>
      </c>
      <c r="E16" s="24">
        <v>2</v>
      </c>
      <c r="F16" t="str">
        <f t="shared" si="0"/>
        <v>Schwäche</v>
      </c>
    </row>
    <row r="17" spans="1:6" ht="28.5" customHeight="1" x14ac:dyDescent="0.2">
      <c r="A17" s="36" t="s">
        <v>221</v>
      </c>
      <c r="B17" s="40" t="s">
        <v>216</v>
      </c>
      <c r="E17" s="24">
        <v>1</v>
      </c>
      <c r="F17" t="str">
        <f t="shared" si="0"/>
        <v>Stärke</v>
      </c>
    </row>
    <row r="18" spans="1:6" ht="21.75" customHeight="1" x14ac:dyDescent="0.2">
      <c r="A18" s="36" t="s">
        <v>222</v>
      </c>
      <c r="B18" s="40" t="s">
        <v>195</v>
      </c>
      <c r="E18" s="24">
        <v>1</v>
      </c>
      <c r="F18" t="str">
        <f t="shared" si="0"/>
        <v>Stärke</v>
      </c>
    </row>
    <row r="19" spans="1:6" ht="22.5" customHeight="1" x14ac:dyDescent="0.2">
      <c r="A19" s="35" t="s">
        <v>118</v>
      </c>
      <c r="B19" s="38" t="s">
        <v>196</v>
      </c>
      <c r="E19" s="24">
        <v>1</v>
      </c>
      <c r="F19" t="str">
        <f t="shared" si="0"/>
        <v>Stärke</v>
      </c>
    </row>
    <row r="20" spans="1:6" ht="15" customHeight="1" x14ac:dyDescent="0.2">
      <c r="A20" s="35" t="s">
        <v>119</v>
      </c>
      <c r="B20" s="38" t="s">
        <v>197</v>
      </c>
    </row>
    <row r="21" spans="1:6" ht="27.75" customHeight="1" x14ac:dyDescent="0.2">
      <c r="A21" s="36" t="s">
        <v>161</v>
      </c>
      <c r="B21" s="34" t="s">
        <v>298</v>
      </c>
      <c r="E21" s="24">
        <v>1</v>
      </c>
      <c r="F21" t="str">
        <f>IF(E21=1,"Stärke",IF(E21=2,"Schwäche",""))</f>
        <v>Stärke</v>
      </c>
    </row>
    <row r="22" spans="1:6" ht="27.75" customHeight="1" x14ac:dyDescent="0.2">
      <c r="A22" s="36" t="s">
        <v>162</v>
      </c>
      <c r="B22" s="40" t="s">
        <v>198</v>
      </c>
      <c r="E22" s="24">
        <v>1</v>
      </c>
      <c r="F22" t="str">
        <f>IF(E22=1,"Stärke",IF(E22=2,"Schwäche",""))</f>
        <v>Stärke</v>
      </c>
    </row>
    <row r="23" spans="1:6" ht="27" customHeight="1" x14ac:dyDescent="0.2">
      <c r="A23" s="35" t="s">
        <v>120</v>
      </c>
      <c r="B23" s="38" t="s">
        <v>199</v>
      </c>
      <c r="E23" s="24">
        <v>1</v>
      </c>
      <c r="F23" t="str">
        <f>IF(E23=1,"Stärke",IF(E23=2,"Schwäche",""))</f>
        <v>Stärke</v>
      </c>
    </row>
    <row r="24" spans="1:6" ht="30" customHeight="1" x14ac:dyDescent="0.2">
      <c r="A24" s="35" t="s">
        <v>121</v>
      </c>
      <c r="B24" s="38" t="s">
        <v>200</v>
      </c>
      <c r="E24" s="24">
        <v>1</v>
      </c>
      <c r="F24" t="str">
        <f>IF(E24=1,"Stärke",IF(E24=2,"Schwäche",""))</f>
        <v>Stärke</v>
      </c>
    </row>
    <row r="25" spans="1:6" ht="29.25" customHeight="1" x14ac:dyDescent="0.2">
      <c r="A25" s="35" t="s">
        <v>122</v>
      </c>
      <c r="B25" s="38" t="s">
        <v>201</v>
      </c>
      <c r="E25" s="24">
        <v>2</v>
      </c>
      <c r="F25" t="str">
        <f>IF(E25=1,"Stärke",IF(E25=2,"Schwäche",""))</f>
        <v>Schwäche</v>
      </c>
    </row>
    <row r="26" spans="1:6" ht="22.5" customHeight="1" x14ac:dyDescent="0.2">
      <c r="A26" s="35" t="s">
        <v>123</v>
      </c>
      <c r="B26" s="38" t="s">
        <v>202</v>
      </c>
    </row>
    <row r="27" spans="1:6" ht="22.5" customHeight="1" x14ac:dyDescent="0.2">
      <c r="A27" s="36" t="s">
        <v>223</v>
      </c>
      <c r="B27" s="34" t="s">
        <v>299</v>
      </c>
      <c r="E27" s="24">
        <v>1</v>
      </c>
      <c r="F27" t="str">
        <f t="shared" ref="F27:F33" si="1">IF(E27=1,"Stärke",IF(E27=2,"Schwäche",""))</f>
        <v>Stärke</v>
      </c>
    </row>
    <row r="28" spans="1:6" ht="22.5" customHeight="1" x14ac:dyDescent="0.2">
      <c r="A28" s="36" t="s">
        <v>224</v>
      </c>
      <c r="B28" s="34" t="s">
        <v>300</v>
      </c>
      <c r="E28" s="24">
        <v>1</v>
      </c>
      <c r="F28" t="str">
        <f t="shared" si="1"/>
        <v>Stärke</v>
      </c>
    </row>
    <row r="29" spans="1:6" ht="22.5" customHeight="1" x14ac:dyDescent="0.2">
      <c r="A29" s="36" t="s">
        <v>225</v>
      </c>
      <c r="B29" s="34" t="s">
        <v>301</v>
      </c>
      <c r="E29" s="24">
        <v>1</v>
      </c>
      <c r="F29" t="str">
        <f t="shared" si="1"/>
        <v>Stärke</v>
      </c>
    </row>
    <row r="30" spans="1:6" ht="22.5" customHeight="1" x14ac:dyDescent="0.2">
      <c r="A30" s="36" t="s">
        <v>226</v>
      </c>
      <c r="B30" s="34" t="s">
        <v>302</v>
      </c>
      <c r="E30" s="24">
        <v>1</v>
      </c>
      <c r="F30" t="str">
        <f t="shared" si="1"/>
        <v>Stärke</v>
      </c>
    </row>
    <row r="31" spans="1:6" ht="22.5" customHeight="1" x14ac:dyDescent="0.2">
      <c r="A31" s="36" t="s">
        <v>227</v>
      </c>
      <c r="B31" s="34" t="s">
        <v>303</v>
      </c>
      <c r="E31" s="24">
        <v>1</v>
      </c>
      <c r="F31" t="str">
        <f t="shared" si="1"/>
        <v>Stärke</v>
      </c>
    </row>
    <row r="32" spans="1:6" ht="22.5" customHeight="1" x14ac:dyDescent="0.2">
      <c r="A32" s="36" t="s">
        <v>228</v>
      </c>
      <c r="B32" s="34" t="s">
        <v>304</v>
      </c>
      <c r="E32" s="24">
        <v>1</v>
      </c>
      <c r="F32" t="str">
        <f t="shared" si="1"/>
        <v>Stärke</v>
      </c>
    </row>
    <row r="33" spans="1:6" ht="22.5" customHeight="1" x14ac:dyDescent="0.2">
      <c r="A33" s="36" t="s">
        <v>229</v>
      </c>
      <c r="B33" s="40" t="s">
        <v>203</v>
      </c>
      <c r="E33" s="24">
        <v>1</v>
      </c>
      <c r="F33" t="str">
        <f t="shared" si="1"/>
        <v>Stärke</v>
      </c>
    </row>
    <row r="34" spans="1:6" x14ac:dyDescent="0.2">
      <c r="A34" s="35" t="s">
        <v>124</v>
      </c>
      <c r="B34" s="38" t="s">
        <v>204</v>
      </c>
    </row>
    <row r="35" spans="1:6" ht="22.5" customHeight="1" x14ac:dyDescent="0.2">
      <c r="A35" s="36" t="s">
        <v>230</v>
      </c>
      <c r="B35" s="89" t="s">
        <v>305</v>
      </c>
      <c r="E35" s="24">
        <v>1</v>
      </c>
      <c r="F35" t="str">
        <f t="shared" ref="F35:F40" si="2">IF(E35=1,"Stärke",IF(E35=2,"Schwäche",""))</f>
        <v>Stärke</v>
      </c>
    </row>
    <row r="36" spans="1:6" ht="22.5" customHeight="1" x14ac:dyDescent="0.2">
      <c r="A36" s="36" t="s">
        <v>231</v>
      </c>
      <c r="B36" s="89" t="s">
        <v>306</v>
      </c>
      <c r="E36" s="24">
        <v>1</v>
      </c>
      <c r="F36" t="str">
        <f t="shared" si="2"/>
        <v>Stärke</v>
      </c>
    </row>
    <row r="37" spans="1:6" ht="22.5" customHeight="1" x14ac:dyDescent="0.2">
      <c r="A37" s="36" t="s">
        <v>232</v>
      </c>
      <c r="B37" s="89" t="s">
        <v>307</v>
      </c>
      <c r="E37" s="24">
        <v>1</v>
      </c>
      <c r="F37" t="str">
        <f t="shared" si="2"/>
        <v>Stärke</v>
      </c>
    </row>
    <row r="38" spans="1:6" ht="22.5" customHeight="1" x14ac:dyDescent="0.2">
      <c r="A38" s="36" t="s">
        <v>233</v>
      </c>
      <c r="B38" s="89" t="s">
        <v>308</v>
      </c>
      <c r="E38" s="24">
        <v>1</v>
      </c>
      <c r="F38" t="str">
        <f t="shared" si="2"/>
        <v>Stärke</v>
      </c>
    </row>
    <row r="39" spans="1:6" ht="22.5" customHeight="1" x14ac:dyDescent="0.2">
      <c r="A39" s="36" t="s">
        <v>234</v>
      </c>
      <c r="B39" s="39" t="s">
        <v>205</v>
      </c>
      <c r="E39" s="24">
        <v>1</v>
      </c>
      <c r="F39" t="str">
        <f t="shared" si="2"/>
        <v>Stärke</v>
      </c>
    </row>
    <row r="40" spans="1:6" ht="22.5" customHeight="1" x14ac:dyDescent="0.2">
      <c r="A40" s="35" t="s">
        <v>125</v>
      </c>
      <c r="B40" s="38" t="s">
        <v>206</v>
      </c>
      <c r="E40" s="24">
        <v>2</v>
      </c>
      <c r="F40" t="str">
        <f t="shared" si="2"/>
        <v>Schwäche</v>
      </c>
    </row>
    <row r="42" spans="1:6" hidden="1" outlineLevel="1" x14ac:dyDescent="0.2"/>
    <row r="43" spans="1:6" hidden="1" outlineLevel="1" x14ac:dyDescent="0.2"/>
    <row r="44" spans="1:6" hidden="1" outlineLevel="1" x14ac:dyDescent="0.2"/>
    <row r="45" spans="1:6" hidden="1" outlineLevel="1" x14ac:dyDescent="0.2"/>
    <row r="46" spans="1:6" hidden="1" outlineLevel="1" x14ac:dyDescent="0.2"/>
    <row r="47" spans="1:6" hidden="1" outlineLevel="1" x14ac:dyDescent="0.2"/>
    <row r="48" spans="1:6" hidden="1" outlineLevel="1" x14ac:dyDescent="0.2"/>
    <row r="49" spans="3:4" hidden="1" outlineLevel="1" x14ac:dyDescent="0.2"/>
    <row r="50" spans="3:4" collapsed="1" x14ac:dyDescent="0.2">
      <c r="C50" s="28">
        <f>COUNTIF($E$6:$E$40,1)/COUNTA($E$6:$E$40)</f>
        <v>0.74193548387096775</v>
      </c>
      <c r="D50" s="28">
        <f>COUNTIF($E$6:$E$40,2)/COUNTA($E$6:$E$40)</f>
        <v>0.25806451612903225</v>
      </c>
    </row>
  </sheetData>
  <phoneticPr fontId="4" type="noConversion"/>
  <conditionalFormatting sqref="C27:C33 C35:C40 C6:C25">
    <cfRule type="expression" dxfId="15" priority="1" stopIfTrue="1">
      <formula>AND(NOT(ISBLANK(E6)),E6=1)</formula>
    </cfRule>
  </conditionalFormatting>
  <conditionalFormatting sqref="D27:D33 D35:D40 D6:D25">
    <cfRule type="expression" dxfId="14" priority="2" stopIfTrue="1">
      <formula>AND(NOT(ISBLANK(E6)),E6=2)</formula>
    </cfRule>
  </conditionalFormatting>
  <conditionalFormatting sqref="F35:F40 F27:F33 F6:F25">
    <cfRule type="cellIs" dxfId="13" priority="3" stopIfTrue="1" operator="equal">
      <formula>"Stärke"</formula>
    </cfRule>
    <cfRule type="cellIs" dxfId="12" priority="4" stopIfTrue="1" operator="equal">
      <formula>"Schwäche"</formula>
    </cfRule>
  </conditionalFormatting>
  <hyperlinks>
    <hyperlink ref="F1" location="Basisdaten!A1" display="Basisdaten!A1"/>
    <hyperlink ref="F2" location="StärkenSchwächen!A1" display="StärkenSchwächen!A1"/>
  </hyperlinks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Group Box 1">
              <controlPr defaultSize="0" autoFill="0" autoPict="0">
                <anchor moveWithCells="1">
                  <from>
                    <xdr:col>2</xdr:col>
                    <xdr:colOff>0</xdr:colOff>
                    <xdr:row>6</xdr:row>
                    <xdr:rowOff>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Option Button 2">
              <controlPr defaultSize="0" autoFill="0" autoLine="0" autoPict="0">
                <anchor moveWithCells="1">
                  <from>
                    <xdr:col>2</xdr:col>
                    <xdr:colOff>57150</xdr:colOff>
                    <xdr:row>6</xdr:row>
                    <xdr:rowOff>47625</xdr:rowOff>
                  </from>
                  <to>
                    <xdr:col>2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Option Button 3">
              <controlPr defaultSize="0" autoFill="0" autoLine="0" autoPict="0">
                <anchor moveWithCells="1">
                  <from>
                    <xdr:col>3</xdr:col>
                    <xdr:colOff>38100</xdr:colOff>
                    <xdr:row>6</xdr:row>
                    <xdr:rowOff>66675</xdr:rowOff>
                  </from>
                  <to>
                    <xdr:col>3</xdr:col>
                    <xdr:colOff>552450</xdr:colOff>
                    <xdr:row>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Group Box 4">
              <controlPr defaultSize="0" autoFill="0" autoPict="0">
                <anchor moveWithCells="1">
                  <from>
                    <xdr:col>2</xdr:col>
                    <xdr:colOff>0</xdr:colOff>
                    <xdr:row>14</xdr:row>
                    <xdr:rowOff>0</xdr:rowOff>
                  </from>
                  <to>
                    <xdr:col>4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Option Button 5">
              <controlPr defaultSize="0" autoFill="0" autoLine="0" autoPict="0">
                <anchor moveWithCells="1">
                  <from>
                    <xdr:col>2</xdr:col>
                    <xdr:colOff>57150</xdr:colOff>
                    <xdr:row>14</xdr:row>
                    <xdr:rowOff>0</xdr:rowOff>
                  </from>
                  <to>
                    <xdr:col>2</xdr:col>
                    <xdr:colOff>476250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Option Button 6">
              <controlPr defaultSize="0" autoFill="0" autoLine="0" autoPict="0">
                <anchor moveWithCells="1">
                  <from>
                    <xdr:col>3</xdr:col>
                    <xdr:colOff>38100</xdr:colOff>
                    <xdr:row>14</xdr:row>
                    <xdr:rowOff>19050</xdr:rowOff>
                  </from>
                  <to>
                    <xdr:col>3</xdr:col>
                    <xdr:colOff>552450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Group Box 7">
              <controlPr defaultSize="0" autoFill="0" autoPict="0">
                <anchor moveWithCells="1">
                  <from>
                    <xdr:col>2</xdr:col>
                    <xdr:colOff>0</xdr:colOff>
                    <xdr:row>15</xdr:row>
                    <xdr:rowOff>0</xdr:rowOff>
                  </from>
                  <to>
                    <xdr:col>4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Option Button 8">
              <controlPr defaultSize="0" autoFill="0" autoLine="0" autoPict="0">
                <anchor moveWithCells="1">
                  <from>
                    <xdr:col>2</xdr:col>
                    <xdr:colOff>57150</xdr:colOff>
                    <xdr:row>15</xdr:row>
                    <xdr:rowOff>0</xdr:rowOff>
                  </from>
                  <to>
                    <xdr:col>2</xdr:col>
                    <xdr:colOff>476250</xdr:colOff>
                    <xdr:row>15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Option Button 9">
              <controlPr defaultSize="0" autoFill="0" autoLine="0" autoPict="0">
                <anchor moveWithCells="1">
                  <from>
                    <xdr:col>3</xdr:col>
                    <xdr:colOff>38100</xdr:colOff>
                    <xdr:row>15</xdr:row>
                    <xdr:rowOff>19050</xdr:rowOff>
                  </from>
                  <to>
                    <xdr:col>3</xdr:col>
                    <xdr:colOff>552450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3" name="Group Box 13">
              <controlPr defaultSize="0" autoFill="0" autoPict="0">
                <anchor moveWithCells="1">
                  <from>
                    <xdr:col>2</xdr:col>
                    <xdr:colOff>0</xdr:colOff>
                    <xdr:row>16</xdr:row>
                    <xdr:rowOff>0</xdr:rowOff>
                  </from>
                  <to>
                    <xdr:col>4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4" name="Option Button 14">
              <controlPr defaultSize="0" autoFill="0" autoLine="0" autoPict="0">
                <anchor moveWithCells="1">
                  <from>
                    <xdr:col>2</xdr:col>
                    <xdr:colOff>57150</xdr:colOff>
                    <xdr:row>16</xdr:row>
                    <xdr:rowOff>38100</xdr:rowOff>
                  </from>
                  <to>
                    <xdr:col>2</xdr:col>
                    <xdr:colOff>476250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5" name="Option Button 15">
              <controlPr defaultSize="0" autoFill="0" autoLine="0" autoPict="0">
                <anchor moveWithCells="1">
                  <from>
                    <xdr:col>3</xdr:col>
                    <xdr:colOff>38100</xdr:colOff>
                    <xdr:row>16</xdr:row>
                    <xdr:rowOff>66675</xdr:rowOff>
                  </from>
                  <to>
                    <xdr:col>3</xdr:col>
                    <xdr:colOff>552450</xdr:colOff>
                    <xdr:row>16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6" name="Group Box 16">
              <controlPr defaultSize="0" autoFill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17" name="Option Button 17">
              <controlPr defaultSize="0" autoFill="0" autoLine="0" autoPict="0">
                <anchor moveWithCells="1">
                  <from>
                    <xdr:col>2</xdr:col>
                    <xdr:colOff>57150</xdr:colOff>
                    <xdr:row>10</xdr:row>
                    <xdr:rowOff>47625</xdr:rowOff>
                  </from>
                  <to>
                    <xdr:col>2</xdr:col>
                    <xdr:colOff>476250</xdr:colOff>
                    <xdr:row>10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18" name="Option Button 18">
              <controlPr defaultSize="0" autoFill="0" autoLine="0" autoPict="0">
                <anchor moveWithCells="1">
                  <from>
                    <xdr:col>3</xdr:col>
                    <xdr:colOff>38100</xdr:colOff>
                    <xdr:row>10</xdr:row>
                    <xdr:rowOff>66675</xdr:rowOff>
                  </from>
                  <to>
                    <xdr:col>3</xdr:col>
                    <xdr:colOff>552450</xdr:colOff>
                    <xdr:row>10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19" name="Group Box 19">
              <controlPr defaultSize="0" autoFill="0" autoPict="0">
                <anchor moveWithCells="1">
                  <from>
                    <xdr:col>2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0" name="Option Button 20">
              <controlPr defaultSize="0" autoFill="0" autoLine="0" autoPict="0">
                <anchor moveWithCells="1">
                  <from>
                    <xdr:col>2</xdr:col>
                    <xdr:colOff>57150</xdr:colOff>
                    <xdr:row>8</xdr:row>
                    <xdr:rowOff>0</xdr:rowOff>
                  </from>
                  <to>
                    <xdr:col>2</xdr:col>
                    <xdr:colOff>476250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1" name="Option Button 21">
              <controlPr defaultSize="0" autoFill="0" autoLine="0" autoPict="0">
                <anchor moveWithCells="1">
                  <from>
                    <xdr:col>3</xdr:col>
                    <xdr:colOff>38100</xdr:colOff>
                    <xdr:row>8</xdr:row>
                    <xdr:rowOff>19050</xdr:rowOff>
                  </from>
                  <to>
                    <xdr:col>3</xdr:col>
                    <xdr:colOff>552450</xdr:colOff>
                    <xdr:row>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2" name="Group Box 22">
              <controlPr defaultSize="0" autoFill="0" autoPict="0">
                <anchor moveWithCells="1">
                  <from>
                    <xdr:col>2</xdr:col>
                    <xdr:colOff>0</xdr:colOff>
                    <xdr:row>9</xdr:row>
                    <xdr:rowOff>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3" name="Option Button 23">
              <controlPr defaultSize="0" autoFill="0" autoLine="0" autoPict="0">
                <anchor moveWithCells="1">
                  <from>
                    <xdr:col>2</xdr:col>
                    <xdr:colOff>57150</xdr:colOff>
                    <xdr:row>9</xdr:row>
                    <xdr:rowOff>0</xdr:rowOff>
                  </from>
                  <to>
                    <xdr:col>2</xdr:col>
                    <xdr:colOff>476250</xdr:colOff>
                    <xdr:row>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4" name="Option Button 24">
              <controlPr defaultSize="0" autoFill="0" autoLine="0" autoPict="0">
                <anchor moveWithCells="1">
                  <from>
                    <xdr:col>3</xdr:col>
                    <xdr:colOff>38100</xdr:colOff>
                    <xdr:row>9</xdr:row>
                    <xdr:rowOff>19050</xdr:rowOff>
                  </from>
                  <to>
                    <xdr:col>3</xdr:col>
                    <xdr:colOff>552450</xdr:colOff>
                    <xdr:row>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5" name="Group Box 25">
              <controlPr defaultSize="0" autoFill="0" autoPict="0">
                <anchor moveWithCells="1">
                  <from>
                    <xdr:col>2</xdr:col>
                    <xdr:colOff>0</xdr:colOff>
                    <xdr:row>17</xdr:row>
                    <xdr:rowOff>0</xdr:rowOff>
                  </from>
                  <to>
                    <xdr:col>4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6" name="Option Button 26">
              <controlPr defaultSize="0" autoFill="0" autoLine="0" autoPict="0">
                <anchor moveWithCells="1">
                  <from>
                    <xdr:col>2</xdr:col>
                    <xdr:colOff>57150</xdr:colOff>
                    <xdr:row>17</xdr:row>
                    <xdr:rowOff>0</xdr:rowOff>
                  </from>
                  <to>
                    <xdr:col>2</xdr:col>
                    <xdr:colOff>476250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27" name="Option Button 27">
              <controlPr defaultSize="0" autoFill="0" autoLine="0" autoPict="0">
                <anchor moveWithCells="1">
                  <from>
                    <xdr:col>3</xdr:col>
                    <xdr:colOff>38100</xdr:colOff>
                    <xdr:row>17</xdr:row>
                    <xdr:rowOff>19050</xdr:rowOff>
                  </from>
                  <to>
                    <xdr:col>3</xdr:col>
                    <xdr:colOff>552450</xdr:colOff>
                    <xdr:row>17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28" name="Group Box 28">
              <controlPr defaultSize="0" autoFill="0" autoPict="0">
                <anchor moveWithCells="1">
                  <from>
                    <xdr:col>2</xdr:col>
                    <xdr:colOff>0</xdr:colOff>
                    <xdr:row>18</xdr:row>
                    <xdr:rowOff>0</xdr:rowOff>
                  </from>
                  <to>
                    <xdr:col>4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29" name="Option Button 29">
              <controlPr defaultSize="0" autoFill="0" autoLine="0" autoPict="0">
                <anchor moveWithCells="1">
                  <from>
                    <xdr:col>2</xdr:col>
                    <xdr:colOff>57150</xdr:colOff>
                    <xdr:row>18</xdr:row>
                    <xdr:rowOff>0</xdr:rowOff>
                  </from>
                  <to>
                    <xdr:col>2</xdr:col>
                    <xdr:colOff>476250</xdr:colOff>
                    <xdr:row>18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0" name="Option Button 30">
              <controlPr defaultSize="0" autoFill="0" autoLine="0" autoPict="0">
                <anchor moveWithCells="1">
                  <from>
                    <xdr:col>3</xdr:col>
                    <xdr:colOff>38100</xdr:colOff>
                    <xdr:row>18</xdr:row>
                    <xdr:rowOff>19050</xdr:rowOff>
                  </from>
                  <to>
                    <xdr:col>3</xdr:col>
                    <xdr:colOff>552450</xdr:colOff>
                    <xdr:row>18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1" name="Group Box 34">
              <controlPr defaultSize="0" autoFill="0" autoPict="0">
                <anchor moveWithCells="1">
                  <from>
                    <xdr:col>2</xdr:col>
                    <xdr:colOff>0</xdr:colOff>
                    <xdr:row>21</xdr:row>
                    <xdr:rowOff>0</xdr:rowOff>
                  </from>
                  <to>
                    <xdr:col>4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2" name="Option Button 35">
              <controlPr defaultSize="0" autoFill="0" autoLine="0" autoPict="0">
                <anchor moveWithCells="1">
                  <from>
                    <xdr:col>2</xdr:col>
                    <xdr:colOff>57150</xdr:colOff>
                    <xdr:row>21</xdr:row>
                    <xdr:rowOff>28575</xdr:rowOff>
                  </from>
                  <to>
                    <xdr:col>2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3" name="Option Button 36">
              <controlPr defaultSize="0" autoFill="0" autoLine="0" autoPict="0">
                <anchor moveWithCells="1">
                  <from>
                    <xdr:col>3</xdr:col>
                    <xdr:colOff>38100</xdr:colOff>
                    <xdr:row>21</xdr:row>
                    <xdr:rowOff>47625</xdr:rowOff>
                  </from>
                  <to>
                    <xdr:col>3</xdr:col>
                    <xdr:colOff>552450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34" name="Group Box 37">
              <controlPr defaultSize="0" autoFill="0" autoPict="0">
                <anchor moveWithCells="1">
                  <from>
                    <xdr:col>2</xdr:col>
                    <xdr:colOff>0</xdr:colOff>
                    <xdr:row>24</xdr:row>
                    <xdr:rowOff>0</xdr:rowOff>
                  </from>
                  <to>
                    <xdr:col>4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35" name="Option Button 38">
              <controlPr defaultSize="0" autoFill="0" autoLine="0" autoPict="0">
                <anchor moveWithCells="1">
                  <from>
                    <xdr:col>2</xdr:col>
                    <xdr:colOff>57150</xdr:colOff>
                    <xdr:row>24</xdr:row>
                    <xdr:rowOff>38100</xdr:rowOff>
                  </from>
                  <to>
                    <xdr:col>2</xdr:col>
                    <xdr:colOff>476250</xdr:colOff>
                    <xdr:row>24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36" name="Option Button 39">
              <controlPr defaultSize="0" autoFill="0" autoLine="0" autoPict="0">
                <anchor moveWithCells="1">
                  <from>
                    <xdr:col>3</xdr:col>
                    <xdr:colOff>38100</xdr:colOff>
                    <xdr:row>24</xdr:row>
                    <xdr:rowOff>57150</xdr:rowOff>
                  </from>
                  <to>
                    <xdr:col>3</xdr:col>
                    <xdr:colOff>552450</xdr:colOff>
                    <xdr:row>24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37" name="Group Box 40">
              <controlPr defaultSize="0" autoFill="0" autoPict="0">
                <anchor moveWithCells="1">
                  <from>
                    <xdr:col>2</xdr:col>
                    <xdr:colOff>0</xdr:colOff>
                    <xdr:row>12</xdr:row>
                    <xdr:rowOff>0</xdr:rowOff>
                  </from>
                  <to>
                    <xdr:col>4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38" name="Option Button 41">
              <controlPr defaultSize="0" autoFill="0" autoLine="0" autoPict="0">
                <anchor moveWithCells="1">
                  <from>
                    <xdr:col>2</xdr:col>
                    <xdr:colOff>57150</xdr:colOff>
                    <xdr:row>12</xdr:row>
                    <xdr:rowOff>0</xdr:rowOff>
                  </from>
                  <to>
                    <xdr:col>2</xdr:col>
                    <xdr:colOff>476250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39" name="Option Button 42">
              <controlPr defaultSize="0" autoFill="0" autoLine="0" autoPict="0">
                <anchor moveWithCells="1">
                  <from>
                    <xdr:col>3</xdr:col>
                    <xdr:colOff>38100</xdr:colOff>
                    <xdr:row>12</xdr:row>
                    <xdr:rowOff>19050</xdr:rowOff>
                  </from>
                  <to>
                    <xdr:col>3</xdr:col>
                    <xdr:colOff>552450</xdr:colOff>
                    <xdr:row>12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9" r:id="rId40" name="Group Box 43">
              <controlPr defaultSize="0" autoFill="0" autoPict="0">
                <anchor mov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4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41" name="Option Button 44">
              <controlPr defaultSize="0" autoFill="0" autoLine="0" autoPict="0">
                <anchor moveWithCells="1">
                  <from>
                    <xdr:col>2</xdr:col>
                    <xdr:colOff>57150</xdr:colOff>
                    <xdr:row>13</xdr:row>
                    <xdr:rowOff>0</xdr:rowOff>
                  </from>
                  <to>
                    <xdr:col>2</xdr:col>
                    <xdr:colOff>476250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42" name="Option Button 45">
              <controlPr defaultSize="0" autoFill="0" autoLine="0" autoPict="0">
                <anchor moveWithCells="1">
                  <from>
                    <xdr:col>3</xdr:col>
                    <xdr:colOff>38100</xdr:colOff>
                    <xdr:row>13</xdr:row>
                    <xdr:rowOff>19050</xdr:rowOff>
                  </from>
                  <to>
                    <xdr:col>3</xdr:col>
                    <xdr:colOff>552450</xdr:colOff>
                    <xdr:row>13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43" name="Group Box 46">
              <controlPr defaultSize="0" autoFill="0" autoPict="0">
                <anchor moveWithCells="1">
                  <from>
                    <xdr:col>2</xdr:col>
                    <xdr:colOff>0</xdr:colOff>
                    <xdr:row>26</xdr:row>
                    <xdr:rowOff>0</xdr:rowOff>
                  </from>
                  <to>
                    <xdr:col>4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3" r:id="rId44" name="Option Button 47">
              <controlPr defaultSize="0" autoFill="0" autoLine="0" autoPict="0">
                <anchor moveWithCells="1">
                  <from>
                    <xdr:col>2</xdr:col>
                    <xdr:colOff>57150</xdr:colOff>
                    <xdr:row>26</xdr:row>
                    <xdr:rowOff>38100</xdr:rowOff>
                  </from>
                  <to>
                    <xdr:col>2</xdr:col>
                    <xdr:colOff>476250</xdr:colOff>
                    <xdr:row>26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4" r:id="rId45" name="Option Button 48">
              <controlPr defaultSize="0" autoFill="0" autoLine="0" autoPict="0">
                <anchor moveWithCells="1">
                  <from>
                    <xdr:col>3</xdr:col>
                    <xdr:colOff>38100</xdr:colOff>
                    <xdr:row>26</xdr:row>
                    <xdr:rowOff>47625</xdr:rowOff>
                  </from>
                  <to>
                    <xdr:col>3</xdr:col>
                    <xdr:colOff>552450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5" r:id="rId46" name="Group Box 49">
              <controlPr defaultSize="0" autoFill="0" autoPict="0">
                <anchor moveWithCells="1">
                  <from>
                    <xdr:col>2</xdr:col>
                    <xdr:colOff>0</xdr:colOff>
                    <xdr:row>23</xdr:row>
                    <xdr:rowOff>0</xdr:rowOff>
                  </from>
                  <to>
                    <xdr:col>4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6" r:id="rId47" name="Option Button 50">
              <controlPr defaultSize="0" autoFill="0" autoLine="0" autoPict="0">
                <anchor moveWithCells="1">
                  <from>
                    <xdr:col>2</xdr:col>
                    <xdr:colOff>57150</xdr:colOff>
                    <xdr:row>23</xdr:row>
                    <xdr:rowOff>38100</xdr:rowOff>
                  </from>
                  <to>
                    <xdr:col>2</xdr:col>
                    <xdr:colOff>476250</xdr:colOff>
                    <xdr:row>23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7" r:id="rId48" name="Option Button 51">
              <controlPr defaultSize="0" autoFill="0" autoLine="0" autoPict="0">
                <anchor moveWithCells="1">
                  <from>
                    <xdr:col>3</xdr:col>
                    <xdr:colOff>38100</xdr:colOff>
                    <xdr:row>23</xdr:row>
                    <xdr:rowOff>47625</xdr:rowOff>
                  </from>
                  <to>
                    <xdr:col>3</xdr:col>
                    <xdr:colOff>552450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8" r:id="rId49" name="Group Box 52">
              <controlPr defaultSize="0" autoFill="0" autoPict="0">
                <anchor moveWithCells="1">
                  <from>
                    <xdr:col>2</xdr:col>
                    <xdr:colOff>0</xdr:colOff>
                    <xdr:row>27</xdr:row>
                    <xdr:rowOff>0</xdr:rowOff>
                  </from>
                  <to>
                    <xdr:col>4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9" r:id="rId50" name="Option Button 53">
              <controlPr defaultSize="0" autoFill="0" autoLine="0" autoPict="0">
                <anchor moveWithCells="1">
                  <from>
                    <xdr:col>2</xdr:col>
                    <xdr:colOff>57150</xdr:colOff>
                    <xdr:row>27</xdr:row>
                    <xdr:rowOff>38100</xdr:rowOff>
                  </from>
                  <to>
                    <xdr:col>2</xdr:col>
                    <xdr:colOff>476250</xdr:colOff>
                    <xdr:row>27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0" r:id="rId51" name="Option Button 54">
              <controlPr defaultSize="0" autoFill="0" autoLine="0" autoPict="0">
                <anchor moveWithCells="1">
                  <from>
                    <xdr:col>3</xdr:col>
                    <xdr:colOff>38100</xdr:colOff>
                    <xdr:row>27</xdr:row>
                    <xdr:rowOff>47625</xdr:rowOff>
                  </from>
                  <to>
                    <xdr:col>3</xdr:col>
                    <xdr:colOff>552450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1" r:id="rId52" name="Group Box 55">
              <controlPr defaultSize="0" autoFill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4</xdr:col>
                    <xdr:colOff>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2" r:id="rId53" name="Option Button 56">
              <controlPr defaultSize="0" autoFill="0" autoLine="0" autoPict="0">
                <anchor moveWithCells="1">
                  <from>
                    <xdr:col>2</xdr:col>
                    <xdr:colOff>57150</xdr:colOff>
                    <xdr:row>28</xdr:row>
                    <xdr:rowOff>38100</xdr:rowOff>
                  </from>
                  <to>
                    <xdr:col>2</xdr:col>
                    <xdr:colOff>476250</xdr:colOff>
                    <xdr:row>28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3" r:id="rId54" name="Option Button 57">
              <controlPr defaultSize="0" autoFill="0" autoLine="0" autoPict="0">
                <anchor moveWithCells="1">
                  <from>
                    <xdr:col>3</xdr:col>
                    <xdr:colOff>38100</xdr:colOff>
                    <xdr:row>28</xdr:row>
                    <xdr:rowOff>47625</xdr:rowOff>
                  </from>
                  <to>
                    <xdr:col>3</xdr:col>
                    <xdr:colOff>552450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4" r:id="rId55" name="Group Box 58">
              <controlPr defaultSize="0" autoFill="0" autoPict="0">
                <anchor moveWithCells="1">
                  <from>
                    <xdr:col>2</xdr:col>
                    <xdr:colOff>0</xdr:colOff>
                    <xdr:row>29</xdr:row>
                    <xdr:rowOff>0</xdr:rowOff>
                  </from>
                  <to>
                    <xdr:col>4</xdr:col>
                    <xdr:colOff>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5" r:id="rId56" name="Option Button 59">
              <controlPr defaultSize="0" autoFill="0" autoLine="0" autoPict="0">
                <anchor moveWithCells="1">
                  <from>
                    <xdr:col>2</xdr:col>
                    <xdr:colOff>57150</xdr:colOff>
                    <xdr:row>29</xdr:row>
                    <xdr:rowOff>38100</xdr:rowOff>
                  </from>
                  <to>
                    <xdr:col>2</xdr:col>
                    <xdr:colOff>476250</xdr:colOff>
                    <xdr:row>29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6" r:id="rId57" name="Option Button 60">
              <controlPr defaultSize="0" autoFill="0" autoLine="0" autoPict="0">
                <anchor moveWithCells="1">
                  <from>
                    <xdr:col>3</xdr:col>
                    <xdr:colOff>38100</xdr:colOff>
                    <xdr:row>29</xdr:row>
                    <xdr:rowOff>47625</xdr:rowOff>
                  </from>
                  <to>
                    <xdr:col>3</xdr:col>
                    <xdr:colOff>552450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7" r:id="rId58" name="Group Box 61">
              <controlPr defaultSize="0" autoFill="0" autoPict="0">
                <anchor moveWithCells="1">
                  <from>
                    <xdr:col>2</xdr:col>
                    <xdr:colOff>0</xdr:colOff>
                    <xdr:row>30</xdr:row>
                    <xdr:rowOff>0</xdr:rowOff>
                  </from>
                  <to>
                    <xdr:col>4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8" r:id="rId59" name="Option Button 62">
              <controlPr defaultSize="0" autoFill="0" autoLine="0" autoPict="0">
                <anchor moveWithCells="1">
                  <from>
                    <xdr:col>2</xdr:col>
                    <xdr:colOff>57150</xdr:colOff>
                    <xdr:row>30</xdr:row>
                    <xdr:rowOff>38100</xdr:rowOff>
                  </from>
                  <to>
                    <xdr:col>2</xdr:col>
                    <xdr:colOff>476250</xdr:colOff>
                    <xdr:row>30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9" r:id="rId60" name="Option Button 63">
              <controlPr defaultSize="0" autoFill="0" autoLine="0" autoPict="0">
                <anchor moveWithCells="1">
                  <from>
                    <xdr:col>3</xdr:col>
                    <xdr:colOff>38100</xdr:colOff>
                    <xdr:row>30</xdr:row>
                    <xdr:rowOff>47625</xdr:rowOff>
                  </from>
                  <to>
                    <xdr:col>3</xdr:col>
                    <xdr:colOff>552450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0" r:id="rId61" name="Group Box 64">
              <controlPr defaultSize="0" autoFill="0" autoPict="0">
                <anchor moveWithCells="1">
                  <from>
                    <xdr:col>2</xdr:col>
                    <xdr:colOff>0</xdr:colOff>
                    <xdr:row>31</xdr:row>
                    <xdr:rowOff>0</xdr:rowOff>
                  </from>
                  <to>
                    <xdr:col>4</xdr:col>
                    <xdr:colOff>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1" r:id="rId62" name="Option Button 65">
              <controlPr defaultSize="0" autoFill="0" autoLine="0" autoPict="0">
                <anchor moveWithCells="1">
                  <from>
                    <xdr:col>2</xdr:col>
                    <xdr:colOff>57150</xdr:colOff>
                    <xdr:row>31</xdr:row>
                    <xdr:rowOff>38100</xdr:rowOff>
                  </from>
                  <to>
                    <xdr:col>2</xdr:col>
                    <xdr:colOff>476250</xdr:colOff>
                    <xdr:row>31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2" r:id="rId63" name="Option Button 66">
              <controlPr defaultSize="0" autoFill="0" autoLine="0" autoPict="0">
                <anchor moveWithCells="1">
                  <from>
                    <xdr:col>3</xdr:col>
                    <xdr:colOff>38100</xdr:colOff>
                    <xdr:row>31</xdr:row>
                    <xdr:rowOff>47625</xdr:rowOff>
                  </from>
                  <to>
                    <xdr:col>3</xdr:col>
                    <xdr:colOff>552450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3" r:id="rId64" name="Group Box 67">
              <controlPr defaultSize="0" autoFill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4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4" r:id="rId65" name="Option Button 68">
              <controlPr defaultSize="0" autoFill="0" autoLine="0" autoPict="0">
                <anchor moveWithCells="1">
                  <from>
                    <xdr:col>2</xdr:col>
                    <xdr:colOff>57150</xdr:colOff>
                    <xdr:row>32</xdr:row>
                    <xdr:rowOff>38100</xdr:rowOff>
                  </from>
                  <to>
                    <xdr:col>2</xdr:col>
                    <xdr:colOff>476250</xdr:colOff>
                    <xdr:row>32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5" r:id="rId66" name="Option Button 69">
              <controlPr defaultSize="0" autoFill="0" autoLine="0" autoPict="0">
                <anchor moveWithCells="1">
                  <from>
                    <xdr:col>3</xdr:col>
                    <xdr:colOff>38100</xdr:colOff>
                    <xdr:row>32</xdr:row>
                    <xdr:rowOff>47625</xdr:rowOff>
                  </from>
                  <to>
                    <xdr:col>3</xdr:col>
                    <xdr:colOff>552450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6" r:id="rId67" name="Group Box 70">
              <controlPr defaultSize="0" autoFill="0" autoPict="0">
                <anchor moveWithCells="1">
                  <from>
                    <xdr:col>2</xdr:col>
                    <xdr:colOff>0</xdr:colOff>
                    <xdr:row>34</xdr:row>
                    <xdr:rowOff>0</xdr:rowOff>
                  </from>
                  <to>
                    <xdr:col>4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7" r:id="rId68" name="Option Button 71">
              <controlPr defaultSize="0" autoFill="0" autoLine="0" autoPict="0">
                <anchor moveWithCells="1">
                  <from>
                    <xdr:col>2</xdr:col>
                    <xdr:colOff>57150</xdr:colOff>
                    <xdr:row>34</xdr:row>
                    <xdr:rowOff>38100</xdr:rowOff>
                  </from>
                  <to>
                    <xdr:col>2</xdr:col>
                    <xdr:colOff>476250</xdr:colOff>
                    <xdr:row>34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8" r:id="rId69" name="Option Button 72">
              <controlPr defaultSize="0" autoFill="0" autoLine="0" autoPict="0">
                <anchor moveWithCells="1">
                  <from>
                    <xdr:col>3</xdr:col>
                    <xdr:colOff>38100</xdr:colOff>
                    <xdr:row>34</xdr:row>
                    <xdr:rowOff>47625</xdr:rowOff>
                  </from>
                  <to>
                    <xdr:col>3</xdr:col>
                    <xdr:colOff>552450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9" r:id="rId70" name="Group Box 73">
              <controlPr defaultSize="0" autoFill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4</xdr:col>
                    <xdr:colOff>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0" r:id="rId71" name="Option Button 74">
              <controlPr defaultSize="0" autoFill="0" autoLine="0" autoPict="0">
                <anchor moveWithCells="1">
                  <from>
                    <xdr:col>2</xdr:col>
                    <xdr:colOff>57150</xdr:colOff>
                    <xdr:row>35</xdr:row>
                    <xdr:rowOff>38100</xdr:rowOff>
                  </from>
                  <to>
                    <xdr:col>2</xdr:col>
                    <xdr:colOff>476250</xdr:colOff>
                    <xdr:row>35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1" r:id="rId72" name="Option Button 75">
              <controlPr defaultSize="0" autoFill="0" autoLine="0" autoPict="0">
                <anchor moveWithCells="1">
                  <from>
                    <xdr:col>3</xdr:col>
                    <xdr:colOff>38100</xdr:colOff>
                    <xdr:row>35</xdr:row>
                    <xdr:rowOff>47625</xdr:rowOff>
                  </from>
                  <to>
                    <xdr:col>3</xdr:col>
                    <xdr:colOff>552450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2" r:id="rId73" name="Group Box 76">
              <controlPr defaultSize="0" autoFill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4</xdr:col>
                    <xdr:colOff>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3" r:id="rId74" name="Option Button 77">
              <controlPr defaultSize="0" autoFill="0" autoLine="0" autoPict="0">
                <anchor moveWithCells="1">
                  <from>
                    <xdr:col>2</xdr:col>
                    <xdr:colOff>57150</xdr:colOff>
                    <xdr:row>36</xdr:row>
                    <xdr:rowOff>38100</xdr:rowOff>
                  </from>
                  <to>
                    <xdr:col>2</xdr:col>
                    <xdr:colOff>476250</xdr:colOff>
                    <xdr:row>36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4" r:id="rId75" name="Option Button 78">
              <controlPr defaultSize="0" autoFill="0" autoLine="0" autoPict="0">
                <anchor moveWithCells="1">
                  <from>
                    <xdr:col>3</xdr:col>
                    <xdr:colOff>38100</xdr:colOff>
                    <xdr:row>36</xdr:row>
                    <xdr:rowOff>47625</xdr:rowOff>
                  </from>
                  <to>
                    <xdr:col>3</xdr:col>
                    <xdr:colOff>552450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5" r:id="rId76" name="Group Box 79">
              <controlPr defaultSize="0" autoFill="0" autoPict="0">
                <anchor moveWithCells="1">
                  <from>
                    <xdr:col>2</xdr:col>
                    <xdr:colOff>0</xdr:colOff>
                    <xdr:row>37</xdr:row>
                    <xdr:rowOff>0</xdr:rowOff>
                  </from>
                  <to>
                    <xdr:col>4</xdr:col>
                    <xdr:colOff>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6" r:id="rId77" name="Option Button 80">
              <controlPr defaultSize="0" autoFill="0" autoLine="0" autoPict="0">
                <anchor moveWithCells="1">
                  <from>
                    <xdr:col>2</xdr:col>
                    <xdr:colOff>57150</xdr:colOff>
                    <xdr:row>37</xdr:row>
                    <xdr:rowOff>38100</xdr:rowOff>
                  </from>
                  <to>
                    <xdr:col>2</xdr:col>
                    <xdr:colOff>476250</xdr:colOff>
                    <xdr:row>37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7" r:id="rId78" name="Option Button 81">
              <controlPr defaultSize="0" autoFill="0" autoLine="0" autoPict="0">
                <anchor moveWithCells="1">
                  <from>
                    <xdr:col>3</xdr:col>
                    <xdr:colOff>38100</xdr:colOff>
                    <xdr:row>37</xdr:row>
                    <xdr:rowOff>47625</xdr:rowOff>
                  </from>
                  <to>
                    <xdr:col>3</xdr:col>
                    <xdr:colOff>552450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8" r:id="rId79" name="Group Box 82">
              <controlPr defaultSize="0" autoFill="0" autoPict="0">
                <anchor moveWithCells="1">
                  <from>
                    <xdr:col>2</xdr:col>
                    <xdr:colOff>0</xdr:colOff>
                    <xdr:row>38</xdr:row>
                    <xdr:rowOff>0</xdr:rowOff>
                  </from>
                  <to>
                    <xdr:col>4</xdr:col>
                    <xdr:colOff>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9" r:id="rId80" name="Option Button 83">
              <controlPr defaultSize="0" autoFill="0" autoLine="0" autoPict="0">
                <anchor moveWithCells="1">
                  <from>
                    <xdr:col>2</xdr:col>
                    <xdr:colOff>57150</xdr:colOff>
                    <xdr:row>38</xdr:row>
                    <xdr:rowOff>38100</xdr:rowOff>
                  </from>
                  <to>
                    <xdr:col>2</xdr:col>
                    <xdr:colOff>476250</xdr:colOff>
                    <xdr:row>38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0" r:id="rId81" name="Option Button 84">
              <controlPr defaultSize="0" autoFill="0" autoLine="0" autoPict="0">
                <anchor moveWithCells="1">
                  <from>
                    <xdr:col>3</xdr:col>
                    <xdr:colOff>38100</xdr:colOff>
                    <xdr:row>38</xdr:row>
                    <xdr:rowOff>47625</xdr:rowOff>
                  </from>
                  <to>
                    <xdr:col>3</xdr:col>
                    <xdr:colOff>552450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1" r:id="rId82" name="Group Box 85">
              <controlPr defaultSize="0" autoFill="0" autoPict="0">
                <anchor moveWithCells="1">
                  <from>
                    <xdr:col>2</xdr:col>
                    <xdr:colOff>0</xdr:colOff>
                    <xdr:row>39</xdr:row>
                    <xdr:rowOff>0</xdr:rowOff>
                  </from>
                  <to>
                    <xdr:col>4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2" r:id="rId83" name="Option Button 86">
              <controlPr defaultSize="0" autoFill="0" autoLine="0" autoPict="0">
                <anchor moveWithCells="1">
                  <from>
                    <xdr:col>2</xdr:col>
                    <xdr:colOff>57150</xdr:colOff>
                    <xdr:row>39</xdr:row>
                    <xdr:rowOff>38100</xdr:rowOff>
                  </from>
                  <to>
                    <xdr:col>2</xdr:col>
                    <xdr:colOff>476250</xdr:colOff>
                    <xdr:row>39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3" r:id="rId84" name="Option Button 87">
              <controlPr defaultSize="0" autoFill="0" autoLine="0" autoPict="0">
                <anchor moveWithCells="1">
                  <from>
                    <xdr:col>3</xdr:col>
                    <xdr:colOff>38100</xdr:colOff>
                    <xdr:row>39</xdr:row>
                    <xdr:rowOff>47625</xdr:rowOff>
                  </from>
                  <to>
                    <xdr:col>3</xdr:col>
                    <xdr:colOff>552450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4" r:id="rId85" name="Group Box 88">
              <controlPr defaultSize="0" autoFill="0" autoPict="0">
                <anchor moveWithCells="1">
                  <from>
                    <xdr:col>2</xdr:col>
                    <xdr:colOff>0</xdr:colOff>
                    <xdr:row>5</xdr:row>
                    <xdr:rowOff>0</xdr:rowOff>
                  </from>
                  <to>
                    <xdr:col>4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5" r:id="rId86" name="Option Button 89">
              <controlPr defaultSize="0" autoFill="0" autoLine="0" autoPict="0">
                <anchor moveWithCells="1">
                  <from>
                    <xdr:col>2</xdr:col>
                    <xdr:colOff>57150</xdr:colOff>
                    <xdr:row>5</xdr:row>
                    <xdr:rowOff>47625</xdr:rowOff>
                  </from>
                  <to>
                    <xdr:col>2</xdr:col>
                    <xdr:colOff>476250</xdr:colOff>
                    <xdr:row>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6" r:id="rId87" name="Option Button 90">
              <controlPr defaultSize="0" autoFill="0" autoLine="0" autoPict="0">
                <anchor moveWithCells="1">
                  <from>
                    <xdr:col>3</xdr:col>
                    <xdr:colOff>38100</xdr:colOff>
                    <xdr:row>5</xdr:row>
                    <xdr:rowOff>66675</xdr:rowOff>
                  </from>
                  <to>
                    <xdr:col>3</xdr:col>
                    <xdr:colOff>552450</xdr:colOff>
                    <xdr:row>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7" r:id="rId88" name="Group Box 91">
              <controlPr defaultSize="0" autoFill="0" autoPict="0">
                <anchor moveWithCells="1">
                  <from>
                    <xdr:col>2</xdr:col>
                    <xdr:colOff>0</xdr:colOff>
                    <xdr:row>20</xdr:row>
                    <xdr:rowOff>0</xdr:rowOff>
                  </from>
                  <to>
                    <xdr:col>4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8" r:id="rId89" name="Option Button 92">
              <controlPr defaultSize="0" autoFill="0" autoLine="0" autoPict="0">
                <anchor moveWithCells="1">
                  <from>
                    <xdr:col>2</xdr:col>
                    <xdr:colOff>57150</xdr:colOff>
                    <xdr:row>20</xdr:row>
                    <xdr:rowOff>28575</xdr:rowOff>
                  </from>
                  <to>
                    <xdr:col>2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9" r:id="rId90" name="Option Button 93">
              <controlPr defaultSize="0" autoFill="0" autoLine="0" autoPict="0">
                <anchor moveWithCells="1">
                  <from>
                    <xdr:col>3</xdr:col>
                    <xdr:colOff>38100</xdr:colOff>
                    <xdr:row>20</xdr:row>
                    <xdr:rowOff>47625</xdr:rowOff>
                  </from>
                  <to>
                    <xdr:col>3</xdr:col>
                    <xdr:colOff>552450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0" r:id="rId91" name="Group Box 94">
              <controlPr defaultSize="0" autoFill="0" autoPict="0">
                <anchor moveWithCells="1">
                  <from>
                    <xdr:col>2</xdr:col>
                    <xdr:colOff>0</xdr:colOff>
                    <xdr:row>22</xdr:row>
                    <xdr:rowOff>0</xdr:rowOff>
                  </from>
                  <to>
                    <xdr:col>4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1" r:id="rId92" name="Option Button 95">
              <controlPr defaultSize="0" autoFill="0" autoLine="0" autoPict="0">
                <anchor moveWithCells="1">
                  <from>
                    <xdr:col>2</xdr:col>
                    <xdr:colOff>57150</xdr:colOff>
                    <xdr:row>22</xdr:row>
                    <xdr:rowOff>28575</xdr:rowOff>
                  </from>
                  <to>
                    <xdr:col>2</xdr:col>
                    <xdr:colOff>476250</xdr:colOff>
                    <xdr:row>22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2" r:id="rId93" name="Option Button 96">
              <controlPr defaultSize="0" autoFill="0" autoLine="0" autoPict="0">
                <anchor moveWithCells="1">
                  <from>
                    <xdr:col>3</xdr:col>
                    <xdr:colOff>38100</xdr:colOff>
                    <xdr:row>22</xdr:row>
                    <xdr:rowOff>47625</xdr:rowOff>
                  </from>
                  <to>
                    <xdr:col>3</xdr:col>
                    <xdr:colOff>552450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3" r:id="rId94" name="Group Box 97">
              <controlPr defaultSize="0" autoFill="0" autoPict="0">
                <anchor moveWithCells="1">
                  <from>
                    <xdr:col>2</xdr:col>
                    <xdr:colOff>0</xdr:colOff>
                    <xdr:row>11</xdr:row>
                    <xdr:rowOff>0</xdr:rowOff>
                  </from>
                  <to>
                    <xdr:col>4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4" r:id="rId95" name="Option Button 98">
              <controlPr defaultSize="0" autoFill="0" autoLine="0" autoPict="0">
                <anchor moveWithCells="1">
                  <from>
                    <xdr:col>2</xdr:col>
                    <xdr:colOff>66675</xdr:colOff>
                    <xdr:row>11</xdr:row>
                    <xdr:rowOff>19050</xdr:rowOff>
                  </from>
                  <to>
                    <xdr:col>2</xdr:col>
                    <xdr:colOff>485775</xdr:colOff>
                    <xdr:row>11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5" r:id="rId96" name="Option Button 99">
              <controlPr defaultSize="0" autoFill="0" autoLine="0" autoPict="0">
                <anchor moveWithCells="1">
                  <from>
                    <xdr:col>3</xdr:col>
                    <xdr:colOff>38100</xdr:colOff>
                    <xdr:row>11</xdr:row>
                    <xdr:rowOff>38100</xdr:rowOff>
                  </from>
                  <to>
                    <xdr:col>3</xdr:col>
                    <xdr:colOff>552450</xdr:colOff>
                    <xdr:row>11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2"/>
  <dimension ref="A1:F50"/>
  <sheetViews>
    <sheetView workbookViewId="0"/>
  </sheetViews>
  <sheetFormatPr baseColWidth="10" defaultRowHeight="12.75" outlineLevelRow="1" x14ac:dyDescent="0.2"/>
  <cols>
    <col min="1" max="1" width="5" style="35" customWidth="1"/>
    <col min="2" max="2" width="84" style="32" customWidth="1"/>
    <col min="3" max="4" width="8.85546875" customWidth="1"/>
    <col min="5" max="5" width="4.85546875" style="24" customWidth="1"/>
    <col min="6" max="6" width="13.7109375" customWidth="1"/>
  </cols>
  <sheetData>
    <row r="1" spans="1:6" ht="18" x14ac:dyDescent="0.2">
      <c r="B1" s="30" t="s">
        <v>26</v>
      </c>
      <c r="F1" s="27" t="s">
        <v>134</v>
      </c>
    </row>
    <row r="2" spans="1:6" ht="15" x14ac:dyDescent="0.2">
      <c r="B2" s="41" t="s">
        <v>113</v>
      </c>
      <c r="F2" s="27" t="s">
        <v>135</v>
      </c>
    </row>
    <row r="4" spans="1:6" x14ac:dyDescent="0.2">
      <c r="B4" s="31" t="s">
        <v>0</v>
      </c>
    </row>
    <row r="5" spans="1:6" ht="28.5" customHeight="1" x14ac:dyDescent="0.2">
      <c r="B5" s="38" t="s">
        <v>250</v>
      </c>
    </row>
    <row r="6" spans="1:6" ht="30" customHeight="1" x14ac:dyDescent="0.2">
      <c r="A6" s="35" t="s">
        <v>115</v>
      </c>
      <c r="B6" s="21" t="s">
        <v>251</v>
      </c>
      <c r="E6" s="24">
        <v>2</v>
      </c>
      <c r="F6" t="str">
        <f t="shared" ref="F6:F12" si="0">IF(E6=1,"Stärke",IF(E6=2,"Schwäche",""))</f>
        <v>Schwäche</v>
      </c>
    </row>
    <row r="7" spans="1:6" ht="30" customHeight="1" x14ac:dyDescent="0.2">
      <c r="A7" s="35" t="s">
        <v>116</v>
      </c>
      <c r="B7" s="32" t="s">
        <v>309</v>
      </c>
      <c r="E7" s="24">
        <v>1</v>
      </c>
      <c r="F7" t="str">
        <f t="shared" si="0"/>
        <v>Stärke</v>
      </c>
    </row>
    <row r="8" spans="1:6" ht="27" customHeight="1" x14ac:dyDescent="0.2">
      <c r="A8" s="35" t="s">
        <v>117</v>
      </c>
      <c r="B8" s="21" t="s">
        <v>252</v>
      </c>
      <c r="E8" s="24">
        <v>1</v>
      </c>
      <c r="F8" t="str">
        <f t="shared" si="0"/>
        <v>Stärke</v>
      </c>
    </row>
    <row r="9" spans="1:6" ht="25.5" customHeight="1" x14ac:dyDescent="0.2">
      <c r="A9" s="35" t="s">
        <v>118</v>
      </c>
      <c r="B9" s="21" t="s">
        <v>253</v>
      </c>
      <c r="E9" s="24">
        <v>1</v>
      </c>
      <c r="F9" t="str">
        <f t="shared" si="0"/>
        <v>Stärke</v>
      </c>
    </row>
    <row r="10" spans="1:6" ht="28.5" customHeight="1" x14ac:dyDescent="0.2">
      <c r="A10" s="35" t="s">
        <v>119</v>
      </c>
      <c r="B10" s="21" t="s">
        <v>254</v>
      </c>
      <c r="E10" s="24">
        <v>1</v>
      </c>
      <c r="F10" t="str">
        <f t="shared" si="0"/>
        <v>Stärke</v>
      </c>
    </row>
    <row r="11" spans="1:6" ht="29.25" customHeight="1" x14ac:dyDescent="0.2">
      <c r="A11" s="35" t="s">
        <v>120</v>
      </c>
      <c r="B11" s="21" t="s">
        <v>255</v>
      </c>
      <c r="E11" s="24">
        <v>1</v>
      </c>
      <c r="F11" t="str">
        <f t="shared" si="0"/>
        <v>Stärke</v>
      </c>
    </row>
    <row r="12" spans="1:6" ht="26.25" customHeight="1" x14ac:dyDescent="0.2">
      <c r="A12" s="35" t="s">
        <v>121</v>
      </c>
      <c r="B12" s="21" t="s">
        <v>256</v>
      </c>
      <c r="E12" s="24">
        <v>1</v>
      </c>
      <c r="F12" t="str">
        <f t="shared" si="0"/>
        <v>Stärke</v>
      </c>
    </row>
    <row r="13" spans="1:6" ht="21.75" customHeight="1" x14ac:dyDescent="0.2">
      <c r="A13" s="35" t="s">
        <v>122</v>
      </c>
      <c r="B13" s="21" t="s">
        <v>257</v>
      </c>
      <c r="E13" s="24">
        <v>2</v>
      </c>
      <c r="F13" t="str">
        <f t="shared" ref="F13:F18" si="1">IF(E13=1,"Stärke",IF(E13=2,"Schwäche",""))</f>
        <v>Schwäche</v>
      </c>
    </row>
    <row r="14" spans="1:6" ht="21.75" customHeight="1" x14ac:dyDescent="0.2">
      <c r="A14" s="35" t="s">
        <v>123</v>
      </c>
      <c r="B14" s="21" t="s">
        <v>258</v>
      </c>
      <c r="E14" s="24">
        <v>1</v>
      </c>
      <c r="F14" t="str">
        <f t="shared" si="1"/>
        <v>Stärke</v>
      </c>
    </row>
    <row r="15" spans="1:6" ht="21.75" customHeight="1" x14ac:dyDescent="0.2">
      <c r="A15" s="35" t="s">
        <v>124</v>
      </c>
      <c r="B15" s="21" t="s">
        <v>259</v>
      </c>
      <c r="E15" s="24">
        <v>1</v>
      </c>
      <c r="F15" t="str">
        <f t="shared" si="1"/>
        <v>Stärke</v>
      </c>
    </row>
    <row r="16" spans="1:6" ht="22.5" customHeight="1" x14ac:dyDescent="0.2">
      <c r="A16" s="35" t="s">
        <v>125</v>
      </c>
      <c r="B16" s="21" t="s">
        <v>260</v>
      </c>
      <c r="E16" s="24">
        <v>1</v>
      </c>
      <c r="F16" t="str">
        <f t="shared" si="1"/>
        <v>Stärke</v>
      </c>
    </row>
    <row r="17" spans="1:6" ht="28.5" customHeight="1" x14ac:dyDescent="0.2">
      <c r="A17" s="35" t="s">
        <v>126</v>
      </c>
      <c r="B17" s="21" t="s">
        <v>261</v>
      </c>
      <c r="E17" s="24">
        <v>2</v>
      </c>
      <c r="F17" t="str">
        <f t="shared" si="1"/>
        <v>Schwäche</v>
      </c>
    </row>
    <row r="18" spans="1:6" ht="21.75" customHeight="1" x14ac:dyDescent="0.2">
      <c r="A18" s="36"/>
      <c r="B18" s="40"/>
      <c r="E18" s="24">
        <v>1</v>
      </c>
      <c r="F18" t="str">
        <f t="shared" si="1"/>
        <v>Stärke</v>
      </c>
    </row>
    <row r="20" spans="1:6" hidden="1" outlineLevel="1" x14ac:dyDescent="0.2"/>
    <row r="21" spans="1:6" hidden="1" outlineLevel="1" x14ac:dyDescent="0.2"/>
    <row r="22" spans="1:6" hidden="1" outlineLevel="1" x14ac:dyDescent="0.2"/>
    <row r="23" spans="1:6" hidden="1" outlineLevel="1" x14ac:dyDescent="0.2"/>
    <row r="24" spans="1:6" hidden="1" outlineLevel="1" x14ac:dyDescent="0.2"/>
    <row r="25" spans="1:6" hidden="1" outlineLevel="1" x14ac:dyDescent="0.2"/>
    <row r="26" spans="1:6" hidden="1" outlineLevel="1" x14ac:dyDescent="0.2"/>
    <row r="27" spans="1:6" hidden="1" outlineLevel="1" x14ac:dyDescent="0.2"/>
    <row r="28" spans="1:6" hidden="1" outlineLevel="1" x14ac:dyDescent="0.2"/>
    <row r="29" spans="1:6" hidden="1" outlineLevel="1" x14ac:dyDescent="0.2"/>
    <row r="30" spans="1:6" hidden="1" outlineLevel="1" x14ac:dyDescent="0.2"/>
    <row r="31" spans="1:6" hidden="1" outlineLevel="1" x14ac:dyDescent="0.2"/>
    <row r="32" spans="1:6" hidden="1" outlineLevel="1" x14ac:dyDescent="0.2"/>
    <row r="33" hidden="1" outlineLevel="1" x14ac:dyDescent="0.2"/>
    <row r="34" hidden="1" outlineLevel="1" x14ac:dyDescent="0.2"/>
    <row r="35" hidden="1" outlineLevel="1" x14ac:dyDescent="0.2"/>
    <row r="36" hidden="1" outlineLevel="1" x14ac:dyDescent="0.2"/>
    <row r="37" hidden="1" outlineLevel="1" x14ac:dyDescent="0.2"/>
    <row r="38" hidden="1" outlineLevel="1" x14ac:dyDescent="0.2"/>
    <row r="39" hidden="1" outlineLevel="1" x14ac:dyDescent="0.2"/>
    <row r="40" hidden="1" outlineLevel="1" x14ac:dyDescent="0.2"/>
    <row r="41" hidden="1" outlineLevel="1" x14ac:dyDescent="0.2"/>
    <row r="42" hidden="1" outlineLevel="1" x14ac:dyDescent="0.2"/>
    <row r="43" hidden="1" outlineLevel="1" x14ac:dyDescent="0.2"/>
    <row r="44" hidden="1" outlineLevel="1" x14ac:dyDescent="0.2"/>
    <row r="45" hidden="1" outlineLevel="1" x14ac:dyDescent="0.2"/>
    <row r="46" hidden="1" outlineLevel="1" x14ac:dyDescent="0.2"/>
    <row r="47" hidden="1" outlineLevel="1" x14ac:dyDescent="0.2"/>
    <row r="48" hidden="1" outlineLevel="1" x14ac:dyDescent="0.2"/>
    <row r="49" spans="3:4" hidden="1" outlineLevel="1" x14ac:dyDescent="0.2"/>
    <row r="50" spans="3:4" collapsed="1" x14ac:dyDescent="0.2">
      <c r="C50" s="28">
        <f>COUNTIF($E$6:$E$18,1)/COUNTA($E$6:$E$18)</f>
        <v>0.76923076923076927</v>
      </c>
      <c r="D50" s="28">
        <f>COUNTIF($E$6:$E$18,2)/COUNTA($E$6:$E$18)</f>
        <v>0.23076923076923078</v>
      </c>
    </row>
  </sheetData>
  <phoneticPr fontId="4" type="noConversion"/>
  <conditionalFormatting sqref="C6:C18">
    <cfRule type="expression" dxfId="11" priority="1" stopIfTrue="1">
      <formula>AND(NOT(ISBLANK(E6)),E6=1)</formula>
    </cfRule>
  </conditionalFormatting>
  <conditionalFormatting sqref="D6:D18">
    <cfRule type="expression" dxfId="10" priority="2" stopIfTrue="1">
      <formula>AND(NOT(ISBLANK(E6)),E6=2)</formula>
    </cfRule>
  </conditionalFormatting>
  <conditionalFormatting sqref="F6:F18">
    <cfRule type="cellIs" dxfId="9" priority="3" stopIfTrue="1" operator="equal">
      <formula>"Stärke"</formula>
    </cfRule>
    <cfRule type="cellIs" dxfId="8" priority="4" stopIfTrue="1" operator="equal">
      <formula>"Schwäche"</formula>
    </cfRule>
  </conditionalFormatting>
  <hyperlinks>
    <hyperlink ref="F1" location="Basisdaten!A1" display="Basisdaten!A1"/>
    <hyperlink ref="F2" location="StärkenSchwächen!A1" display="StärkenSchwächen!A1"/>
  </hyperlinks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Group Box 1">
              <controlPr defaultSize="0" autoFill="0" autoPict="0">
                <anchor moveWithCells="1">
                  <from>
                    <xdr:col>2</xdr:col>
                    <xdr:colOff>0</xdr:colOff>
                    <xdr:row>6</xdr:row>
                    <xdr:rowOff>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Option Button 2">
              <controlPr defaultSize="0" autoFill="0" autoLine="0" autoPict="0">
                <anchor moveWithCells="1">
                  <from>
                    <xdr:col>2</xdr:col>
                    <xdr:colOff>57150</xdr:colOff>
                    <xdr:row>6</xdr:row>
                    <xdr:rowOff>47625</xdr:rowOff>
                  </from>
                  <to>
                    <xdr:col>2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Option Button 3">
              <controlPr defaultSize="0" autoFill="0" autoLine="0" autoPict="0">
                <anchor moveWithCells="1">
                  <from>
                    <xdr:col>3</xdr:col>
                    <xdr:colOff>38100</xdr:colOff>
                    <xdr:row>6</xdr:row>
                    <xdr:rowOff>66675</xdr:rowOff>
                  </from>
                  <to>
                    <xdr:col>3</xdr:col>
                    <xdr:colOff>552450</xdr:colOff>
                    <xdr:row>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Group Box 4">
              <controlPr defaultSize="0" autoFill="0" autoPict="0">
                <anchor moveWithCells="1">
                  <from>
                    <xdr:col>2</xdr:col>
                    <xdr:colOff>0</xdr:colOff>
                    <xdr:row>14</xdr:row>
                    <xdr:rowOff>0</xdr:rowOff>
                  </from>
                  <to>
                    <xdr:col>4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8" name="Option Button 5">
              <controlPr defaultSize="0" autoFill="0" autoLine="0" autoPict="0">
                <anchor moveWithCells="1">
                  <from>
                    <xdr:col>2</xdr:col>
                    <xdr:colOff>57150</xdr:colOff>
                    <xdr:row>14</xdr:row>
                    <xdr:rowOff>0</xdr:rowOff>
                  </from>
                  <to>
                    <xdr:col>2</xdr:col>
                    <xdr:colOff>476250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9" name="Option Button 6">
              <controlPr defaultSize="0" autoFill="0" autoLine="0" autoPict="0">
                <anchor moveWithCells="1">
                  <from>
                    <xdr:col>3</xdr:col>
                    <xdr:colOff>38100</xdr:colOff>
                    <xdr:row>14</xdr:row>
                    <xdr:rowOff>19050</xdr:rowOff>
                  </from>
                  <to>
                    <xdr:col>3</xdr:col>
                    <xdr:colOff>552450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10" name="Group Box 7">
              <controlPr defaultSize="0" autoFill="0" autoPict="0">
                <anchor moveWithCells="1">
                  <from>
                    <xdr:col>2</xdr:col>
                    <xdr:colOff>0</xdr:colOff>
                    <xdr:row>15</xdr:row>
                    <xdr:rowOff>0</xdr:rowOff>
                  </from>
                  <to>
                    <xdr:col>4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11" name="Option Button 8">
              <controlPr defaultSize="0" autoFill="0" autoLine="0" autoPict="0">
                <anchor moveWithCells="1">
                  <from>
                    <xdr:col>2</xdr:col>
                    <xdr:colOff>57150</xdr:colOff>
                    <xdr:row>15</xdr:row>
                    <xdr:rowOff>0</xdr:rowOff>
                  </from>
                  <to>
                    <xdr:col>2</xdr:col>
                    <xdr:colOff>476250</xdr:colOff>
                    <xdr:row>15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7" r:id="rId12" name="Option Button 9">
              <controlPr defaultSize="0" autoFill="0" autoLine="0" autoPict="0">
                <anchor moveWithCells="1">
                  <from>
                    <xdr:col>3</xdr:col>
                    <xdr:colOff>38100</xdr:colOff>
                    <xdr:row>15</xdr:row>
                    <xdr:rowOff>19050</xdr:rowOff>
                  </from>
                  <to>
                    <xdr:col>3</xdr:col>
                    <xdr:colOff>552450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8" r:id="rId13" name="Group Box 10">
              <controlPr defaultSize="0" autoFill="0" autoPict="0">
                <anchor moveWithCells="1">
                  <from>
                    <xdr:col>2</xdr:col>
                    <xdr:colOff>0</xdr:colOff>
                    <xdr:row>16</xdr:row>
                    <xdr:rowOff>0</xdr:rowOff>
                  </from>
                  <to>
                    <xdr:col>4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9" r:id="rId14" name="Option Button 11">
              <controlPr defaultSize="0" autoFill="0" autoLine="0" autoPict="0">
                <anchor moveWithCells="1">
                  <from>
                    <xdr:col>2</xdr:col>
                    <xdr:colOff>57150</xdr:colOff>
                    <xdr:row>16</xdr:row>
                    <xdr:rowOff>38100</xdr:rowOff>
                  </from>
                  <to>
                    <xdr:col>2</xdr:col>
                    <xdr:colOff>476250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0" r:id="rId15" name="Option Button 12">
              <controlPr defaultSize="0" autoFill="0" autoLine="0" autoPict="0">
                <anchor moveWithCells="1">
                  <from>
                    <xdr:col>3</xdr:col>
                    <xdr:colOff>38100</xdr:colOff>
                    <xdr:row>16</xdr:row>
                    <xdr:rowOff>66675</xdr:rowOff>
                  </from>
                  <to>
                    <xdr:col>3</xdr:col>
                    <xdr:colOff>552450</xdr:colOff>
                    <xdr:row>16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1" r:id="rId16" name="Group Box 13">
              <controlPr defaultSize="0" autoFill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2" r:id="rId17" name="Option Button 14">
              <controlPr defaultSize="0" autoFill="0" autoLine="0" autoPict="0">
                <anchor moveWithCells="1">
                  <from>
                    <xdr:col>2</xdr:col>
                    <xdr:colOff>57150</xdr:colOff>
                    <xdr:row>10</xdr:row>
                    <xdr:rowOff>47625</xdr:rowOff>
                  </from>
                  <to>
                    <xdr:col>2</xdr:col>
                    <xdr:colOff>476250</xdr:colOff>
                    <xdr:row>10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3" r:id="rId18" name="Option Button 15">
              <controlPr defaultSize="0" autoFill="0" autoLine="0" autoPict="0">
                <anchor moveWithCells="1">
                  <from>
                    <xdr:col>3</xdr:col>
                    <xdr:colOff>38100</xdr:colOff>
                    <xdr:row>10</xdr:row>
                    <xdr:rowOff>66675</xdr:rowOff>
                  </from>
                  <to>
                    <xdr:col>3</xdr:col>
                    <xdr:colOff>552450</xdr:colOff>
                    <xdr:row>10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4" r:id="rId19" name="Group Box 16">
              <controlPr defaultSize="0" autoFill="0" autoPict="0">
                <anchor moveWithCells="1">
                  <from>
                    <xdr:col>2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5" r:id="rId20" name="Option Button 17">
              <controlPr defaultSize="0" autoFill="0" autoLine="0" autoPict="0">
                <anchor moveWithCells="1">
                  <from>
                    <xdr:col>2</xdr:col>
                    <xdr:colOff>57150</xdr:colOff>
                    <xdr:row>8</xdr:row>
                    <xdr:rowOff>0</xdr:rowOff>
                  </from>
                  <to>
                    <xdr:col>2</xdr:col>
                    <xdr:colOff>476250</xdr:colOff>
                    <xdr:row>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6" r:id="rId21" name="Option Button 18">
              <controlPr defaultSize="0" autoFill="0" autoLine="0" autoPict="0">
                <anchor moveWithCells="1">
                  <from>
                    <xdr:col>3</xdr:col>
                    <xdr:colOff>38100</xdr:colOff>
                    <xdr:row>8</xdr:row>
                    <xdr:rowOff>19050</xdr:rowOff>
                  </from>
                  <to>
                    <xdr:col>3</xdr:col>
                    <xdr:colOff>552450</xdr:colOff>
                    <xdr:row>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22" name="Group Box 19">
              <controlPr defaultSize="0" autoFill="0" autoPict="0">
                <anchor moveWithCells="1">
                  <from>
                    <xdr:col>2</xdr:col>
                    <xdr:colOff>0</xdr:colOff>
                    <xdr:row>9</xdr:row>
                    <xdr:rowOff>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8" r:id="rId23" name="Option Button 20">
              <controlPr defaultSize="0" autoFill="0" autoLine="0" autoPict="0">
                <anchor moveWithCells="1">
                  <from>
                    <xdr:col>2</xdr:col>
                    <xdr:colOff>57150</xdr:colOff>
                    <xdr:row>9</xdr:row>
                    <xdr:rowOff>0</xdr:rowOff>
                  </from>
                  <to>
                    <xdr:col>2</xdr:col>
                    <xdr:colOff>476250</xdr:colOff>
                    <xdr:row>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9" r:id="rId24" name="Option Button 21">
              <controlPr defaultSize="0" autoFill="0" autoLine="0" autoPict="0">
                <anchor moveWithCells="1">
                  <from>
                    <xdr:col>3</xdr:col>
                    <xdr:colOff>38100</xdr:colOff>
                    <xdr:row>9</xdr:row>
                    <xdr:rowOff>19050</xdr:rowOff>
                  </from>
                  <to>
                    <xdr:col>3</xdr:col>
                    <xdr:colOff>552450</xdr:colOff>
                    <xdr:row>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0" r:id="rId25" name="Group Box 22">
              <controlPr defaultSize="0" autoFill="0" autoPict="0">
                <anchor moveWithCells="1">
                  <from>
                    <xdr:col>2</xdr:col>
                    <xdr:colOff>0</xdr:colOff>
                    <xdr:row>17</xdr:row>
                    <xdr:rowOff>0</xdr:rowOff>
                  </from>
                  <to>
                    <xdr:col>4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1" r:id="rId26" name="Option Button 23">
              <controlPr defaultSize="0" autoFill="0" autoLine="0" autoPict="0">
                <anchor moveWithCells="1">
                  <from>
                    <xdr:col>2</xdr:col>
                    <xdr:colOff>57150</xdr:colOff>
                    <xdr:row>17</xdr:row>
                    <xdr:rowOff>0</xdr:rowOff>
                  </from>
                  <to>
                    <xdr:col>2</xdr:col>
                    <xdr:colOff>476250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2" r:id="rId27" name="Option Button 24">
              <controlPr defaultSize="0" autoFill="0" autoLine="0" autoPict="0">
                <anchor moveWithCells="1">
                  <from>
                    <xdr:col>3</xdr:col>
                    <xdr:colOff>38100</xdr:colOff>
                    <xdr:row>17</xdr:row>
                    <xdr:rowOff>19050</xdr:rowOff>
                  </from>
                  <to>
                    <xdr:col>3</xdr:col>
                    <xdr:colOff>552450</xdr:colOff>
                    <xdr:row>17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2" r:id="rId28" name="Group Box 34">
              <controlPr defaultSize="0" autoFill="0" autoPict="0">
                <anchor moveWithCells="1">
                  <from>
                    <xdr:col>2</xdr:col>
                    <xdr:colOff>0</xdr:colOff>
                    <xdr:row>12</xdr:row>
                    <xdr:rowOff>0</xdr:rowOff>
                  </from>
                  <to>
                    <xdr:col>4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3" r:id="rId29" name="Option Button 35">
              <controlPr defaultSize="0" autoFill="0" autoLine="0" autoPict="0">
                <anchor moveWithCells="1">
                  <from>
                    <xdr:col>2</xdr:col>
                    <xdr:colOff>57150</xdr:colOff>
                    <xdr:row>12</xdr:row>
                    <xdr:rowOff>0</xdr:rowOff>
                  </from>
                  <to>
                    <xdr:col>2</xdr:col>
                    <xdr:colOff>476250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4" r:id="rId30" name="Option Button 36">
              <controlPr defaultSize="0" autoFill="0" autoLine="0" autoPict="0">
                <anchor moveWithCells="1">
                  <from>
                    <xdr:col>3</xdr:col>
                    <xdr:colOff>38100</xdr:colOff>
                    <xdr:row>12</xdr:row>
                    <xdr:rowOff>19050</xdr:rowOff>
                  </from>
                  <to>
                    <xdr:col>3</xdr:col>
                    <xdr:colOff>552450</xdr:colOff>
                    <xdr:row>12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5" r:id="rId31" name="Group Box 37">
              <controlPr defaultSize="0" autoFill="0" autoPict="0">
                <anchor mov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4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6" r:id="rId32" name="Option Button 38">
              <controlPr defaultSize="0" autoFill="0" autoLine="0" autoPict="0">
                <anchor moveWithCells="1">
                  <from>
                    <xdr:col>2</xdr:col>
                    <xdr:colOff>57150</xdr:colOff>
                    <xdr:row>13</xdr:row>
                    <xdr:rowOff>0</xdr:rowOff>
                  </from>
                  <to>
                    <xdr:col>2</xdr:col>
                    <xdr:colOff>476250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7" r:id="rId33" name="Option Button 39">
              <controlPr defaultSize="0" autoFill="0" autoLine="0" autoPict="0">
                <anchor moveWithCells="1">
                  <from>
                    <xdr:col>3</xdr:col>
                    <xdr:colOff>38100</xdr:colOff>
                    <xdr:row>13</xdr:row>
                    <xdr:rowOff>19050</xdr:rowOff>
                  </from>
                  <to>
                    <xdr:col>3</xdr:col>
                    <xdr:colOff>552450</xdr:colOff>
                    <xdr:row>13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0" r:id="rId34" name="Group Box 82">
              <controlPr defaultSize="0" autoFill="0" autoPict="0">
                <anchor moveWithCells="1">
                  <from>
                    <xdr:col>2</xdr:col>
                    <xdr:colOff>0</xdr:colOff>
                    <xdr:row>5</xdr:row>
                    <xdr:rowOff>0</xdr:rowOff>
                  </from>
                  <to>
                    <xdr:col>4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1" r:id="rId35" name="Option Button 83">
              <controlPr defaultSize="0" autoFill="0" autoLine="0" autoPict="0">
                <anchor moveWithCells="1">
                  <from>
                    <xdr:col>2</xdr:col>
                    <xdr:colOff>57150</xdr:colOff>
                    <xdr:row>5</xdr:row>
                    <xdr:rowOff>47625</xdr:rowOff>
                  </from>
                  <to>
                    <xdr:col>2</xdr:col>
                    <xdr:colOff>476250</xdr:colOff>
                    <xdr:row>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2" r:id="rId36" name="Option Button 84">
              <controlPr defaultSize="0" autoFill="0" autoLine="0" autoPict="0">
                <anchor moveWithCells="1">
                  <from>
                    <xdr:col>3</xdr:col>
                    <xdr:colOff>38100</xdr:colOff>
                    <xdr:row>5</xdr:row>
                    <xdr:rowOff>66675</xdr:rowOff>
                  </from>
                  <to>
                    <xdr:col>3</xdr:col>
                    <xdr:colOff>552450</xdr:colOff>
                    <xdr:row>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9" r:id="rId37" name="Group Box 91">
              <controlPr defaultSize="0" autoFill="0" autoPict="0">
                <anchor moveWithCells="1">
                  <from>
                    <xdr:col>2</xdr:col>
                    <xdr:colOff>0</xdr:colOff>
                    <xdr:row>7</xdr:row>
                    <xdr:rowOff>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0" r:id="rId38" name="Option Button 92">
              <controlPr defaultSize="0" autoFill="0" autoLine="0" autoPict="0">
                <anchor moveWithCells="1">
                  <from>
                    <xdr:col>2</xdr:col>
                    <xdr:colOff>57150</xdr:colOff>
                    <xdr:row>7</xdr:row>
                    <xdr:rowOff>19050</xdr:rowOff>
                  </from>
                  <to>
                    <xdr:col>2</xdr:col>
                    <xdr:colOff>476250</xdr:colOff>
                    <xdr:row>7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1" r:id="rId39" name="Option Button 93">
              <controlPr defaultSize="0" autoFill="0" autoLine="0" autoPict="0">
                <anchor moveWithCells="1">
                  <from>
                    <xdr:col>3</xdr:col>
                    <xdr:colOff>38100</xdr:colOff>
                    <xdr:row>7</xdr:row>
                    <xdr:rowOff>38100</xdr:rowOff>
                  </from>
                  <to>
                    <xdr:col>3</xdr:col>
                    <xdr:colOff>552450</xdr:colOff>
                    <xdr:row>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2" r:id="rId40" name="Group Box 94">
              <controlPr defaultSize="0" autoFill="0" autoPict="0">
                <anchor moveWithCells="1">
                  <from>
                    <xdr:col>2</xdr:col>
                    <xdr:colOff>0</xdr:colOff>
                    <xdr:row>11</xdr:row>
                    <xdr:rowOff>0</xdr:rowOff>
                  </from>
                  <to>
                    <xdr:col>4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3" r:id="rId41" name="Option Button 95">
              <controlPr defaultSize="0" autoFill="0" autoLine="0" autoPict="0">
                <anchor moveWithCells="1">
                  <from>
                    <xdr:col>2</xdr:col>
                    <xdr:colOff>57150</xdr:colOff>
                    <xdr:row>11</xdr:row>
                    <xdr:rowOff>47625</xdr:rowOff>
                  </from>
                  <to>
                    <xdr:col>2</xdr:col>
                    <xdr:colOff>476250</xdr:colOff>
                    <xdr:row>11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4" r:id="rId42" name="Option Button 96">
              <controlPr defaultSize="0" autoFill="0" autoLine="0" autoPict="0">
                <anchor moveWithCells="1">
                  <from>
                    <xdr:col>3</xdr:col>
                    <xdr:colOff>38100</xdr:colOff>
                    <xdr:row>11</xdr:row>
                    <xdr:rowOff>66675</xdr:rowOff>
                  </from>
                  <to>
                    <xdr:col>3</xdr:col>
                    <xdr:colOff>552450</xdr:colOff>
                    <xdr:row>11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0"/>
  <dimension ref="A1:G50"/>
  <sheetViews>
    <sheetView workbookViewId="0"/>
  </sheetViews>
  <sheetFormatPr baseColWidth="10" defaultRowHeight="12.75" outlineLevelRow="1" x14ac:dyDescent="0.2"/>
  <cols>
    <col min="1" max="1" width="5" style="35" customWidth="1"/>
    <col min="2" max="2" width="84" style="32" customWidth="1"/>
    <col min="3" max="4" width="8.85546875" customWidth="1"/>
    <col min="5" max="5" width="4.85546875" style="24" customWidth="1"/>
    <col min="6" max="6" width="13.7109375" customWidth="1"/>
  </cols>
  <sheetData>
    <row r="1" spans="1:7" ht="18" x14ac:dyDescent="0.2">
      <c r="B1" s="30" t="s">
        <v>26</v>
      </c>
      <c r="F1" s="27" t="s">
        <v>134</v>
      </c>
    </row>
    <row r="2" spans="1:7" ht="15" x14ac:dyDescent="0.2">
      <c r="B2" s="41" t="s">
        <v>113</v>
      </c>
      <c r="F2" s="27" t="s">
        <v>135</v>
      </c>
    </row>
    <row r="4" spans="1:7" x14ac:dyDescent="0.2">
      <c r="B4" s="31" t="s">
        <v>12</v>
      </c>
    </row>
    <row r="5" spans="1:7" ht="30" customHeight="1" x14ac:dyDescent="0.2">
      <c r="B5" s="21" t="s">
        <v>235</v>
      </c>
    </row>
    <row r="6" spans="1:7" ht="22.5" customHeight="1" x14ac:dyDescent="0.2">
      <c r="A6" s="35" t="s">
        <v>115</v>
      </c>
      <c r="B6" s="21" t="s">
        <v>236</v>
      </c>
      <c r="E6" s="24">
        <v>1</v>
      </c>
      <c r="F6" t="str">
        <f t="shared" ref="F6:F12" si="0">IF(E6=1,"Stärke",IF(E6=2,"Schwäche",""))</f>
        <v>Stärke</v>
      </c>
    </row>
    <row r="7" spans="1:7" ht="22.5" customHeight="1" x14ac:dyDescent="0.2">
      <c r="A7" s="35" t="s">
        <v>116</v>
      </c>
      <c r="B7" s="21" t="s">
        <v>237</v>
      </c>
      <c r="E7" s="24">
        <v>1</v>
      </c>
      <c r="F7" t="str">
        <f t="shared" si="0"/>
        <v>Stärke</v>
      </c>
    </row>
    <row r="8" spans="1:7" ht="25.5" customHeight="1" x14ac:dyDescent="0.2">
      <c r="A8" s="35" t="s">
        <v>117</v>
      </c>
      <c r="B8" s="114" t="s">
        <v>319</v>
      </c>
      <c r="E8" s="24">
        <v>1</v>
      </c>
      <c r="F8" t="str">
        <f t="shared" si="0"/>
        <v>Stärke</v>
      </c>
      <c r="G8" s="112"/>
    </row>
    <row r="9" spans="1:7" ht="21.75" customHeight="1" x14ac:dyDescent="0.2">
      <c r="A9" s="35" t="s">
        <v>118</v>
      </c>
      <c r="B9" s="21" t="s">
        <v>238</v>
      </c>
      <c r="E9" s="24">
        <v>1</v>
      </c>
      <c r="F9" t="str">
        <f t="shared" si="0"/>
        <v>Stärke</v>
      </c>
    </row>
    <row r="10" spans="1:7" ht="22.5" customHeight="1" x14ac:dyDescent="0.2">
      <c r="A10" s="35" t="s">
        <v>119</v>
      </c>
      <c r="B10" s="21" t="s">
        <v>239</v>
      </c>
      <c r="E10" s="24">
        <v>1</v>
      </c>
      <c r="F10" t="str">
        <f t="shared" si="0"/>
        <v>Stärke</v>
      </c>
    </row>
    <row r="11" spans="1:7" ht="22.5" customHeight="1" x14ac:dyDescent="0.2">
      <c r="A11" s="35" t="s">
        <v>120</v>
      </c>
      <c r="B11" s="21" t="s">
        <v>240</v>
      </c>
      <c r="E11" s="24">
        <v>1</v>
      </c>
      <c r="F11" t="str">
        <f t="shared" si="0"/>
        <v>Stärke</v>
      </c>
    </row>
    <row r="12" spans="1:7" ht="29.25" customHeight="1" x14ac:dyDescent="0.2">
      <c r="A12" s="35" t="s">
        <v>121</v>
      </c>
      <c r="B12" s="21" t="s">
        <v>241</v>
      </c>
      <c r="E12" s="24">
        <v>1</v>
      </c>
      <c r="F12" t="str">
        <f t="shared" si="0"/>
        <v>Stärke</v>
      </c>
    </row>
    <row r="13" spans="1:7" ht="22.5" customHeight="1" x14ac:dyDescent="0.2">
      <c r="A13" s="35" t="s">
        <v>122</v>
      </c>
      <c r="B13" s="21" t="s">
        <v>242</v>
      </c>
      <c r="E13" s="24">
        <v>1</v>
      </c>
      <c r="F13" t="str">
        <f t="shared" ref="F13:F19" si="1">IF(E13=1,"Stärke",IF(E13=2,"Schwäche",""))</f>
        <v>Stärke</v>
      </c>
    </row>
    <row r="14" spans="1:7" ht="22.5" customHeight="1" x14ac:dyDescent="0.2">
      <c r="A14" s="35" t="s">
        <v>123</v>
      </c>
      <c r="B14" s="21" t="s">
        <v>243</v>
      </c>
      <c r="E14" s="24">
        <v>1</v>
      </c>
      <c r="F14" t="str">
        <f t="shared" si="1"/>
        <v>Stärke</v>
      </c>
    </row>
    <row r="15" spans="1:7" ht="22.5" customHeight="1" x14ac:dyDescent="0.2">
      <c r="A15" s="35" t="s">
        <v>124</v>
      </c>
      <c r="B15" s="21" t="s">
        <v>244</v>
      </c>
      <c r="E15" s="24">
        <v>1</v>
      </c>
      <c r="F15" t="str">
        <f t="shared" si="1"/>
        <v>Stärke</v>
      </c>
    </row>
    <row r="16" spans="1:7" ht="22.5" customHeight="1" x14ac:dyDescent="0.2">
      <c r="A16" s="35" t="s">
        <v>125</v>
      </c>
      <c r="B16" s="21" t="s">
        <v>245</v>
      </c>
      <c r="E16" s="24">
        <v>2</v>
      </c>
      <c r="F16" t="str">
        <f t="shared" si="1"/>
        <v>Schwäche</v>
      </c>
    </row>
    <row r="17" spans="1:7" ht="26.25" customHeight="1" x14ac:dyDescent="0.2">
      <c r="A17" s="35" t="s">
        <v>126</v>
      </c>
      <c r="B17" s="32" t="s">
        <v>310</v>
      </c>
      <c r="E17" s="24">
        <v>1</v>
      </c>
      <c r="F17" t="str">
        <f t="shared" si="1"/>
        <v>Stärke</v>
      </c>
      <c r="G17" s="112"/>
    </row>
    <row r="18" spans="1:7" ht="22.5" customHeight="1" x14ac:dyDescent="0.2">
      <c r="A18" s="35" t="s">
        <v>127</v>
      </c>
      <c r="B18" s="21" t="s">
        <v>246</v>
      </c>
      <c r="E18" s="24">
        <v>2</v>
      </c>
      <c r="F18" t="str">
        <f t="shared" si="1"/>
        <v>Schwäche</v>
      </c>
    </row>
    <row r="19" spans="1:7" ht="28.5" customHeight="1" x14ac:dyDescent="0.2">
      <c r="A19" s="35" t="s">
        <v>128</v>
      </c>
      <c r="B19" s="21" t="s">
        <v>247</v>
      </c>
      <c r="E19" s="24">
        <v>1</v>
      </c>
      <c r="F19" t="str">
        <f t="shared" si="1"/>
        <v>Stärke</v>
      </c>
    </row>
    <row r="21" spans="1:7" hidden="1" outlineLevel="1" x14ac:dyDescent="0.2"/>
    <row r="22" spans="1:7" hidden="1" outlineLevel="1" x14ac:dyDescent="0.2"/>
    <row r="23" spans="1:7" hidden="1" outlineLevel="1" x14ac:dyDescent="0.2"/>
    <row r="24" spans="1:7" hidden="1" outlineLevel="1" x14ac:dyDescent="0.2"/>
    <row r="25" spans="1:7" hidden="1" outlineLevel="1" x14ac:dyDescent="0.2"/>
    <row r="26" spans="1:7" hidden="1" outlineLevel="1" x14ac:dyDescent="0.2"/>
    <row r="27" spans="1:7" hidden="1" outlineLevel="1" x14ac:dyDescent="0.2"/>
    <row r="28" spans="1:7" hidden="1" outlineLevel="1" x14ac:dyDescent="0.2"/>
    <row r="29" spans="1:7" hidden="1" outlineLevel="1" x14ac:dyDescent="0.2"/>
    <row r="30" spans="1:7" hidden="1" outlineLevel="1" x14ac:dyDescent="0.2"/>
    <row r="31" spans="1:7" hidden="1" outlineLevel="1" x14ac:dyDescent="0.2"/>
    <row r="32" spans="1:7" hidden="1" outlineLevel="1" x14ac:dyDescent="0.2"/>
    <row r="33" hidden="1" outlineLevel="1" x14ac:dyDescent="0.2"/>
    <row r="34" hidden="1" outlineLevel="1" x14ac:dyDescent="0.2"/>
    <row r="35" hidden="1" outlineLevel="1" x14ac:dyDescent="0.2"/>
    <row r="36" hidden="1" outlineLevel="1" x14ac:dyDescent="0.2"/>
    <row r="37" hidden="1" outlineLevel="1" x14ac:dyDescent="0.2"/>
    <row r="38" hidden="1" outlineLevel="1" x14ac:dyDescent="0.2"/>
    <row r="39" hidden="1" outlineLevel="1" x14ac:dyDescent="0.2"/>
    <row r="40" hidden="1" outlineLevel="1" x14ac:dyDescent="0.2"/>
    <row r="41" hidden="1" outlineLevel="1" x14ac:dyDescent="0.2"/>
    <row r="42" hidden="1" outlineLevel="1" x14ac:dyDescent="0.2"/>
    <row r="43" hidden="1" outlineLevel="1" x14ac:dyDescent="0.2"/>
    <row r="44" hidden="1" outlineLevel="1" x14ac:dyDescent="0.2"/>
    <row r="45" hidden="1" outlineLevel="1" x14ac:dyDescent="0.2"/>
    <row r="46" hidden="1" outlineLevel="1" x14ac:dyDescent="0.2"/>
    <row r="47" hidden="1" outlineLevel="1" x14ac:dyDescent="0.2"/>
    <row r="48" hidden="1" outlineLevel="1" x14ac:dyDescent="0.2"/>
    <row r="49" spans="3:4" hidden="1" outlineLevel="1" x14ac:dyDescent="0.2"/>
    <row r="50" spans="3:4" collapsed="1" x14ac:dyDescent="0.2">
      <c r="C50" s="28">
        <f>COUNTIF($E$6:$E$19,1)/COUNTA($E$6:$E$19)</f>
        <v>0.8571428571428571</v>
      </c>
      <c r="D50" s="28">
        <f>COUNTIF($E$6:$E$19,2)/COUNTA($E$6:$E$19)</f>
        <v>0.14285714285714285</v>
      </c>
    </row>
  </sheetData>
  <phoneticPr fontId="4" type="noConversion"/>
  <conditionalFormatting sqref="C6:C19">
    <cfRule type="expression" dxfId="7" priority="1" stopIfTrue="1">
      <formula>AND(NOT(ISBLANK(E6)),E6=1)</formula>
    </cfRule>
  </conditionalFormatting>
  <conditionalFormatting sqref="D6:D19">
    <cfRule type="expression" dxfId="6" priority="2" stopIfTrue="1">
      <formula>AND(NOT(ISBLANK(E6)),E6=2)</formula>
    </cfRule>
  </conditionalFormatting>
  <conditionalFormatting sqref="F6:F19">
    <cfRule type="cellIs" dxfId="5" priority="3" stopIfTrue="1" operator="equal">
      <formula>"Stärke"</formula>
    </cfRule>
    <cfRule type="cellIs" dxfId="4" priority="4" stopIfTrue="1" operator="equal">
      <formula>"Schwäche"</formula>
    </cfRule>
  </conditionalFormatting>
  <hyperlinks>
    <hyperlink ref="F1" location="Basisdaten!A1" display="Basisdaten!A1"/>
    <hyperlink ref="F2" location="StärkenSchwächen!A1" display="StärkenSchwächen!A1"/>
  </hyperlinks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Group Box 1">
              <controlPr defaultSize="0" autoFill="0" autoPict="0">
                <anchor moveWithCells="1">
                  <from>
                    <xdr:col>2</xdr:col>
                    <xdr:colOff>0</xdr:colOff>
                    <xdr:row>6</xdr:row>
                    <xdr:rowOff>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Option Button 2">
              <controlPr defaultSize="0" autoFill="0" autoLine="0" autoPict="0">
                <anchor moveWithCells="1">
                  <from>
                    <xdr:col>2</xdr:col>
                    <xdr:colOff>57150</xdr:colOff>
                    <xdr:row>6</xdr:row>
                    <xdr:rowOff>9525</xdr:rowOff>
                  </from>
                  <to>
                    <xdr:col>2</xdr:col>
                    <xdr:colOff>476250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Option Button 3">
              <controlPr defaultSize="0" autoFill="0" autoLine="0" autoPict="0">
                <anchor moveWithCells="1">
                  <from>
                    <xdr:col>3</xdr:col>
                    <xdr:colOff>38100</xdr:colOff>
                    <xdr:row>6</xdr:row>
                    <xdr:rowOff>28575</xdr:rowOff>
                  </from>
                  <to>
                    <xdr:col>3</xdr:col>
                    <xdr:colOff>552450</xdr:colOff>
                    <xdr:row>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Group Box 4">
              <controlPr defaultSize="0" autoFill="0" autoPict="0">
                <anchor moveWithCells="1">
                  <from>
                    <xdr:col>2</xdr:col>
                    <xdr:colOff>0</xdr:colOff>
                    <xdr:row>14</xdr:row>
                    <xdr:rowOff>0</xdr:rowOff>
                  </from>
                  <to>
                    <xdr:col>4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8" name="Option Button 5">
              <controlPr defaultSize="0" autoFill="0" autoLine="0" autoPict="0">
                <anchor moveWithCells="1">
                  <from>
                    <xdr:col>2</xdr:col>
                    <xdr:colOff>57150</xdr:colOff>
                    <xdr:row>14</xdr:row>
                    <xdr:rowOff>0</xdr:rowOff>
                  </from>
                  <to>
                    <xdr:col>2</xdr:col>
                    <xdr:colOff>476250</xdr:colOff>
                    <xdr:row>14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9" name="Option Button 6">
              <controlPr defaultSize="0" autoFill="0" autoLine="0" autoPict="0">
                <anchor moveWithCells="1">
                  <from>
                    <xdr:col>3</xdr:col>
                    <xdr:colOff>38100</xdr:colOff>
                    <xdr:row>14</xdr:row>
                    <xdr:rowOff>19050</xdr:rowOff>
                  </from>
                  <to>
                    <xdr:col>3</xdr:col>
                    <xdr:colOff>552450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10" name="Group Box 7">
              <controlPr defaultSize="0" autoFill="0" autoPict="0">
                <anchor moveWithCells="1">
                  <from>
                    <xdr:col>2</xdr:col>
                    <xdr:colOff>0</xdr:colOff>
                    <xdr:row>15</xdr:row>
                    <xdr:rowOff>0</xdr:rowOff>
                  </from>
                  <to>
                    <xdr:col>4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1" name="Option Button 8">
              <controlPr defaultSize="0" autoFill="0" autoLine="0" autoPict="0">
                <anchor moveWithCells="1">
                  <from>
                    <xdr:col>2</xdr:col>
                    <xdr:colOff>57150</xdr:colOff>
                    <xdr:row>15</xdr:row>
                    <xdr:rowOff>0</xdr:rowOff>
                  </from>
                  <to>
                    <xdr:col>2</xdr:col>
                    <xdr:colOff>476250</xdr:colOff>
                    <xdr:row>15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2" name="Option Button 9">
              <controlPr defaultSize="0" autoFill="0" autoLine="0" autoPict="0">
                <anchor moveWithCells="1">
                  <from>
                    <xdr:col>3</xdr:col>
                    <xdr:colOff>38100</xdr:colOff>
                    <xdr:row>15</xdr:row>
                    <xdr:rowOff>19050</xdr:rowOff>
                  </from>
                  <to>
                    <xdr:col>3</xdr:col>
                    <xdr:colOff>552450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3" name="Group Box 10">
              <controlPr defaultSize="0" autoFill="0" autoPict="0">
                <anchor moveWithCells="1">
                  <from>
                    <xdr:col>2</xdr:col>
                    <xdr:colOff>0</xdr:colOff>
                    <xdr:row>16</xdr:row>
                    <xdr:rowOff>0</xdr:rowOff>
                  </from>
                  <to>
                    <xdr:col>4</xdr:col>
                    <xdr:colOff>0</xdr:colOff>
                    <xdr:row>16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4" name="Option Button 11">
              <controlPr defaultSize="0" autoFill="0" autoLine="0" autoPict="0">
                <anchor moveWithCells="1">
                  <from>
                    <xdr:col>2</xdr:col>
                    <xdr:colOff>57150</xdr:colOff>
                    <xdr:row>16</xdr:row>
                    <xdr:rowOff>38100</xdr:rowOff>
                  </from>
                  <to>
                    <xdr:col>2</xdr:col>
                    <xdr:colOff>476250</xdr:colOff>
                    <xdr:row>16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5" name="Option Button 12">
              <controlPr defaultSize="0" autoFill="0" autoLine="0" autoPict="0">
                <anchor moveWithCells="1">
                  <from>
                    <xdr:col>3</xdr:col>
                    <xdr:colOff>38100</xdr:colOff>
                    <xdr:row>16</xdr:row>
                    <xdr:rowOff>38100</xdr:rowOff>
                  </from>
                  <to>
                    <xdr:col>3</xdr:col>
                    <xdr:colOff>552450</xdr:colOff>
                    <xdr:row>16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6" name="Group Box 13">
              <controlPr defaultSize="0" autoFill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7" name="Option Button 14">
              <controlPr defaultSize="0" autoFill="0" autoLine="0" autoPict="0">
                <anchor moveWithCells="1">
                  <from>
                    <xdr:col>2</xdr:col>
                    <xdr:colOff>57150</xdr:colOff>
                    <xdr:row>10</xdr:row>
                    <xdr:rowOff>47625</xdr:rowOff>
                  </from>
                  <to>
                    <xdr:col>2</xdr:col>
                    <xdr:colOff>476250</xdr:colOff>
                    <xdr:row>10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8" name="Option Button 15">
              <controlPr defaultSize="0" autoFill="0" autoLine="0" autoPict="0">
                <anchor moveWithCells="1">
                  <from>
                    <xdr:col>3</xdr:col>
                    <xdr:colOff>38100</xdr:colOff>
                    <xdr:row>10</xdr:row>
                    <xdr:rowOff>38100</xdr:rowOff>
                  </from>
                  <to>
                    <xdr:col>3</xdr:col>
                    <xdr:colOff>552450</xdr:colOff>
                    <xdr:row>10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19" name="Group Box 16">
              <controlPr defaultSize="0" autoFill="0" autoPict="0">
                <anchor moveWithCells="1">
                  <from>
                    <xdr:col>2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20" name="Option Button 17">
              <controlPr defaultSize="0" autoFill="0" autoLine="0" autoPict="0">
                <anchor moveWithCells="1">
                  <from>
                    <xdr:col>2</xdr:col>
                    <xdr:colOff>57150</xdr:colOff>
                    <xdr:row>8</xdr:row>
                    <xdr:rowOff>0</xdr:rowOff>
                  </from>
                  <to>
                    <xdr:col>2</xdr:col>
                    <xdr:colOff>476250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21" name="Option Button 18">
              <controlPr defaultSize="0" autoFill="0" autoLine="0" autoPict="0">
                <anchor moveWithCells="1">
                  <from>
                    <xdr:col>3</xdr:col>
                    <xdr:colOff>38100</xdr:colOff>
                    <xdr:row>8</xdr:row>
                    <xdr:rowOff>19050</xdr:rowOff>
                  </from>
                  <to>
                    <xdr:col>3</xdr:col>
                    <xdr:colOff>552450</xdr:colOff>
                    <xdr:row>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r:id="rId22" name="Group Box 19">
              <controlPr defaultSize="0" autoFill="0" autoPict="0">
                <anchor moveWithCells="1">
                  <from>
                    <xdr:col>2</xdr:col>
                    <xdr:colOff>0</xdr:colOff>
                    <xdr:row>9</xdr:row>
                    <xdr:rowOff>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23" name="Option Button 20">
              <controlPr defaultSize="0" autoFill="0" autoLine="0" autoPict="0">
                <anchor moveWithCells="1">
                  <from>
                    <xdr:col>2</xdr:col>
                    <xdr:colOff>57150</xdr:colOff>
                    <xdr:row>9</xdr:row>
                    <xdr:rowOff>0</xdr:rowOff>
                  </from>
                  <to>
                    <xdr:col>2</xdr:col>
                    <xdr:colOff>476250</xdr:colOff>
                    <xdr:row>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24" name="Option Button 21">
              <controlPr defaultSize="0" autoFill="0" autoLine="0" autoPict="0">
                <anchor moveWithCells="1">
                  <from>
                    <xdr:col>3</xdr:col>
                    <xdr:colOff>38100</xdr:colOff>
                    <xdr:row>9</xdr:row>
                    <xdr:rowOff>19050</xdr:rowOff>
                  </from>
                  <to>
                    <xdr:col>3</xdr:col>
                    <xdr:colOff>552450</xdr:colOff>
                    <xdr:row>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25" name="Group Box 22">
              <controlPr defaultSize="0" autoFill="0" autoPict="0">
                <anchor moveWithCells="1">
                  <from>
                    <xdr:col>2</xdr:col>
                    <xdr:colOff>0</xdr:colOff>
                    <xdr:row>17</xdr:row>
                    <xdr:rowOff>0</xdr:rowOff>
                  </from>
                  <to>
                    <xdr:col>4</xdr:col>
                    <xdr:colOff>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26" name="Option Button 23">
              <controlPr defaultSize="0" autoFill="0" autoLine="0" autoPict="0">
                <anchor moveWithCells="1">
                  <from>
                    <xdr:col>2</xdr:col>
                    <xdr:colOff>57150</xdr:colOff>
                    <xdr:row>17</xdr:row>
                    <xdr:rowOff>0</xdr:rowOff>
                  </from>
                  <to>
                    <xdr:col>2</xdr:col>
                    <xdr:colOff>476250</xdr:colOff>
                    <xdr:row>17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4" r:id="rId27" name="Option Button 24">
              <controlPr defaultSize="0" autoFill="0" autoLine="0" autoPict="0">
                <anchor moveWithCells="1">
                  <from>
                    <xdr:col>3</xdr:col>
                    <xdr:colOff>38100</xdr:colOff>
                    <xdr:row>17</xdr:row>
                    <xdr:rowOff>19050</xdr:rowOff>
                  </from>
                  <to>
                    <xdr:col>3</xdr:col>
                    <xdr:colOff>552450</xdr:colOff>
                    <xdr:row>17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5" r:id="rId28" name="Group Box 25">
              <controlPr defaultSize="0" autoFill="0" autoPict="0">
                <anchor moveWithCells="1">
                  <from>
                    <xdr:col>2</xdr:col>
                    <xdr:colOff>0</xdr:colOff>
                    <xdr:row>18</xdr:row>
                    <xdr:rowOff>0</xdr:rowOff>
                  </from>
                  <to>
                    <xdr:col>4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6" r:id="rId29" name="Option Button 26">
              <controlPr defaultSize="0" autoFill="0" autoLine="0" autoPict="0">
                <anchor moveWithCells="1">
                  <from>
                    <xdr:col>2</xdr:col>
                    <xdr:colOff>57150</xdr:colOff>
                    <xdr:row>18</xdr:row>
                    <xdr:rowOff>0</xdr:rowOff>
                  </from>
                  <to>
                    <xdr:col>2</xdr:col>
                    <xdr:colOff>476250</xdr:colOff>
                    <xdr:row>18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7" r:id="rId30" name="Option Button 27">
              <controlPr defaultSize="0" autoFill="0" autoLine="0" autoPict="0">
                <anchor moveWithCells="1">
                  <from>
                    <xdr:col>3</xdr:col>
                    <xdr:colOff>38100</xdr:colOff>
                    <xdr:row>18</xdr:row>
                    <xdr:rowOff>19050</xdr:rowOff>
                  </from>
                  <to>
                    <xdr:col>3</xdr:col>
                    <xdr:colOff>552450</xdr:colOff>
                    <xdr:row>18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4" r:id="rId31" name="Group Box 34">
              <controlPr defaultSize="0" autoFill="0" autoPict="0">
                <anchor moveWithCells="1">
                  <from>
                    <xdr:col>2</xdr:col>
                    <xdr:colOff>0</xdr:colOff>
                    <xdr:row>12</xdr:row>
                    <xdr:rowOff>0</xdr:rowOff>
                  </from>
                  <to>
                    <xdr:col>4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5" r:id="rId32" name="Option Button 35">
              <controlPr defaultSize="0" autoFill="0" autoLine="0" autoPict="0">
                <anchor moveWithCells="1">
                  <from>
                    <xdr:col>2</xdr:col>
                    <xdr:colOff>57150</xdr:colOff>
                    <xdr:row>12</xdr:row>
                    <xdr:rowOff>0</xdr:rowOff>
                  </from>
                  <to>
                    <xdr:col>2</xdr:col>
                    <xdr:colOff>476250</xdr:colOff>
                    <xdr:row>12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6" r:id="rId33" name="Option Button 36">
              <controlPr defaultSize="0" autoFill="0" autoLine="0" autoPict="0">
                <anchor moveWithCells="1">
                  <from>
                    <xdr:col>3</xdr:col>
                    <xdr:colOff>38100</xdr:colOff>
                    <xdr:row>12</xdr:row>
                    <xdr:rowOff>19050</xdr:rowOff>
                  </from>
                  <to>
                    <xdr:col>3</xdr:col>
                    <xdr:colOff>552450</xdr:colOff>
                    <xdr:row>12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7" r:id="rId34" name="Group Box 37">
              <controlPr defaultSize="0" autoFill="0" autoPict="0">
                <anchor mov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4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8" r:id="rId35" name="Option Button 38">
              <controlPr defaultSize="0" autoFill="0" autoLine="0" autoPict="0">
                <anchor moveWithCells="1">
                  <from>
                    <xdr:col>2</xdr:col>
                    <xdr:colOff>57150</xdr:colOff>
                    <xdr:row>13</xdr:row>
                    <xdr:rowOff>0</xdr:rowOff>
                  </from>
                  <to>
                    <xdr:col>2</xdr:col>
                    <xdr:colOff>476250</xdr:colOff>
                    <xdr:row>13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9" r:id="rId36" name="Option Button 39">
              <controlPr defaultSize="0" autoFill="0" autoLine="0" autoPict="0">
                <anchor moveWithCells="1">
                  <from>
                    <xdr:col>3</xdr:col>
                    <xdr:colOff>38100</xdr:colOff>
                    <xdr:row>13</xdr:row>
                    <xdr:rowOff>19050</xdr:rowOff>
                  </from>
                  <to>
                    <xdr:col>3</xdr:col>
                    <xdr:colOff>552450</xdr:colOff>
                    <xdr:row>13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2" r:id="rId37" name="Group Box 82">
              <controlPr defaultSize="0" autoFill="0" autoPict="0">
                <anchor moveWithCells="1">
                  <from>
                    <xdr:col>2</xdr:col>
                    <xdr:colOff>0</xdr:colOff>
                    <xdr:row>5</xdr:row>
                    <xdr:rowOff>0</xdr:rowOff>
                  </from>
                  <to>
                    <xdr:col>4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3" r:id="rId38" name="Option Button 83">
              <controlPr defaultSize="0" autoFill="0" autoLine="0" autoPict="0">
                <anchor moveWithCells="1">
                  <from>
                    <xdr:col>2</xdr:col>
                    <xdr:colOff>57150</xdr:colOff>
                    <xdr:row>5</xdr:row>
                    <xdr:rowOff>47625</xdr:rowOff>
                  </from>
                  <to>
                    <xdr:col>2</xdr:col>
                    <xdr:colOff>476250</xdr:colOff>
                    <xdr:row>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4" r:id="rId39" name="Option Button 84">
              <controlPr defaultSize="0" autoFill="0" autoLine="0" autoPict="0">
                <anchor moveWithCells="1">
                  <from>
                    <xdr:col>3</xdr:col>
                    <xdr:colOff>38100</xdr:colOff>
                    <xdr:row>5</xdr:row>
                    <xdr:rowOff>66675</xdr:rowOff>
                  </from>
                  <to>
                    <xdr:col>3</xdr:col>
                    <xdr:colOff>552450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1" r:id="rId40" name="Group Box 91">
              <controlPr defaultSize="0" autoFill="0" autoPict="0">
                <anchor moveWithCells="1">
                  <from>
                    <xdr:col>2</xdr:col>
                    <xdr:colOff>0</xdr:colOff>
                    <xdr:row>7</xdr:row>
                    <xdr:rowOff>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2" r:id="rId41" name="Option Button 92">
              <controlPr defaultSize="0" autoFill="0" autoLine="0" autoPict="0">
                <anchor moveWithCells="1">
                  <from>
                    <xdr:col>2</xdr:col>
                    <xdr:colOff>57150</xdr:colOff>
                    <xdr:row>7</xdr:row>
                    <xdr:rowOff>9525</xdr:rowOff>
                  </from>
                  <to>
                    <xdr:col>2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3" r:id="rId42" name="Option Button 93">
              <controlPr defaultSize="0" autoFill="0" autoLine="0" autoPict="0">
                <anchor moveWithCells="1">
                  <from>
                    <xdr:col>3</xdr:col>
                    <xdr:colOff>38100</xdr:colOff>
                    <xdr:row>7</xdr:row>
                    <xdr:rowOff>28575</xdr:rowOff>
                  </from>
                  <to>
                    <xdr:col>3</xdr:col>
                    <xdr:colOff>552450</xdr:colOff>
                    <xdr:row>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5" r:id="rId43" name="Group Box 95">
              <controlPr defaultSize="0" autoFill="0" autoPict="0">
                <anchor moveWithCells="1">
                  <from>
                    <xdr:col>2</xdr:col>
                    <xdr:colOff>0</xdr:colOff>
                    <xdr:row>11</xdr:row>
                    <xdr:rowOff>0</xdr:rowOff>
                  </from>
                  <to>
                    <xdr:col>4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6" r:id="rId44" name="Option Button 96">
              <controlPr defaultSize="0" autoFill="0" autoLine="0" autoPict="0">
                <anchor moveWithCells="1">
                  <from>
                    <xdr:col>2</xdr:col>
                    <xdr:colOff>57150</xdr:colOff>
                    <xdr:row>11</xdr:row>
                    <xdr:rowOff>47625</xdr:rowOff>
                  </from>
                  <to>
                    <xdr:col>2</xdr:col>
                    <xdr:colOff>476250</xdr:colOff>
                    <xdr:row>11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7" r:id="rId45" name="Option Button 97">
              <controlPr defaultSize="0" autoFill="0" autoLine="0" autoPict="0">
                <anchor moveWithCells="1">
                  <from>
                    <xdr:col>3</xdr:col>
                    <xdr:colOff>38100</xdr:colOff>
                    <xdr:row>11</xdr:row>
                    <xdr:rowOff>38100</xdr:rowOff>
                  </from>
                  <to>
                    <xdr:col>3</xdr:col>
                    <xdr:colOff>552450</xdr:colOff>
                    <xdr:row>11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1"/>
  <dimension ref="A1:F50"/>
  <sheetViews>
    <sheetView workbookViewId="0">
      <selection activeCell="B1" sqref="B1"/>
    </sheetView>
  </sheetViews>
  <sheetFormatPr baseColWidth="10" defaultRowHeight="12.75" outlineLevelRow="1" x14ac:dyDescent="0.2"/>
  <cols>
    <col min="1" max="1" width="5" style="35" customWidth="1"/>
    <col min="2" max="2" width="84" style="32" customWidth="1"/>
    <col min="3" max="4" width="8.85546875" customWidth="1"/>
    <col min="5" max="5" width="4.85546875" style="24" customWidth="1"/>
    <col min="6" max="6" width="13.7109375" customWidth="1"/>
  </cols>
  <sheetData>
    <row r="1" spans="1:6" ht="18" x14ac:dyDescent="0.2">
      <c r="B1" s="30" t="s">
        <v>26</v>
      </c>
      <c r="F1" s="27" t="s">
        <v>134</v>
      </c>
    </row>
    <row r="2" spans="1:6" ht="15" x14ac:dyDescent="0.2">
      <c r="B2" s="41" t="s">
        <v>113</v>
      </c>
      <c r="F2" s="27" t="s">
        <v>135</v>
      </c>
    </row>
    <row r="4" spans="1:6" x14ac:dyDescent="0.2">
      <c r="B4" s="31" t="s">
        <v>13</v>
      </c>
    </row>
    <row r="5" spans="1:6" ht="71.25" customHeight="1" x14ac:dyDescent="0.2">
      <c r="B5" s="32" t="s">
        <v>311</v>
      </c>
    </row>
    <row r="6" spans="1:6" ht="22.5" customHeight="1" x14ac:dyDescent="0.2">
      <c r="A6" s="35" t="s">
        <v>115</v>
      </c>
      <c r="B6" s="113" t="s">
        <v>312</v>
      </c>
      <c r="E6" s="24">
        <v>1</v>
      </c>
      <c r="F6" t="str">
        <f t="shared" ref="F6:F14" si="0">IF(E6=1,"Stärke",IF(E6=2,"Schwäche",""))</f>
        <v>Stärke</v>
      </c>
    </row>
    <row r="7" spans="1:6" ht="22.5" customHeight="1" x14ac:dyDescent="0.2">
      <c r="A7" s="35" t="s">
        <v>116</v>
      </c>
      <c r="B7" s="113" t="s">
        <v>313</v>
      </c>
      <c r="E7" s="24">
        <v>1</v>
      </c>
      <c r="F7" t="str">
        <f t="shared" si="0"/>
        <v>Stärke</v>
      </c>
    </row>
    <row r="8" spans="1:6" ht="25.5" customHeight="1" x14ac:dyDescent="0.2">
      <c r="A8" s="35" t="s">
        <v>117</v>
      </c>
      <c r="B8" s="42" t="s">
        <v>248</v>
      </c>
      <c r="E8" s="24">
        <v>1</v>
      </c>
      <c r="F8" t="str">
        <f t="shared" si="0"/>
        <v>Stärke</v>
      </c>
    </row>
    <row r="9" spans="1:6" ht="21.75" customHeight="1" x14ac:dyDescent="0.2">
      <c r="A9" s="35" t="s">
        <v>118</v>
      </c>
      <c r="B9" s="113" t="s">
        <v>314</v>
      </c>
      <c r="E9" s="24">
        <v>1</v>
      </c>
      <c r="F9" t="str">
        <f t="shared" si="0"/>
        <v>Stärke</v>
      </c>
    </row>
    <row r="10" spans="1:6" ht="22.5" customHeight="1" x14ac:dyDescent="0.2">
      <c r="A10" s="35" t="s">
        <v>119</v>
      </c>
      <c r="B10" s="113" t="s">
        <v>315</v>
      </c>
      <c r="E10" s="24">
        <v>1</v>
      </c>
      <c r="F10" t="str">
        <f t="shared" si="0"/>
        <v>Stärke</v>
      </c>
    </row>
    <row r="11" spans="1:6" ht="22.5" customHeight="1" x14ac:dyDescent="0.2">
      <c r="A11" s="35" t="s">
        <v>120</v>
      </c>
      <c r="B11" s="113" t="s">
        <v>316</v>
      </c>
      <c r="E11" s="24">
        <v>1</v>
      </c>
      <c r="F11" t="str">
        <f t="shared" si="0"/>
        <v>Stärke</v>
      </c>
    </row>
    <row r="12" spans="1:6" ht="29.25" customHeight="1" x14ac:dyDescent="0.2">
      <c r="A12" s="35" t="s">
        <v>121</v>
      </c>
      <c r="B12" s="113" t="s">
        <v>317</v>
      </c>
      <c r="E12" s="24">
        <v>1</v>
      </c>
      <c r="F12" t="str">
        <f t="shared" si="0"/>
        <v>Stärke</v>
      </c>
    </row>
    <row r="13" spans="1:6" ht="22.5" customHeight="1" x14ac:dyDescent="0.2">
      <c r="A13" s="35" t="s">
        <v>122</v>
      </c>
      <c r="B13" s="113" t="s">
        <v>318</v>
      </c>
      <c r="E13" s="24">
        <v>2</v>
      </c>
      <c r="F13" t="str">
        <f t="shared" si="0"/>
        <v>Schwäche</v>
      </c>
    </row>
    <row r="14" spans="1:6" ht="22.5" customHeight="1" x14ac:dyDescent="0.2">
      <c r="A14" s="35" t="s">
        <v>123</v>
      </c>
      <c r="B14" s="42" t="s">
        <v>249</v>
      </c>
      <c r="E14" s="24">
        <v>2</v>
      </c>
      <c r="F14" t="str">
        <f t="shared" si="0"/>
        <v>Schwäche</v>
      </c>
    </row>
    <row r="16" spans="1:6" hidden="1" outlineLevel="1" x14ac:dyDescent="0.2"/>
    <row r="17" hidden="1" outlineLevel="1" x14ac:dyDescent="0.2"/>
    <row r="18" hidden="1" outlineLevel="1" x14ac:dyDescent="0.2"/>
    <row r="19" hidden="1" outlineLevel="1" x14ac:dyDescent="0.2"/>
    <row r="20" hidden="1" outlineLevel="1" x14ac:dyDescent="0.2"/>
    <row r="21" hidden="1" outlineLevel="1" x14ac:dyDescent="0.2"/>
    <row r="22" hidden="1" outlineLevel="1" x14ac:dyDescent="0.2"/>
    <row r="23" hidden="1" outlineLevel="1" x14ac:dyDescent="0.2"/>
    <row r="24" hidden="1" outlineLevel="1" x14ac:dyDescent="0.2"/>
    <row r="25" hidden="1" outlineLevel="1" x14ac:dyDescent="0.2"/>
    <row r="26" hidden="1" outlineLevel="1" x14ac:dyDescent="0.2"/>
    <row r="27" hidden="1" outlineLevel="1" x14ac:dyDescent="0.2"/>
    <row r="28" hidden="1" outlineLevel="1" x14ac:dyDescent="0.2"/>
    <row r="29" hidden="1" outlineLevel="1" x14ac:dyDescent="0.2"/>
    <row r="30" hidden="1" outlineLevel="1" x14ac:dyDescent="0.2"/>
    <row r="31" hidden="1" outlineLevel="1" x14ac:dyDescent="0.2"/>
    <row r="32" hidden="1" outlineLevel="1" x14ac:dyDescent="0.2"/>
    <row r="33" hidden="1" outlineLevel="1" x14ac:dyDescent="0.2"/>
    <row r="34" hidden="1" outlineLevel="1" x14ac:dyDescent="0.2"/>
    <row r="35" hidden="1" outlineLevel="1" x14ac:dyDescent="0.2"/>
    <row r="36" hidden="1" outlineLevel="1" x14ac:dyDescent="0.2"/>
    <row r="37" hidden="1" outlineLevel="1" x14ac:dyDescent="0.2"/>
    <row r="38" hidden="1" outlineLevel="1" x14ac:dyDescent="0.2"/>
    <row r="39" hidden="1" outlineLevel="1" x14ac:dyDescent="0.2"/>
    <row r="40" hidden="1" outlineLevel="1" x14ac:dyDescent="0.2"/>
    <row r="41" hidden="1" outlineLevel="1" x14ac:dyDescent="0.2"/>
    <row r="42" hidden="1" outlineLevel="1" x14ac:dyDescent="0.2"/>
    <row r="43" hidden="1" outlineLevel="1" x14ac:dyDescent="0.2"/>
    <row r="44" hidden="1" outlineLevel="1" x14ac:dyDescent="0.2"/>
    <row r="45" hidden="1" outlineLevel="1" x14ac:dyDescent="0.2"/>
    <row r="46" hidden="1" outlineLevel="1" x14ac:dyDescent="0.2"/>
    <row r="47" hidden="1" outlineLevel="1" x14ac:dyDescent="0.2"/>
    <row r="48" hidden="1" outlineLevel="1" x14ac:dyDescent="0.2"/>
    <row r="49" spans="3:4" hidden="1" outlineLevel="1" x14ac:dyDescent="0.2"/>
    <row r="50" spans="3:4" collapsed="1" x14ac:dyDescent="0.2">
      <c r="C50" s="28">
        <f>COUNTIF($E$6:$E$14,1)/COUNTA($E$6:$E$14)</f>
        <v>0.77777777777777779</v>
      </c>
      <c r="D50" s="28">
        <f>COUNTIF($E$6:$E$14,2)/COUNTA($E$6:$E$14)</f>
        <v>0.22222222222222221</v>
      </c>
    </row>
  </sheetData>
  <phoneticPr fontId="4" type="noConversion"/>
  <conditionalFormatting sqref="C6:C14">
    <cfRule type="expression" dxfId="3" priority="1" stopIfTrue="1">
      <formula>AND(NOT(ISBLANK(E6)),E6=1)</formula>
    </cfRule>
  </conditionalFormatting>
  <conditionalFormatting sqref="D6:D14">
    <cfRule type="expression" dxfId="2" priority="2" stopIfTrue="1">
      <formula>AND(NOT(ISBLANK(E6)),E6=2)</formula>
    </cfRule>
  </conditionalFormatting>
  <conditionalFormatting sqref="F6:F14">
    <cfRule type="cellIs" dxfId="1" priority="3" stopIfTrue="1" operator="equal">
      <formula>"Stärke"</formula>
    </cfRule>
    <cfRule type="cellIs" dxfId="0" priority="4" stopIfTrue="1" operator="equal">
      <formula>"Schwäche"</formula>
    </cfRule>
  </conditionalFormatting>
  <hyperlinks>
    <hyperlink ref="F1" location="Basisdaten!A1" display="Basisdaten!A1"/>
    <hyperlink ref="F2" location="StärkenSchwächen!A1" display="StärkenSchwächen!A1"/>
  </hyperlinks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Group Box 1">
              <controlPr defaultSize="0" autoFill="0" autoPict="0">
                <anchor moveWithCells="1">
                  <from>
                    <xdr:col>2</xdr:col>
                    <xdr:colOff>0</xdr:colOff>
                    <xdr:row>6</xdr:row>
                    <xdr:rowOff>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Option Button 2">
              <controlPr defaultSize="0" autoFill="0" autoLine="0" autoPict="0">
                <anchor moveWithCells="1">
                  <from>
                    <xdr:col>2</xdr:col>
                    <xdr:colOff>57150</xdr:colOff>
                    <xdr:row>6</xdr:row>
                    <xdr:rowOff>9525</xdr:rowOff>
                  </from>
                  <to>
                    <xdr:col>2</xdr:col>
                    <xdr:colOff>476250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Option Button 3">
              <controlPr defaultSize="0" autoFill="0" autoLine="0" autoPict="0">
                <anchor moveWithCells="1">
                  <from>
                    <xdr:col>3</xdr:col>
                    <xdr:colOff>38100</xdr:colOff>
                    <xdr:row>6</xdr:row>
                    <xdr:rowOff>28575</xdr:rowOff>
                  </from>
                  <to>
                    <xdr:col>3</xdr:col>
                    <xdr:colOff>552450</xdr:colOff>
                    <xdr:row>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7" name="Group Box 13">
              <controlPr defaultSize="0" autoFill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8" name="Option Button 14">
              <controlPr defaultSize="0" autoFill="0" autoLine="0" autoPict="0">
                <anchor moveWithCells="1">
                  <from>
                    <xdr:col>2</xdr:col>
                    <xdr:colOff>57150</xdr:colOff>
                    <xdr:row>10</xdr:row>
                    <xdr:rowOff>47625</xdr:rowOff>
                  </from>
                  <to>
                    <xdr:col>2</xdr:col>
                    <xdr:colOff>476250</xdr:colOff>
                    <xdr:row>10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9" name="Option Button 15">
              <controlPr defaultSize="0" autoFill="0" autoLine="0" autoPict="0">
                <anchor moveWithCells="1">
                  <from>
                    <xdr:col>3</xdr:col>
                    <xdr:colOff>38100</xdr:colOff>
                    <xdr:row>10</xdr:row>
                    <xdr:rowOff>38100</xdr:rowOff>
                  </from>
                  <to>
                    <xdr:col>3</xdr:col>
                    <xdr:colOff>552450</xdr:colOff>
                    <xdr:row>10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0" name="Group Box 16">
              <controlPr defaultSize="0" autoFill="0" autoPict="0">
                <anchor moveWithCells="1">
                  <from>
                    <xdr:col>2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11" name="Option Button 17">
              <controlPr defaultSize="0" autoFill="0" autoLine="0" autoPict="0">
                <anchor moveWithCells="1">
                  <from>
                    <xdr:col>2</xdr:col>
                    <xdr:colOff>57150</xdr:colOff>
                    <xdr:row>8</xdr:row>
                    <xdr:rowOff>0</xdr:rowOff>
                  </from>
                  <to>
                    <xdr:col>2</xdr:col>
                    <xdr:colOff>476250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12" name="Option Button 18">
              <controlPr defaultSize="0" autoFill="0" autoLine="0" autoPict="0">
                <anchor moveWithCells="1">
                  <from>
                    <xdr:col>3</xdr:col>
                    <xdr:colOff>38100</xdr:colOff>
                    <xdr:row>8</xdr:row>
                    <xdr:rowOff>19050</xdr:rowOff>
                  </from>
                  <to>
                    <xdr:col>3</xdr:col>
                    <xdr:colOff>552450</xdr:colOff>
                    <xdr:row>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13" name="Group Box 19">
              <controlPr defaultSize="0" autoFill="0" autoPict="0">
                <anchor moveWithCells="1">
                  <from>
                    <xdr:col>2</xdr:col>
                    <xdr:colOff>0</xdr:colOff>
                    <xdr:row>9</xdr:row>
                    <xdr:rowOff>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14" name="Option Button 20">
              <controlPr defaultSize="0" autoFill="0" autoLine="0" autoPict="0">
                <anchor moveWithCells="1">
                  <from>
                    <xdr:col>2</xdr:col>
                    <xdr:colOff>57150</xdr:colOff>
                    <xdr:row>9</xdr:row>
                    <xdr:rowOff>0</xdr:rowOff>
                  </from>
                  <to>
                    <xdr:col>2</xdr:col>
                    <xdr:colOff>476250</xdr:colOff>
                    <xdr:row>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5" r:id="rId15" name="Option Button 21">
              <controlPr defaultSize="0" autoFill="0" autoLine="0" autoPict="0">
                <anchor moveWithCells="1">
                  <from>
                    <xdr:col>3</xdr:col>
                    <xdr:colOff>38100</xdr:colOff>
                    <xdr:row>9</xdr:row>
                    <xdr:rowOff>19050</xdr:rowOff>
                  </from>
                  <to>
                    <xdr:col>3</xdr:col>
                    <xdr:colOff>552450</xdr:colOff>
                    <xdr:row>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2" r:id="rId16" name="Group Box 28">
              <controlPr defaultSize="0" autoFill="0" autoPict="0">
                <anchor moveWithCells="1">
                  <from>
                    <xdr:col>2</xdr:col>
                    <xdr:colOff>0</xdr:colOff>
                    <xdr:row>12</xdr:row>
                    <xdr:rowOff>0</xdr:rowOff>
                  </from>
                  <to>
                    <xdr:col>4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3" r:id="rId17" name="Option Button 29">
              <controlPr defaultSize="0" autoFill="0" autoLine="0" autoPict="0">
                <anchor moveWithCells="1">
                  <from>
                    <xdr:col>2</xdr:col>
                    <xdr:colOff>57150</xdr:colOff>
                    <xdr:row>12</xdr:row>
                    <xdr:rowOff>0</xdr:rowOff>
                  </from>
                  <to>
                    <xdr:col>2</xdr:col>
                    <xdr:colOff>476250</xdr:colOff>
                    <xdr:row>12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4" r:id="rId18" name="Option Button 30">
              <controlPr defaultSize="0" autoFill="0" autoLine="0" autoPict="0">
                <anchor moveWithCells="1">
                  <from>
                    <xdr:col>3</xdr:col>
                    <xdr:colOff>38100</xdr:colOff>
                    <xdr:row>12</xdr:row>
                    <xdr:rowOff>19050</xdr:rowOff>
                  </from>
                  <to>
                    <xdr:col>3</xdr:col>
                    <xdr:colOff>552450</xdr:colOff>
                    <xdr:row>12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5" r:id="rId19" name="Group Box 31">
              <controlPr defaultSize="0" autoFill="0" autoPict="0">
                <anchor mov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4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6" r:id="rId20" name="Option Button 32">
              <controlPr defaultSize="0" autoFill="0" autoLine="0" autoPict="0">
                <anchor moveWithCells="1">
                  <from>
                    <xdr:col>2</xdr:col>
                    <xdr:colOff>57150</xdr:colOff>
                    <xdr:row>13</xdr:row>
                    <xdr:rowOff>0</xdr:rowOff>
                  </from>
                  <to>
                    <xdr:col>2</xdr:col>
                    <xdr:colOff>476250</xdr:colOff>
                    <xdr:row>13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7" r:id="rId21" name="Option Button 33">
              <controlPr defaultSize="0" autoFill="0" autoLine="0" autoPict="0">
                <anchor moveWithCells="1">
                  <from>
                    <xdr:col>3</xdr:col>
                    <xdr:colOff>38100</xdr:colOff>
                    <xdr:row>13</xdr:row>
                    <xdr:rowOff>19050</xdr:rowOff>
                  </from>
                  <to>
                    <xdr:col>3</xdr:col>
                    <xdr:colOff>552450</xdr:colOff>
                    <xdr:row>13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8" r:id="rId22" name="Group Box 34">
              <controlPr defaultSize="0" autoFill="0" autoPict="0">
                <anchor moveWithCells="1">
                  <from>
                    <xdr:col>2</xdr:col>
                    <xdr:colOff>0</xdr:colOff>
                    <xdr:row>5</xdr:row>
                    <xdr:rowOff>0</xdr:rowOff>
                  </from>
                  <to>
                    <xdr:col>4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9" r:id="rId23" name="Option Button 35">
              <controlPr defaultSize="0" autoFill="0" autoLine="0" autoPict="0">
                <anchor moveWithCells="1">
                  <from>
                    <xdr:col>2</xdr:col>
                    <xdr:colOff>57150</xdr:colOff>
                    <xdr:row>5</xdr:row>
                    <xdr:rowOff>47625</xdr:rowOff>
                  </from>
                  <to>
                    <xdr:col>2</xdr:col>
                    <xdr:colOff>476250</xdr:colOff>
                    <xdr:row>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0" r:id="rId24" name="Option Button 36">
              <controlPr defaultSize="0" autoFill="0" autoLine="0" autoPict="0">
                <anchor moveWithCells="1">
                  <from>
                    <xdr:col>3</xdr:col>
                    <xdr:colOff>38100</xdr:colOff>
                    <xdr:row>5</xdr:row>
                    <xdr:rowOff>66675</xdr:rowOff>
                  </from>
                  <to>
                    <xdr:col>3</xdr:col>
                    <xdr:colOff>552450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1" r:id="rId25" name="Group Box 37">
              <controlPr defaultSize="0" autoFill="0" autoPict="0">
                <anchor moveWithCells="1">
                  <from>
                    <xdr:col>2</xdr:col>
                    <xdr:colOff>0</xdr:colOff>
                    <xdr:row>7</xdr:row>
                    <xdr:rowOff>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2" r:id="rId26" name="Option Button 38">
              <controlPr defaultSize="0" autoFill="0" autoLine="0" autoPict="0">
                <anchor moveWithCells="1">
                  <from>
                    <xdr:col>2</xdr:col>
                    <xdr:colOff>57150</xdr:colOff>
                    <xdr:row>7</xdr:row>
                    <xdr:rowOff>9525</xdr:rowOff>
                  </from>
                  <to>
                    <xdr:col>2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3" r:id="rId27" name="Option Button 39">
              <controlPr defaultSize="0" autoFill="0" autoLine="0" autoPict="0">
                <anchor moveWithCells="1">
                  <from>
                    <xdr:col>3</xdr:col>
                    <xdr:colOff>38100</xdr:colOff>
                    <xdr:row>7</xdr:row>
                    <xdr:rowOff>28575</xdr:rowOff>
                  </from>
                  <to>
                    <xdr:col>3</xdr:col>
                    <xdr:colOff>552450</xdr:colOff>
                    <xdr:row>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4" r:id="rId28" name="Group Box 40">
              <controlPr defaultSize="0" autoFill="0" autoPict="0">
                <anchor moveWithCells="1">
                  <from>
                    <xdr:col>2</xdr:col>
                    <xdr:colOff>0</xdr:colOff>
                    <xdr:row>11</xdr:row>
                    <xdr:rowOff>0</xdr:rowOff>
                  </from>
                  <to>
                    <xdr:col>4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5" r:id="rId29" name="Option Button 41">
              <controlPr defaultSize="0" autoFill="0" autoLine="0" autoPict="0">
                <anchor moveWithCells="1">
                  <from>
                    <xdr:col>2</xdr:col>
                    <xdr:colOff>57150</xdr:colOff>
                    <xdr:row>11</xdr:row>
                    <xdr:rowOff>47625</xdr:rowOff>
                  </from>
                  <to>
                    <xdr:col>2</xdr:col>
                    <xdr:colOff>476250</xdr:colOff>
                    <xdr:row>11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6" r:id="rId30" name="Option Button 42">
              <controlPr defaultSize="0" autoFill="0" autoLine="0" autoPict="0">
                <anchor moveWithCells="1">
                  <from>
                    <xdr:col>3</xdr:col>
                    <xdr:colOff>38100</xdr:colOff>
                    <xdr:row>11</xdr:row>
                    <xdr:rowOff>38100</xdr:rowOff>
                  </from>
                  <to>
                    <xdr:col>3</xdr:col>
                    <xdr:colOff>552450</xdr:colOff>
                    <xdr:row>11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13</vt:i4>
      </vt:variant>
      <vt:variant>
        <vt:lpstr>Benannte Bereiche</vt:lpstr>
      </vt:variant>
      <vt:variant>
        <vt:i4>23</vt:i4>
      </vt:variant>
    </vt:vector>
  </HeadingPairs>
  <TitlesOfParts>
    <vt:vector size="36" baseType="lpstr">
      <vt:lpstr>Basisdaten</vt:lpstr>
      <vt:lpstr>StärkenSchwächen</vt:lpstr>
      <vt:lpstr>StärkenSchwächen Diagramme</vt:lpstr>
      <vt:lpstr>Umweltanalyse</vt:lpstr>
      <vt:lpstr>SWOT</vt:lpstr>
      <vt:lpstr>PivotTables</vt:lpstr>
      <vt:lpstr>Leitfragen StrategiePlanung</vt:lpstr>
      <vt:lpstr>Leitfragen MarktKunden</vt:lpstr>
      <vt:lpstr>Leitfragen Besch_Prod_Tech</vt:lpstr>
      <vt:lpstr>Leitfragen Finanzsicht</vt:lpstr>
      <vt:lpstr>Leitfragen OrgInformation</vt:lpstr>
      <vt:lpstr>Leitfragen PersonalFührung</vt:lpstr>
      <vt:lpstr>Leitfragen Unternehmenskultur</vt:lpstr>
      <vt:lpstr>Analysebereiche</vt:lpstr>
      <vt:lpstr>Analysebereiche2</vt:lpstr>
      <vt:lpstr>Bewertungen</vt:lpstr>
      <vt:lpstr>Bewertungsskala</vt:lpstr>
      <vt:lpstr>Chancen</vt:lpstr>
      <vt:lpstr>ChancenGefahren</vt:lpstr>
      <vt:lpstr>Gefahren</vt:lpstr>
      <vt:lpstr>Gewichtung</vt:lpstr>
      <vt:lpstr>Schwächen</vt:lpstr>
      <vt:lpstr>SOS</vt:lpstr>
      <vt:lpstr>Stärken</vt:lpstr>
      <vt:lpstr>'StärkenSchwächen Diagramme'!StärkenSchwächen</vt:lpstr>
      <vt:lpstr>StärkenSchwächen</vt:lpstr>
      <vt:lpstr>STS</vt:lpstr>
      <vt:lpstr>Umwelt1</vt:lpstr>
      <vt:lpstr>Umwelt2</vt:lpstr>
      <vt:lpstr>Umwelt3</vt:lpstr>
      <vt:lpstr>Umwelt4</vt:lpstr>
      <vt:lpstr>Umwelt5</vt:lpstr>
      <vt:lpstr>Umweltanalysebereiche</vt:lpstr>
      <vt:lpstr>Wettbewerber</vt:lpstr>
      <vt:lpstr>WOS</vt:lpstr>
      <vt:lpstr>WTS</vt:lpstr>
    </vt:vector>
  </TitlesOfParts>
  <Company>Markt + Technik Verlag München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Kapitel 3: SWOT-Analyse</dc:title>
  <dc:subject>Das große Excel-Handbuch für Controller</dc:subject>
  <dc:creator>Ignatz Schels, Dr. Uwe M. Seidel</dc:creator>
  <cp:lastModifiedBy>Juliane Hilse</cp:lastModifiedBy>
  <dcterms:created xsi:type="dcterms:W3CDTF">2009-07-07T16:39:22Z</dcterms:created>
  <dcterms:modified xsi:type="dcterms:W3CDTF">2016-06-01T08:12:44Z</dcterms:modified>
</cp:coreProperties>
</file>