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18795" windowHeight="12210"/>
  </bookViews>
  <sheets>
    <sheet name="Datenbasis" sheetId="1" r:id="rId1"/>
    <sheet name="Kriterien und Gewichtung" sheetId="4" r:id="rId2"/>
    <sheet name="Bewertung - Nutzwert" sheetId="7" r:id="rId3"/>
    <sheet name="Alt 1" sheetId="8" r:id="rId4"/>
    <sheet name="Alt 2" sheetId="9" r:id="rId5"/>
    <sheet name="Alt 3" sheetId="11" r:id="rId6"/>
    <sheet name="Alt 4" sheetId="12" r:id="rId7"/>
    <sheet name="Alt 5" sheetId="13" r:id="rId8"/>
    <sheet name="Grafik-Daten" sheetId="14" r:id="rId9"/>
  </sheets>
  <externalReferences>
    <externalReference r:id="rId10"/>
  </externalReferences>
  <definedNames>
    <definedName name="Ausgewählte_Kriterien">'[1]Bewertung der Kriterien'!$A$2:$A$8</definedName>
    <definedName name="_xlnm.Print_Area" localSheetId="3">'Alt 1'!$A$1:$G$44</definedName>
    <definedName name="_xlnm.Print_Area" localSheetId="4">'Alt 2'!$A$1:$G$44</definedName>
    <definedName name="_xlnm.Print_Area" localSheetId="5">'Alt 3'!$A$1:$G$44</definedName>
    <definedName name="_xlnm.Print_Area" localSheetId="6">'Alt 4'!$A$1:$G$44</definedName>
    <definedName name="_xlnm.Print_Area" localSheetId="7">'Alt 5'!$A$1:$G$44</definedName>
    <definedName name="_xlnm.Print_Area" localSheetId="0">Datenbasis!$A$1:$E$30</definedName>
    <definedName name="_xlnm.Print_Titles" localSheetId="2">'Bewertung - Nutzwert'!$1:$2</definedName>
    <definedName name="_xlnm.Print_Titles" localSheetId="1">'Kriterien und Gewichtung'!$1:$2</definedName>
  </definedNames>
  <calcPr calcId="145621"/>
</workbook>
</file>

<file path=xl/calcChain.xml><?xml version="1.0" encoding="utf-8"?>
<calcChain xmlns="http://schemas.openxmlformats.org/spreadsheetml/2006/main">
  <c r="G10" i="7" l="1"/>
  <c r="B15" i="7" l="1"/>
  <c r="B14" i="7"/>
  <c r="B13" i="7"/>
  <c r="B12" i="7"/>
  <c r="B11" i="7"/>
  <c r="G1" i="9" l="1"/>
  <c r="G2" i="9"/>
  <c r="G1" i="11"/>
  <c r="G2" i="11"/>
  <c r="G1" i="12"/>
  <c r="G2" i="12"/>
  <c r="G1" i="13"/>
  <c r="G2" i="13"/>
  <c r="G1" i="8"/>
  <c r="G2" i="8"/>
  <c r="F2" i="9"/>
  <c r="F2" i="11"/>
  <c r="F2" i="12"/>
  <c r="F2" i="13"/>
  <c r="F2" i="8"/>
  <c r="F1" i="9"/>
  <c r="F1" i="11"/>
  <c r="F1" i="12"/>
  <c r="F1" i="13"/>
  <c r="F1" i="8"/>
  <c r="A3" i="9"/>
  <c r="A3" i="11"/>
  <c r="A3" i="12"/>
  <c r="A3" i="13"/>
  <c r="A3" i="8"/>
  <c r="A2" i="9"/>
  <c r="A2" i="11"/>
  <c r="A2" i="12"/>
  <c r="A2" i="13"/>
  <c r="A2" i="8"/>
  <c r="A1" i="9"/>
  <c r="A1" i="11"/>
  <c r="A1" i="12"/>
  <c r="A1" i="13"/>
  <c r="A1" i="8"/>
  <c r="C2" i="7"/>
  <c r="D2" i="4"/>
  <c r="M25" i="4" l="1"/>
  <c r="M26" i="4"/>
  <c r="M27" i="4"/>
  <c r="M28" i="4"/>
  <c r="B24" i="4"/>
  <c r="M24" i="4" s="1"/>
  <c r="G24" i="4"/>
  <c r="F23" i="4"/>
  <c r="C20" i="4"/>
  <c r="C21" i="4"/>
  <c r="G25" i="4"/>
  <c r="H25" i="4"/>
  <c r="F24" i="4"/>
  <c r="E24" i="4"/>
  <c r="D24" i="4"/>
  <c r="C24" i="4"/>
  <c r="C23" i="4"/>
  <c r="D23" i="4"/>
  <c r="E23" i="4"/>
  <c r="E22" i="4"/>
  <c r="D22" i="4"/>
  <c r="C22" i="4"/>
  <c r="D21" i="4"/>
  <c r="C25" i="4"/>
  <c r="C26" i="4"/>
  <c r="C27" i="4"/>
  <c r="C28" i="4"/>
  <c r="D25" i="4"/>
  <c r="D26" i="4"/>
  <c r="D27" i="4"/>
  <c r="D28" i="4"/>
  <c r="E25" i="4"/>
  <c r="F25" i="4"/>
  <c r="E26" i="4"/>
  <c r="E27" i="4"/>
  <c r="E28" i="4"/>
  <c r="F26" i="4"/>
  <c r="F27" i="4"/>
  <c r="F28" i="4"/>
  <c r="G26" i="4"/>
  <c r="G27" i="4"/>
  <c r="G28" i="4"/>
  <c r="H26" i="4"/>
  <c r="H27" i="4"/>
  <c r="H28" i="4"/>
  <c r="I26" i="4"/>
  <c r="I27" i="4"/>
  <c r="I28" i="4"/>
  <c r="J27" i="4"/>
  <c r="J28" i="4"/>
  <c r="K28" i="4"/>
  <c r="B19" i="4"/>
  <c r="B20" i="4"/>
  <c r="B21" i="4"/>
  <c r="B22" i="4"/>
  <c r="B23" i="4"/>
  <c r="B25" i="4"/>
  <c r="B26" i="4"/>
  <c r="B27" i="4"/>
  <c r="B28" i="4"/>
  <c r="M23" i="4" l="1"/>
  <c r="G3" i="14"/>
  <c r="A4" i="14"/>
  <c r="B4" i="14"/>
  <c r="E3" i="14"/>
  <c r="F3" i="14"/>
  <c r="B3" i="14"/>
  <c r="C3" i="14"/>
  <c r="D3" i="14"/>
  <c r="L2" i="7"/>
  <c r="M2" i="7"/>
  <c r="M1" i="7"/>
  <c r="L1" i="7"/>
  <c r="C1" i="7"/>
  <c r="N2" i="4"/>
  <c r="O2" i="4"/>
  <c r="O1" i="4"/>
  <c r="N1" i="4"/>
  <c r="D1" i="4"/>
  <c r="L5" i="7"/>
  <c r="G4" i="14" s="1"/>
  <c r="J5" i="7"/>
  <c r="F4" i="14" s="1"/>
  <c r="H5" i="7"/>
  <c r="E4" i="14" s="1"/>
  <c r="F5" i="7"/>
  <c r="D4" i="14" s="1"/>
  <c r="D5" i="7"/>
  <c r="C4" i="14" s="1"/>
  <c r="A7" i="7"/>
  <c r="A6" i="14" s="1"/>
  <c r="B7" i="7"/>
  <c r="B6" i="14" s="1"/>
  <c r="A8" i="7"/>
  <c r="A7" i="14" s="1"/>
  <c r="B8" i="7"/>
  <c r="B7" i="14" s="1"/>
  <c r="A9" i="7"/>
  <c r="A8" i="14" s="1"/>
  <c r="B9" i="7"/>
  <c r="B8" i="14" s="1"/>
  <c r="A10" i="7"/>
  <c r="A9" i="14" s="1"/>
  <c r="B10" i="7"/>
  <c r="B9" i="14" s="1"/>
  <c r="A11" i="7"/>
  <c r="A10" i="14" s="1"/>
  <c r="B10" i="14"/>
  <c r="A12" i="7"/>
  <c r="A11" i="14" s="1"/>
  <c r="B11" i="14"/>
  <c r="A13" i="7"/>
  <c r="A12" i="14" s="1"/>
  <c r="B12" i="14"/>
  <c r="A14" i="7"/>
  <c r="A13" i="14" s="1"/>
  <c r="B13" i="14"/>
  <c r="A15" i="7"/>
  <c r="A14" i="14" s="1"/>
  <c r="B14" i="14"/>
  <c r="B6" i="7"/>
  <c r="B5" i="14" s="1"/>
  <c r="A6" i="7"/>
  <c r="A5" i="14" s="1"/>
  <c r="A20" i="4"/>
  <c r="A38" i="4" s="1"/>
  <c r="A21" i="4"/>
  <c r="A39" i="4" s="1"/>
  <c r="A22" i="4"/>
  <c r="A40" i="4" s="1"/>
  <c r="A23" i="4"/>
  <c r="A41" i="4" s="1"/>
  <c r="A24" i="4"/>
  <c r="A42" i="4" s="1"/>
  <c r="A25" i="4"/>
  <c r="A43" i="4" s="1"/>
  <c r="A26" i="4"/>
  <c r="A44" i="4" s="1"/>
  <c r="A27" i="4"/>
  <c r="A45" i="4" s="1"/>
  <c r="A28" i="4"/>
  <c r="A46" i="4" s="1"/>
  <c r="A19" i="4"/>
  <c r="C18" i="4" s="1"/>
  <c r="B38" i="4"/>
  <c r="B39" i="4"/>
  <c r="B40" i="4"/>
  <c r="B41" i="4"/>
  <c r="B42" i="4"/>
  <c r="B43" i="4"/>
  <c r="B44" i="4"/>
  <c r="B45" i="4"/>
  <c r="B46" i="4"/>
  <c r="B37" i="4"/>
  <c r="A5" i="9"/>
  <c r="B7" i="9"/>
  <c r="B7" i="11"/>
  <c r="A5" i="11"/>
  <c r="B7" i="12"/>
  <c r="A5" i="12"/>
  <c r="B7" i="13"/>
  <c r="A5" i="13"/>
  <c r="A5" i="8"/>
  <c r="B7" i="8"/>
  <c r="M20" i="4"/>
  <c r="M19" i="4"/>
  <c r="D18" i="4"/>
  <c r="E18" i="4"/>
  <c r="F18" i="4"/>
  <c r="G18" i="4"/>
  <c r="H18" i="4"/>
  <c r="I18" i="4"/>
  <c r="J18" i="4"/>
  <c r="K18" i="4"/>
  <c r="L18" i="4"/>
  <c r="A37" i="4" l="1"/>
  <c r="M21" i="4"/>
  <c r="M22" i="4"/>
  <c r="M29" i="4" l="1"/>
  <c r="N20" i="4" l="1"/>
  <c r="N23" i="4"/>
  <c r="N19" i="4"/>
  <c r="C6" i="7" s="1"/>
  <c r="N22" i="4"/>
  <c r="C9" i="7" s="1"/>
  <c r="E9" i="7" s="1"/>
  <c r="C8" i="14" s="1"/>
  <c r="N21" i="4"/>
  <c r="C8" i="7" s="1"/>
  <c r="N24" i="4"/>
  <c r="C11" i="7" s="1"/>
  <c r="N29" i="4"/>
  <c r="N27" i="4"/>
  <c r="C14" i="7" s="1"/>
  <c r="C7" i="7"/>
  <c r="N26" i="4"/>
  <c r="C13" i="7" s="1"/>
  <c r="N28" i="4"/>
  <c r="C15" i="7" s="1"/>
  <c r="C10" i="7"/>
  <c r="N25" i="4"/>
  <c r="C12" i="7" s="1"/>
  <c r="E8" i="7" l="1"/>
  <c r="C7" i="14" s="1"/>
  <c r="G8" i="7"/>
  <c r="D7" i="14" s="1"/>
  <c r="K8" i="7"/>
  <c r="F7" i="14" s="1"/>
  <c r="I8" i="7"/>
  <c r="E7" i="14" s="1"/>
  <c r="M8" i="7"/>
  <c r="G7" i="14" s="1"/>
  <c r="I9" i="7"/>
  <c r="E8" i="14" s="1"/>
  <c r="G9" i="7"/>
  <c r="D8" i="14" s="1"/>
  <c r="K9" i="7"/>
  <c r="F8" i="14" s="1"/>
  <c r="M9" i="7"/>
  <c r="G8" i="14" s="1"/>
  <c r="I10" i="7"/>
  <c r="E9" i="14" s="1"/>
  <c r="M10" i="7"/>
  <c r="G9" i="14" s="1"/>
  <c r="D9" i="14"/>
  <c r="K10" i="7"/>
  <c r="F9" i="14" s="1"/>
  <c r="E10" i="7"/>
  <c r="C9" i="14" s="1"/>
  <c r="G15" i="7"/>
  <c r="D14" i="14" s="1"/>
  <c r="E15" i="7"/>
  <c r="C14" i="14" s="1"/>
  <c r="K15" i="7"/>
  <c r="F14" i="14" s="1"/>
  <c r="I15" i="7"/>
  <c r="E14" i="14" s="1"/>
  <c r="M15" i="7"/>
  <c r="G14" i="14" s="1"/>
  <c r="K6" i="7"/>
  <c r="E6" i="7"/>
  <c r="I6" i="7"/>
  <c r="G6" i="7"/>
  <c r="M6" i="7"/>
  <c r="K12" i="7"/>
  <c r="F11" i="14" s="1"/>
  <c r="E12" i="7"/>
  <c r="C11" i="14" s="1"/>
  <c r="I12" i="7"/>
  <c r="E11" i="14" s="1"/>
  <c r="M12" i="7"/>
  <c r="G11" i="14" s="1"/>
  <c r="G12" i="7"/>
  <c r="D11" i="14" s="1"/>
  <c r="K13" i="7"/>
  <c r="F12" i="14" s="1"/>
  <c r="G13" i="7"/>
  <c r="D12" i="14" s="1"/>
  <c r="M13" i="7"/>
  <c r="G12" i="14" s="1"/>
  <c r="I13" i="7"/>
  <c r="E12" i="14" s="1"/>
  <c r="E13" i="7"/>
  <c r="C12" i="14" s="1"/>
  <c r="G11" i="7"/>
  <c r="D10" i="14" s="1"/>
  <c r="I11" i="7"/>
  <c r="E10" i="14" s="1"/>
  <c r="K11" i="7"/>
  <c r="F10" i="14" s="1"/>
  <c r="M11" i="7"/>
  <c r="G10" i="14" s="1"/>
  <c r="E11" i="7"/>
  <c r="C10" i="14" s="1"/>
  <c r="G7" i="7"/>
  <c r="D6" i="14" s="1"/>
  <c r="I7" i="7"/>
  <c r="E6" i="14" s="1"/>
  <c r="K7" i="7"/>
  <c r="F6" i="14" s="1"/>
  <c r="M7" i="7"/>
  <c r="G6" i="14" s="1"/>
  <c r="E7" i="7"/>
  <c r="C6" i="14" s="1"/>
  <c r="I14" i="7"/>
  <c r="E13" i="14" s="1"/>
  <c r="E14" i="7"/>
  <c r="C13" i="14" s="1"/>
  <c r="G14" i="7"/>
  <c r="D13" i="14" s="1"/>
  <c r="M14" i="7"/>
  <c r="G13" i="14" s="1"/>
  <c r="K14" i="7"/>
  <c r="F13" i="14" s="1"/>
  <c r="D5" i="14" l="1"/>
  <c r="G16" i="7"/>
  <c r="C5" i="14"/>
  <c r="E16" i="7"/>
  <c r="G5" i="14"/>
  <c r="M16" i="7"/>
  <c r="F5" i="14"/>
  <c r="K16" i="7"/>
  <c r="E5" i="14"/>
  <c r="I16" i="7"/>
</calcChain>
</file>

<file path=xl/comments1.xml><?xml version="1.0" encoding="utf-8"?>
<comments xmlns="http://schemas.openxmlformats.org/spreadsheetml/2006/main">
  <authors>
    <author>Conny &amp; Reinhard</author>
  </authors>
  <commentList>
    <comment ref="G1" authorId="0">
      <text>
        <r>
          <rPr>
            <b/>
            <sz val="9"/>
            <color indexed="81"/>
            <rFont val="Tahoma"/>
            <family val="2"/>
          </rPr>
          <t xml:space="preserve">Cornelia Niklas:
</t>
        </r>
        <r>
          <rPr>
            <sz val="9"/>
            <color indexed="81"/>
            <rFont val="Tahoma"/>
            <family val="2"/>
          </rPr>
          <t xml:space="preserve">
Tragen Sie hier alle wesentlichen Daten ein, die zur Entscheidung beitragen.</t>
        </r>
      </text>
    </comment>
  </commentList>
</comments>
</file>

<file path=xl/comments2.xml><?xml version="1.0" encoding="utf-8"?>
<comments xmlns="http://schemas.openxmlformats.org/spreadsheetml/2006/main">
  <authors>
    <author>Conny &amp; Reinhard</author>
    <author>Cornelia Niklas</author>
  </authors>
  <commentList>
    <comment ref="Q1" authorId="0">
      <text>
        <r>
          <rPr>
            <b/>
            <sz val="9"/>
            <color indexed="81"/>
            <rFont val="Tahoma"/>
            <family val="2"/>
          </rPr>
          <t xml:space="preserve">Cornelia Niklas:
</t>
        </r>
        <r>
          <rPr>
            <sz val="9"/>
            <color indexed="81"/>
            <rFont val="Tahoma"/>
            <family val="2"/>
          </rPr>
          <t xml:space="preserve">
Auf diesen drei Seiten im Tabellenblatt werden die Entscheidungskriterien definiert. 
</t>
        </r>
        <r>
          <rPr>
            <b/>
            <sz val="9"/>
            <color indexed="81"/>
            <rFont val="Tahoma"/>
            <family val="2"/>
          </rPr>
          <t>Seite 1:</t>
        </r>
        <r>
          <rPr>
            <sz val="9"/>
            <color indexed="81"/>
            <rFont val="Tahoma"/>
            <family val="2"/>
          </rPr>
          <t xml:space="preserve"> 
Darstellung und Auswahl der wichtigsten Kriterien, Aussschluss der K.O.-Kriterien
</t>
        </r>
        <r>
          <rPr>
            <b/>
            <sz val="9"/>
            <color indexed="81"/>
            <rFont val="Tahoma"/>
            <family val="2"/>
          </rPr>
          <t>Seite 2:</t>
        </r>
        <r>
          <rPr>
            <sz val="9"/>
            <color indexed="81"/>
            <rFont val="Tahoma"/>
            <family val="2"/>
          </rPr>
          <t xml:space="preserve"> 
Vergleich miteinander ergibt die Gewichtungsfaktoren
</t>
        </r>
        <r>
          <rPr>
            <b/>
            <sz val="9"/>
            <color indexed="81"/>
            <rFont val="Tahoma"/>
            <family val="2"/>
          </rPr>
          <t>Seite 3:</t>
        </r>
        <r>
          <rPr>
            <sz val="9"/>
            <color indexed="81"/>
            <rFont val="Tahoma"/>
            <family val="2"/>
          </rPr>
          <t xml:space="preserve">
Definieren der einzelnen Punkte in der Bewertungsskala</t>
        </r>
      </text>
    </comment>
    <comment ref="C4" authorId="1">
      <text>
        <r>
          <rPr>
            <b/>
            <sz val="8"/>
            <color indexed="81"/>
            <rFont val="Tahoma"/>
            <family val="2"/>
          </rPr>
          <t>Cornelia Niklas:</t>
        </r>
        <r>
          <rPr>
            <sz val="8"/>
            <color indexed="81"/>
            <rFont val="Tahoma"/>
            <family val="2"/>
          </rPr>
          <t xml:space="preserve">
sehr hoch
hoch 
mittel
gering
</t>
        </r>
      </text>
    </comment>
    <comment ref="D49" authorId="0">
      <text>
        <r>
          <rPr>
            <b/>
            <sz val="9"/>
            <color indexed="81"/>
            <rFont val="Tahoma"/>
            <charset val="1"/>
          </rPr>
          <t>Cornelia Niklas:</t>
        </r>
        <r>
          <rPr>
            <sz val="9"/>
            <color indexed="81"/>
            <rFont val="Tahoma"/>
            <charset val="1"/>
          </rPr>
          <t xml:space="preserve">
Die Werte werden in der Bewertungstabelle im folgenden Reiter als Prüfung hinterlegt</t>
        </r>
      </text>
    </comment>
  </commentList>
</comments>
</file>

<file path=xl/comments3.xml><?xml version="1.0" encoding="utf-8"?>
<comments xmlns="http://schemas.openxmlformats.org/spreadsheetml/2006/main">
  <authors>
    <author>Conny &amp; Reinhard</author>
  </authors>
  <commentList>
    <comment ref="O1" authorId="0">
      <text>
        <r>
          <rPr>
            <b/>
            <sz val="9"/>
            <color indexed="81"/>
            <rFont val="Tahoma"/>
            <family val="2"/>
          </rPr>
          <t xml:space="preserve">Cornelia Niklas:
</t>
        </r>
        <r>
          <rPr>
            <sz val="9"/>
            <color indexed="81"/>
            <rFont val="Tahoma"/>
            <family val="2"/>
          </rPr>
          <t xml:space="preserve">
Auf diesen beiden Seiten im Tabellenblatt werden die Nutzwerte berechnet.
</t>
        </r>
        <r>
          <rPr>
            <b/>
            <sz val="9"/>
            <color indexed="81"/>
            <rFont val="Tahoma"/>
            <family val="2"/>
          </rPr>
          <t xml:space="preserve">Seite 1: </t>
        </r>
        <r>
          <rPr>
            <sz val="9"/>
            <color indexed="81"/>
            <rFont val="Tahoma"/>
            <family val="2"/>
          </rPr>
          <t xml:space="preserve">
In der Tabelle wird die Bewertung eingetragen, pro Kriterium erhält jede Alternative die Punkte, die sie anhand der Skala "verdient". 
Daraus ergeben sich die Teilnutzwerte. 
Das Ergebnis ist der </t>
        </r>
        <r>
          <rPr>
            <b/>
            <sz val="9"/>
            <color indexed="81"/>
            <rFont val="Tahoma"/>
            <family val="2"/>
          </rPr>
          <t>Nutzwert</t>
        </r>
        <r>
          <rPr>
            <sz val="9"/>
            <color indexed="81"/>
            <rFont val="Tahoma"/>
            <family val="2"/>
          </rPr>
          <t xml:space="preserve"> (Zeile 16)
</t>
        </r>
        <r>
          <rPr>
            <b/>
            <sz val="9"/>
            <color indexed="81"/>
            <rFont val="Tahoma"/>
            <family val="2"/>
          </rPr>
          <t xml:space="preserve">Seite 2: </t>
        </r>
        <r>
          <rPr>
            <sz val="9"/>
            <color indexed="81"/>
            <rFont val="Tahoma"/>
            <family val="2"/>
          </rPr>
          <t xml:space="preserve">
Grafische Darstellung des Ergebnisses. 
Im Beispiel wurden die Kriterienzeilen entfernt, die nicht belegt sind. </t>
        </r>
      </text>
    </comment>
  </commentList>
</comments>
</file>

<file path=xl/sharedStrings.xml><?xml version="1.0" encoding="utf-8"?>
<sst xmlns="http://schemas.openxmlformats.org/spreadsheetml/2006/main" count="139" uniqueCount="106">
  <si>
    <t>Datenbasis für die Nutzwertanalyse</t>
  </si>
  <si>
    <t xml:space="preserve">Nr. </t>
  </si>
  <si>
    <t>Kriterium</t>
  </si>
  <si>
    <t xml:space="preserve">Kriterien für die Entscheidung </t>
  </si>
  <si>
    <t>Summen</t>
  </si>
  <si>
    <t>Ermittlung der Nutzwerte</t>
  </si>
  <si>
    <t>Bemerkung</t>
  </si>
  <si>
    <t>Datum:</t>
  </si>
  <si>
    <t>Version:</t>
  </si>
  <si>
    <t>Zeitlimits:</t>
  </si>
  <si>
    <t>Alternativen</t>
  </si>
  <si>
    <t>Alternative 1:</t>
  </si>
  <si>
    <t>Alternative 2:</t>
  </si>
  <si>
    <t>Alternative 3:</t>
  </si>
  <si>
    <t>Alternative 4:</t>
  </si>
  <si>
    <t>Alternative 5:</t>
  </si>
  <si>
    <t>Kurzbenennung:</t>
  </si>
  <si>
    <t>Beschreibung:</t>
  </si>
  <si>
    <t>Projekt:</t>
  </si>
  <si>
    <t xml:space="preserve">Zielsetzung: </t>
  </si>
  <si>
    <t>wichtiger im Vergleich zum Kriterium x = 2 Punkte</t>
  </si>
  <si>
    <t>weniger wichtig als Kriterium x = 0</t>
  </si>
  <si>
    <t>Ermittlung der Gewichtungsfaktoren</t>
  </si>
  <si>
    <t>hoch</t>
  </si>
  <si>
    <t>sehr hoch</t>
  </si>
  <si>
    <t>Kostenbudget:</t>
  </si>
  <si>
    <t>Legende:</t>
  </si>
  <si>
    <t>Faktor</t>
  </si>
  <si>
    <t>Tabelle der Entscheidungskriterien</t>
  </si>
  <si>
    <t>gut
(6-8 Punkte)</t>
  </si>
  <si>
    <t>mittel
(3-5 Punkte)</t>
  </si>
  <si>
    <t>schlecht 
(0-2 Punkte)</t>
  </si>
  <si>
    <t>Bewertung</t>
  </si>
  <si>
    <t>Erläuterungen:</t>
  </si>
  <si>
    <t>Gewichtungs- faktor</t>
  </si>
  <si>
    <t>Teil-Nutzwert</t>
  </si>
  <si>
    <t xml:space="preserve">Bewertungsskala </t>
  </si>
  <si>
    <t>min.</t>
  </si>
  <si>
    <t>max</t>
  </si>
  <si>
    <t>Ergebnis</t>
  </si>
  <si>
    <t>Bewertung
nach Krit.</t>
  </si>
  <si>
    <t>Angebotsdaten:</t>
  </si>
  <si>
    <t>Bewertung der Alternativen</t>
  </si>
  <si>
    <t>Daten für Grafik</t>
  </si>
  <si>
    <t>Tabelle der Zielerfüllungsfaktoren</t>
  </si>
  <si>
    <t>-</t>
  </si>
  <si>
    <t>Das Unternehmen ist unabhängig von einem ERP-Hersteller</t>
  </si>
  <si>
    <t>Erfahrung, Kompetenz der einzusetzenden Berater</t>
  </si>
  <si>
    <t>Geschätzte Laufzeit des Projekts</t>
  </si>
  <si>
    <t>Wichtig-keit</t>
  </si>
  <si>
    <t>Wert</t>
  </si>
  <si>
    <t>sehr schlecht bis schlecht</t>
  </si>
  <si>
    <t>keine bis wenig</t>
  </si>
  <si>
    <t>mehr als 6 Monate</t>
  </si>
  <si>
    <t>bis 4 Monate</t>
  </si>
  <si>
    <t>5-6 Monate</t>
  </si>
  <si>
    <t>mittelmäßig</t>
  </si>
  <si>
    <t>direkt an ein Systemhaus 
gebundene Firma</t>
  </si>
  <si>
    <t>völlig unabhängig, Institut einer Universität, Forschungsinstitut</t>
  </si>
  <si>
    <t>gut bis sehr gut</t>
  </si>
  <si>
    <t>A BeratungsAG</t>
  </si>
  <si>
    <t>B Consulting</t>
  </si>
  <si>
    <t>Institut C</t>
  </si>
  <si>
    <t>Unabhängigkeit</t>
  </si>
  <si>
    <t>Gesamteindruck</t>
  </si>
  <si>
    <t>Einzelkompetenz</t>
  </si>
  <si>
    <t xml:space="preserve">Laufzeit </t>
  </si>
  <si>
    <t>Kosten/PT</t>
  </si>
  <si>
    <t xml:space="preserve">Auswahl eines Produktions-Planungssystems (ERP) </t>
  </si>
  <si>
    <t>1.0</t>
  </si>
  <si>
    <t>Auswahl eines Beratungsunternehmens für das Auswahlverfahren</t>
  </si>
  <si>
    <t>Beschreibung des Auswahlverfahrens</t>
  </si>
  <si>
    <t xml:space="preserve">Da keine Erfahrungen vorliegen, wieviele PT zu erwarten sind, ist kein Gesamtbudget vorgegeben; </t>
  </si>
  <si>
    <t>Nach Vorgabe des Controllings sollte der Tagessatz nicht über 2000 €/PT liegen.</t>
  </si>
  <si>
    <t>K.O.</t>
  </si>
  <si>
    <t>Kundenreferenzen: einige (kleinere Projekte)</t>
  </si>
  <si>
    <t>Laufzeit: 5 Monate geschätzt</t>
  </si>
  <si>
    <t>Angebot liegt vor</t>
  </si>
  <si>
    <t>Firma wurde empfohlen von Kunde Z. Bisher guter Eindruck. Mitarbeiter: 25</t>
  </si>
  <si>
    <t xml:space="preserve">Erfahrung mit kleinen und mittelgroßen Projekten. </t>
  </si>
  <si>
    <t>Referenzen sind ausgezeichnet</t>
  </si>
  <si>
    <t>Angebot liegt vor, Beratertage 2.450€</t>
  </si>
  <si>
    <t>Seit 2010 mit der Firma in Geschäftskontakt. Bisher sehr guter Eindruck. Mitarbeiter: 18</t>
  </si>
  <si>
    <t xml:space="preserve">Noch keine Erfahrung mit sehr großen Projekten. Junges, engagiertes Team. </t>
  </si>
  <si>
    <t>Steht  Hersteller xy sehr nahe; alle Projekte führten zur Einführung der Software B.</t>
  </si>
  <si>
    <t>Laufzeit: 4-5 Monate geschätzt</t>
  </si>
  <si>
    <t>Institut wurde selbst recherchiert.</t>
  </si>
  <si>
    <t>Unabhängigkeit ist gesichert.</t>
  </si>
  <si>
    <t xml:space="preserve">Gesamteindruck ist sehr gut, ebenso die Kompetenz und Erfahrung der Berater. </t>
  </si>
  <si>
    <t>Laufzeit: 6-7 Monate geschätzt</t>
  </si>
  <si>
    <t>Angebot liegt vor, PT liegt bei 1.700€</t>
  </si>
  <si>
    <t>Tipp</t>
  </si>
  <si>
    <t>über 2.300€</t>
  </si>
  <si>
    <t>1.700 - 2.300€</t>
  </si>
  <si>
    <t>unter 1.700€</t>
  </si>
  <si>
    <t>Ähnliche Referenzprojekte liegen vor  (muss erfüllt sein)</t>
  </si>
  <si>
    <t>Gesamteindruck, den die Firma erzielt hat (Angebot, Präsentation, etc.)</t>
  </si>
  <si>
    <t>Kosten pro Personentag (PT) / Berater (inkl. Anfahrt und Spesen)</t>
  </si>
  <si>
    <t xml:space="preserve">Für die externe Begleitung bei der Auswahl einer ERP-Software für das Unternehmen M.GmbH stehen drei Beratungsunternehmen zur Auswahl. 
Die Entscheidung für einen Berater hat eine große Tragweite, da die Auswahl eines Systems für das Unternehmen von großer Wichtigkeit ist: Das ERP-System, das ausgesucht wird, soll die nächsten Jahre alle wesentlichen Prozesse im Unternehmen abbilden und den sich verändernden Bedürfnissen anpassen können. Da das Know-how im eigenen Hause nicht vorhanden ist, wird erwartet, dass ein Beratungsunternehmen die Anforderungen an eine für die M.GmbH optimale Lösung definieren kann und das Projektteam beim Auswahlprozess optimal unterstützt. </t>
  </si>
  <si>
    <t>Ein optimaler Zeitplan für das Auswahlverfahren wird mit vier Monaten angesetzt (lt. Geschäftsführung)</t>
  </si>
  <si>
    <t>Berater sind sehr kompetent und professionell</t>
  </si>
  <si>
    <t>gleiches Gewicht wie Kriterium x = 1 Punkt</t>
  </si>
  <si>
    <t>einem Hersteller nahestehend</t>
  </si>
  <si>
    <t>Erfahrenes Team, zwei Mitarbeiter und der Chef haben Auslandserfahrung, Kompetenz: ausgezeichnet</t>
  </si>
  <si>
    <t>Kundenreferenzen: drei genannte Kunden; davon einer in Frankreich. Zwei größere Aufträge</t>
  </si>
  <si>
    <t>Kundenreferenzen: fünf genannte Kunden</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</si>
</sst>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0"/>
      <name val="Arial"/>
    </font>
    <font>
      <sz val="8"/>
      <name val="Arial"/>
      <family val="2"/>
    </font>
    <font>
      <sz val="8"/>
      <color indexed="81"/>
      <name val="Tahoma"/>
      <family val="2"/>
    </font>
    <font>
      <b/>
      <sz val="8"/>
      <color indexed="81"/>
      <name val="Tahoma"/>
      <family val="2"/>
    </font>
    <font>
      <sz val="10"/>
      <name val="Calibri"/>
      <family val="2"/>
      <scheme val="minor"/>
    </font>
    <font>
      <sz val="11"/>
      <name val="Calibri"/>
      <family val="2"/>
      <scheme val="minor"/>
    </font>
    <font>
      <sz val="12"/>
      <name val="Calibri"/>
      <family val="2"/>
      <scheme val="minor"/>
    </font>
    <font>
      <sz val="14"/>
      <name val="Calibri"/>
      <family val="2"/>
      <scheme val="minor"/>
    </font>
    <font>
      <sz val="16"/>
      <name val="Calibri"/>
      <family val="2"/>
      <scheme val="minor"/>
    </font>
    <font>
      <b/>
      <sz val="12"/>
      <name val="Calibri"/>
      <family val="2"/>
      <scheme val="minor"/>
    </font>
    <font>
      <sz val="8"/>
      <name val="Calibri"/>
      <family val="2"/>
      <scheme val="minor"/>
    </font>
    <font>
      <sz val="10"/>
      <name val="Arial"/>
      <family val="2"/>
    </font>
    <font>
      <sz val="9"/>
      <color indexed="81"/>
      <name val="Tahoma"/>
      <family val="2"/>
    </font>
    <font>
      <b/>
      <sz val="9"/>
      <color indexed="81"/>
      <name val="Tahoma"/>
      <family val="2"/>
    </font>
    <font>
      <sz val="10"/>
      <color theme="0" tint="-0.499984740745262"/>
      <name val="Calibri"/>
      <family val="2"/>
      <scheme val="minor"/>
    </font>
    <font>
      <sz val="9"/>
      <color indexed="81"/>
      <name val="Tahoma"/>
      <charset val="1"/>
    </font>
    <font>
      <b/>
      <sz val="9"/>
      <color indexed="81"/>
      <name val="Tahoma"/>
      <charset val="1"/>
    </font>
  </fonts>
  <fills count="6">
    <fill>
      <patternFill patternType="none"/>
    </fill>
    <fill>
      <patternFill patternType="gray125"/>
    </fill>
    <fill>
      <patternFill patternType="solid">
        <fgColor indexed="5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CC"/>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s>
  <cellStyleXfs count="2">
    <xf numFmtId="0" fontId="0" fillId="0" borderId="0"/>
    <xf numFmtId="0" fontId="11" fillId="0" borderId="0"/>
  </cellStyleXfs>
  <cellXfs count="85">
    <xf numFmtId="0" fontId="0" fillId="0" borderId="0" xfId="0"/>
    <xf numFmtId="0" fontId="4" fillId="0" borderId="0" xfId="0" applyFont="1" applyFill="1"/>
    <xf numFmtId="0" fontId="4" fillId="0" borderId="0" xfId="0" applyFont="1"/>
    <xf numFmtId="0" fontId="5" fillId="0" borderId="0" xfId="0" applyFont="1" applyFill="1"/>
    <xf numFmtId="0" fontId="5" fillId="0" borderId="0" xfId="0" applyFont="1"/>
    <xf numFmtId="0" fontId="6" fillId="0" borderId="0" xfId="0" applyFont="1" applyFill="1"/>
    <xf numFmtId="0" fontId="6" fillId="0" borderId="0" xfId="0" applyFont="1"/>
    <xf numFmtId="0" fontId="7" fillId="0" borderId="0" xfId="0" applyFont="1" applyFill="1"/>
    <xf numFmtId="0" fontId="7" fillId="0" borderId="0" xfId="0" applyFont="1"/>
    <xf numFmtId="0" fontId="8" fillId="0" borderId="0" xfId="0" applyFont="1" applyFill="1"/>
    <xf numFmtId="0" fontId="6" fillId="0" borderId="0" xfId="0" applyFont="1" applyFill="1" applyAlignment="1">
      <alignment horizontal="left"/>
    </xf>
    <xf numFmtId="0" fontId="4" fillId="0" borderId="0" xfId="0" applyFont="1" applyFill="1" applyAlignment="1">
      <alignment horizontal="left"/>
    </xf>
    <xf numFmtId="0" fontId="6" fillId="0" borderId="0" xfId="0" applyFont="1" applyFill="1" applyBorder="1"/>
    <xf numFmtId="0" fontId="5" fillId="0" borderId="0" xfId="0" applyFont="1" applyFill="1" applyBorder="1"/>
    <xf numFmtId="0" fontId="4" fillId="0" borderId="1" xfId="0" applyFont="1" applyBorder="1" applyAlignment="1">
      <alignment horizontal="center" vertical="center" wrapText="1"/>
    </xf>
    <xf numFmtId="0" fontId="6" fillId="0" borderId="1" xfId="0" applyFont="1" applyFill="1" applyBorder="1"/>
    <xf numFmtId="0" fontId="5" fillId="0" borderId="0" xfId="0" applyFont="1" applyFill="1" applyAlignment="1">
      <alignment horizontal="left"/>
    </xf>
    <xf numFmtId="0" fontId="6" fillId="4" borderId="1" xfId="0" applyFont="1" applyFill="1" applyBorder="1" applyAlignment="1">
      <alignment vertical="center"/>
    </xf>
    <xf numFmtId="0" fontId="4" fillId="0" borderId="1" xfId="0" applyFont="1" applyBorder="1" applyAlignment="1">
      <alignment horizontal="center" vertical="center"/>
    </xf>
    <xf numFmtId="0" fontId="7" fillId="0" borderId="0" xfId="0" applyFont="1" applyFill="1" applyAlignment="1">
      <alignment horizontal="left"/>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9"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5" xfId="0" applyFont="1" applyFill="1" applyBorder="1" applyAlignment="1">
      <alignment horizontal="right" vertical="center"/>
    </xf>
    <xf numFmtId="0" fontId="6" fillId="2" borderId="0" xfId="0" applyFont="1" applyFill="1" applyAlignment="1">
      <alignment vertical="center"/>
    </xf>
    <xf numFmtId="0" fontId="6" fillId="0" borderId="2" xfId="0" applyFont="1" applyBorder="1"/>
    <xf numFmtId="0" fontId="6" fillId="0" borderId="3" xfId="0" applyFont="1" applyBorder="1"/>
    <xf numFmtId="0" fontId="6" fillId="0" borderId="3" xfId="0" applyFont="1" applyBorder="1" applyAlignment="1">
      <alignment vertical="center"/>
    </xf>
    <xf numFmtId="0" fontId="6" fillId="0" borderId="6" xfId="0" applyFont="1" applyBorder="1" applyAlignment="1">
      <alignment vertical="center"/>
    </xf>
    <xf numFmtId="0" fontId="5" fillId="0" borderId="0" xfId="0" applyFont="1" applyFill="1" applyBorder="1" applyAlignment="1"/>
    <xf numFmtId="0" fontId="5" fillId="0" borderId="0" xfId="0" applyFont="1" applyBorder="1" applyAlignment="1"/>
    <xf numFmtId="0" fontId="6" fillId="4" borderId="1" xfId="0" applyFont="1" applyFill="1" applyBorder="1" applyAlignment="1">
      <alignment horizontal="center" vertical="center"/>
    </xf>
    <xf numFmtId="0" fontId="6" fillId="0" borderId="0" xfId="0" applyFont="1" applyBorder="1"/>
    <xf numFmtId="0" fontId="6" fillId="5" borderId="1" xfId="0" applyFont="1" applyFill="1" applyBorder="1" applyAlignment="1">
      <alignment horizontal="center" vertical="center"/>
    </xf>
    <xf numFmtId="0" fontId="5" fillId="0" borderId="0" xfId="0" applyFont="1" applyFill="1" applyAlignment="1">
      <alignment horizontal="left" wrapText="1"/>
    </xf>
    <xf numFmtId="0" fontId="6" fillId="0" borderId="0" xfId="0" applyFont="1" applyFill="1" applyAlignment="1"/>
    <xf numFmtId="0" fontId="4" fillId="0" borderId="0" xfId="0" applyFont="1" applyFill="1" applyAlignment="1"/>
    <xf numFmtId="0" fontId="7" fillId="0" borderId="0" xfId="0" applyFont="1" applyFill="1" applyAlignment="1"/>
    <xf numFmtId="0" fontId="6" fillId="4" borderId="1" xfId="0" applyFont="1" applyFill="1" applyBorder="1" applyAlignment="1">
      <alignment horizontal="left" vertic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3" borderId="0" xfId="0" applyFont="1" applyFill="1" applyAlignment="1">
      <alignment horizontal="center" vertical="center"/>
    </xf>
    <xf numFmtId="0" fontId="4" fillId="3" borderId="0" xfId="0" applyFont="1" applyFill="1"/>
    <xf numFmtId="0" fontId="6" fillId="3" borderId="0" xfId="0" applyFont="1" applyFill="1" applyAlignment="1">
      <alignment horizontal="center" vertical="center"/>
    </xf>
    <xf numFmtId="0" fontId="5" fillId="3" borderId="0" xfId="0" applyFont="1" applyFill="1"/>
    <xf numFmtId="2" fontId="4" fillId="0" borderId="0" xfId="0" applyNumberFormat="1" applyFont="1"/>
    <xf numFmtId="0" fontId="5" fillId="0" borderId="0" xfId="0" applyFont="1" applyFill="1" applyAlignment="1">
      <alignment horizontal="left" wrapText="1"/>
    </xf>
    <xf numFmtId="0" fontId="5" fillId="0" borderId="1" xfId="0" applyFont="1" applyBorder="1" applyAlignment="1"/>
    <xf numFmtId="0" fontId="10" fillId="4" borderId="2" xfId="0" applyFont="1" applyFill="1" applyBorder="1" applyAlignment="1">
      <alignment vertical="center" wrapText="1"/>
    </xf>
    <xf numFmtId="0" fontId="6" fillId="4" borderId="2" xfId="0" applyFont="1" applyFill="1" applyBorder="1" applyAlignment="1">
      <alignment horizontal="left" vertical="center"/>
    </xf>
    <xf numFmtId="0" fontId="4" fillId="0" borderId="2" xfId="0" applyFont="1" applyBorder="1" applyAlignment="1">
      <alignment vertical="center" wrapText="1"/>
    </xf>
    <xf numFmtId="0" fontId="6" fillId="0" borderId="1" xfId="0" applyFont="1" applyFill="1" applyBorder="1" applyAlignment="1">
      <alignment horizontal="center" vertical="center"/>
    </xf>
    <xf numFmtId="2" fontId="6" fillId="0" borderId="1" xfId="0" applyNumberFormat="1" applyFont="1" applyBorder="1" applyAlignment="1">
      <alignment horizontal="center" vertical="center"/>
    </xf>
    <xf numFmtId="0" fontId="4" fillId="0" borderId="1" xfId="0" applyFont="1" applyBorder="1" applyAlignment="1">
      <alignment horizontal="left" vertical="center" wrapText="1"/>
    </xf>
    <xf numFmtId="2" fontId="5" fillId="3" borderId="1" xfId="0" applyNumberFormat="1" applyFont="1" applyFill="1" applyBorder="1" applyAlignment="1" applyProtection="1">
      <alignment horizontal="center" vertical="center"/>
    </xf>
    <xf numFmtId="0" fontId="4" fillId="0" borderId="1" xfId="0" applyFont="1" applyBorder="1" applyAlignment="1" applyProtection="1">
      <alignment horizontal="left" vertical="center" wrapText="1"/>
    </xf>
    <xf numFmtId="0" fontId="5" fillId="0" borderId="1" xfId="0" applyFont="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3" borderId="1" xfId="0" applyFont="1" applyFill="1" applyBorder="1" applyAlignment="1" applyProtection="1">
      <alignment horizontal="center" vertical="center"/>
    </xf>
    <xf numFmtId="2" fontId="4" fillId="3" borderId="1" xfId="0" applyNumberFormat="1" applyFont="1" applyFill="1" applyBorder="1" applyAlignment="1" applyProtection="1">
      <alignment horizontal="center" vertical="center" wrapText="1"/>
    </xf>
    <xf numFmtId="14" fontId="5" fillId="0" borderId="0" xfId="0" applyNumberFormat="1" applyFont="1"/>
    <xf numFmtId="14" fontId="5" fillId="0" borderId="0" xfId="0" applyNumberFormat="1" applyFont="1" applyAlignment="1">
      <alignment horizontal="right"/>
    </xf>
    <xf numFmtId="0" fontId="5" fillId="0" borderId="0" xfId="0" applyFont="1" applyAlignment="1">
      <alignment horizontal="right"/>
    </xf>
    <xf numFmtId="0" fontId="11" fillId="0" borderId="0" xfId="0" applyFont="1" applyAlignment="1">
      <alignment vertical="center"/>
    </xf>
    <xf numFmtId="0" fontId="6" fillId="0" borderId="0" xfId="1" applyFont="1" applyFill="1"/>
    <xf numFmtId="0" fontId="14" fillId="5" borderId="0" xfId="0" applyFont="1" applyFill="1" applyAlignment="1">
      <alignment horizontal="center" vertical="center"/>
    </xf>
    <xf numFmtId="0" fontId="5" fillId="0" borderId="0" xfId="0" applyFont="1" applyFill="1" applyAlignment="1">
      <alignment horizontal="left"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6" xfId="0" applyFont="1" applyBorder="1" applyAlignment="1">
      <alignment horizontal="left" vertical="center"/>
    </xf>
    <xf numFmtId="0" fontId="4" fillId="4" borderId="8"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0" borderId="7" xfId="0" applyFont="1" applyBorder="1" applyAlignment="1">
      <alignment horizont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6" xfId="0" applyFont="1" applyBorder="1" applyAlignment="1">
      <alignment horizontal="left" vertical="center" wrapText="1"/>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6" xfId="0" applyFont="1" applyFill="1" applyBorder="1" applyAlignment="1">
      <alignment horizontal="center" vertical="center" wrapText="1"/>
    </xf>
  </cellXfs>
  <cellStyles count="2">
    <cellStyle name="Standard" xfId="0" builtinId="0"/>
    <cellStyle name="Standard 2" xfId="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de-DE"/>
              <a:t>Ergebnis der Nutzwertanalyse </a:t>
            </a:r>
          </a:p>
        </c:rich>
      </c:tx>
      <c:layout>
        <c:manualLayout>
          <c:xMode val="edge"/>
          <c:yMode val="edge"/>
          <c:x val="0.47199934753918471"/>
          <c:y val="1.8518518518518517E-2"/>
        </c:manualLayout>
      </c:layout>
      <c:overlay val="0"/>
    </c:title>
    <c:autoTitleDeleted val="0"/>
    <c:plotArea>
      <c:layout/>
      <c:barChart>
        <c:barDir val="col"/>
        <c:grouping val="stacked"/>
        <c:varyColors val="0"/>
        <c:ser>
          <c:idx val="1"/>
          <c:order val="0"/>
          <c:tx>
            <c:strRef>
              <c:f>'Grafik-Daten'!$B$5</c:f>
              <c:strCache>
                <c:ptCount val="1"/>
                <c:pt idx="0">
                  <c:v>Unabhängigkeit</c:v>
                </c:pt>
              </c:strCache>
            </c:strRef>
          </c:tx>
          <c:invertIfNegative val="0"/>
          <c:cat>
            <c:strRef>
              <c:f>'Grafik-Daten'!$C$4:$E$4</c:f>
              <c:strCache>
                <c:ptCount val="3"/>
                <c:pt idx="0">
                  <c:v>A BeratungsAG</c:v>
                </c:pt>
                <c:pt idx="1">
                  <c:v>B Consulting</c:v>
                </c:pt>
                <c:pt idx="2">
                  <c:v>Institut C</c:v>
                </c:pt>
              </c:strCache>
            </c:strRef>
          </c:cat>
          <c:val>
            <c:numRef>
              <c:f>'Grafik-Daten'!$C$5:$E$5</c:f>
              <c:numCache>
                <c:formatCode>0.00</c:formatCode>
                <c:ptCount val="3"/>
                <c:pt idx="0">
                  <c:v>0.6</c:v>
                </c:pt>
                <c:pt idx="1">
                  <c:v>0.9</c:v>
                </c:pt>
                <c:pt idx="2">
                  <c:v>1.2</c:v>
                </c:pt>
              </c:numCache>
            </c:numRef>
          </c:val>
        </c:ser>
        <c:ser>
          <c:idx val="2"/>
          <c:order val="1"/>
          <c:tx>
            <c:strRef>
              <c:f>'Grafik-Daten'!$B$6</c:f>
              <c:strCache>
                <c:ptCount val="1"/>
                <c:pt idx="0">
                  <c:v>Gesamteindruck</c:v>
                </c:pt>
              </c:strCache>
            </c:strRef>
          </c:tx>
          <c:invertIfNegative val="0"/>
          <c:cat>
            <c:strRef>
              <c:f>'Grafik-Daten'!$C$4:$E$4</c:f>
              <c:strCache>
                <c:ptCount val="3"/>
                <c:pt idx="0">
                  <c:v>A BeratungsAG</c:v>
                </c:pt>
                <c:pt idx="1">
                  <c:v>B Consulting</c:v>
                </c:pt>
                <c:pt idx="2">
                  <c:v>Institut C</c:v>
                </c:pt>
              </c:strCache>
            </c:strRef>
          </c:cat>
          <c:val>
            <c:numRef>
              <c:f>'Grafik-Daten'!$C$6:$E$6</c:f>
              <c:numCache>
                <c:formatCode>0.00</c:formatCode>
                <c:ptCount val="3"/>
                <c:pt idx="0">
                  <c:v>1.75</c:v>
                </c:pt>
                <c:pt idx="1">
                  <c:v>1.5</c:v>
                </c:pt>
                <c:pt idx="2">
                  <c:v>1.5</c:v>
                </c:pt>
              </c:numCache>
            </c:numRef>
          </c:val>
        </c:ser>
        <c:ser>
          <c:idx val="3"/>
          <c:order val="2"/>
          <c:tx>
            <c:strRef>
              <c:f>'Grafik-Daten'!$B$7</c:f>
              <c:strCache>
                <c:ptCount val="1"/>
                <c:pt idx="0">
                  <c:v>Einzelkompetenz</c:v>
                </c:pt>
              </c:strCache>
            </c:strRef>
          </c:tx>
          <c:invertIfNegative val="0"/>
          <c:cat>
            <c:strRef>
              <c:f>'Grafik-Daten'!$C$4:$E$4</c:f>
              <c:strCache>
                <c:ptCount val="3"/>
                <c:pt idx="0">
                  <c:v>A BeratungsAG</c:v>
                </c:pt>
                <c:pt idx="1">
                  <c:v>B Consulting</c:v>
                </c:pt>
                <c:pt idx="2">
                  <c:v>Institut C</c:v>
                </c:pt>
              </c:strCache>
            </c:strRef>
          </c:cat>
          <c:val>
            <c:numRef>
              <c:f>'Grafik-Daten'!$C$7:$E$7</c:f>
              <c:numCache>
                <c:formatCode>0.00</c:formatCode>
                <c:ptCount val="3"/>
                <c:pt idx="0">
                  <c:v>1.8</c:v>
                </c:pt>
                <c:pt idx="1">
                  <c:v>2.4</c:v>
                </c:pt>
                <c:pt idx="2">
                  <c:v>2.1</c:v>
                </c:pt>
              </c:numCache>
            </c:numRef>
          </c:val>
        </c:ser>
        <c:ser>
          <c:idx val="0"/>
          <c:order val="3"/>
          <c:tx>
            <c:strRef>
              <c:f>'Grafik-Daten'!$B$8</c:f>
              <c:strCache>
                <c:ptCount val="1"/>
                <c:pt idx="0">
                  <c:v>Laufzeit </c:v>
                </c:pt>
              </c:strCache>
            </c:strRef>
          </c:tx>
          <c:invertIfNegative val="0"/>
          <c:cat>
            <c:strRef>
              <c:f>'Grafik-Daten'!$C$4:$E$4</c:f>
              <c:strCache>
                <c:ptCount val="3"/>
                <c:pt idx="0">
                  <c:v>A BeratungsAG</c:v>
                </c:pt>
                <c:pt idx="1">
                  <c:v>B Consulting</c:v>
                </c:pt>
                <c:pt idx="2">
                  <c:v>Institut C</c:v>
                </c:pt>
              </c:strCache>
            </c:strRef>
          </c:cat>
          <c:val>
            <c:numRef>
              <c:f>'Grafik-Daten'!$C$8:$E$8</c:f>
              <c:numCache>
                <c:formatCode>0.00</c:formatCode>
                <c:ptCount val="3"/>
                <c:pt idx="0">
                  <c:v>0.75</c:v>
                </c:pt>
                <c:pt idx="1">
                  <c:v>1.05</c:v>
                </c:pt>
                <c:pt idx="2">
                  <c:v>0.75</c:v>
                </c:pt>
              </c:numCache>
            </c:numRef>
          </c:val>
        </c:ser>
        <c:ser>
          <c:idx val="4"/>
          <c:order val="4"/>
          <c:tx>
            <c:strRef>
              <c:f>'Grafik-Daten'!$B$9</c:f>
              <c:strCache>
                <c:ptCount val="1"/>
                <c:pt idx="0">
                  <c:v>Kosten/PT</c:v>
                </c:pt>
              </c:strCache>
            </c:strRef>
          </c:tx>
          <c:invertIfNegative val="0"/>
          <c:cat>
            <c:strRef>
              <c:f>'Grafik-Daten'!$C$4:$E$4</c:f>
              <c:strCache>
                <c:ptCount val="3"/>
                <c:pt idx="0">
                  <c:v>A BeratungsAG</c:v>
                </c:pt>
                <c:pt idx="1">
                  <c:v>B Consulting</c:v>
                </c:pt>
                <c:pt idx="2">
                  <c:v>Institut C</c:v>
                </c:pt>
              </c:strCache>
            </c:strRef>
          </c:cat>
          <c:val>
            <c:numRef>
              <c:f>'Grafik-Daten'!$C$9:$E$9</c:f>
              <c:numCache>
                <c:formatCode>0.00</c:formatCode>
                <c:ptCount val="3"/>
                <c:pt idx="0">
                  <c:v>0.75</c:v>
                </c:pt>
                <c:pt idx="1">
                  <c:v>0.6</c:v>
                </c:pt>
                <c:pt idx="2">
                  <c:v>0.3</c:v>
                </c:pt>
              </c:numCache>
            </c:numRef>
          </c:val>
        </c:ser>
        <c:dLbls>
          <c:showLegendKey val="0"/>
          <c:showVal val="0"/>
          <c:showCatName val="0"/>
          <c:showSerName val="0"/>
          <c:showPercent val="0"/>
          <c:showBubbleSize val="0"/>
        </c:dLbls>
        <c:gapWidth val="287"/>
        <c:overlap val="100"/>
        <c:axId val="130830720"/>
        <c:axId val="130832256"/>
      </c:barChart>
      <c:catAx>
        <c:axId val="130830720"/>
        <c:scaling>
          <c:orientation val="minMax"/>
        </c:scaling>
        <c:delete val="0"/>
        <c:axPos val="b"/>
        <c:majorTickMark val="none"/>
        <c:minorTickMark val="none"/>
        <c:tickLblPos val="nextTo"/>
        <c:crossAx val="130832256"/>
        <c:crosses val="autoZero"/>
        <c:auto val="1"/>
        <c:lblAlgn val="ctr"/>
        <c:lblOffset val="100"/>
        <c:noMultiLvlLbl val="0"/>
      </c:catAx>
      <c:valAx>
        <c:axId val="130832256"/>
        <c:scaling>
          <c:orientation val="minMax"/>
        </c:scaling>
        <c:delete val="0"/>
        <c:axPos val="l"/>
        <c:majorGridlines/>
        <c:title>
          <c:tx>
            <c:rich>
              <a:bodyPr/>
              <a:lstStyle/>
              <a:p>
                <a:pPr>
                  <a:defRPr/>
                </a:pPr>
                <a:r>
                  <a:rPr lang="de-DE" sz="1400" b="0"/>
                  <a:t>Nutzwerte</a:t>
                </a:r>
                <a:endParaRPr lang="de-DE" b="0"/>
              </a:p>
            </c:rich>
          </c:tx>
          <c:layout>
            <c:manualLayout>
              <c:xMode val="edge"/>
              <c:yMode val="edge"/>
              <c:x val="6.4030131826741998E-2"/>
              <c:y val="0.31685152781828196"/>
            </c:manualLayout>
          </c:layout>
          <c:overlay val="0"/>
        </c:title>
        <c:numFmt formatCode="0.00" sourceLinked="1"/>
        <c:majorTickMark val="none"/>
        <c:minorTickMark val="none"/>
        <c:tickLblPos val="nextTo"/>
        <c:crossAx val="130830720"/>
        <c:crosses val="autoZero"/>
        <c:crossBetween val="between"/>
      </c:valAx>
      <c:dTable>
        <c:showHorzBorder val="1"/>
        <c:showVertBorder val="1"/>
        <c:showOutline val="1"/>
        <c:showKeys val="1"/>
      </c:dTable>
    </c:plotArea>
    <c:plotVisOnly val="1"/>
    <c:dispBlanksAs val="gap"/>
    <c:showDLblsOverMax val="0"/>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228600</xdr:colOff>
      <xdr:row>18</xdr:row>
      <xdr:rowOff>114300</xdr:rowOff>
    </xdr:from>
    <xdr:to>
      <xdr:col>12</xdr:col>
      <xdr:colOff>409575</xdr:colOff>
      <xdr:row>56</xdr:row>
      <xdr:rowOff>133350</xdr:rowOff>
    </xdr:to>
    <xdr:graphicFrame macro="">
      <xdr:nvGraphicFramePr>
        <xdr:cNvPr id="4" name="Diagramm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kumente%20und%20Einstellungen\Conny%20&amp;%20Reinhard\Eigene%20Dateien\Artikel%20und%20Texte\10_%20Projektmagazin\eingesendete%20Artikel\Entscheidungssicherheit%20Methoden\Vorlage_Nutzwertanaly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riterien für die Entscheidung"/>
      <sheetName val="Bewertung der Kriterien"/>
      <sheetName val="Zielerfüllungsfaktoren"/>
      <sheetName val="Nutzwert"/>
    </sheetNames>
    <sheetDataSet>
      <sheetData sheetId="0"/>
      <sheetData sheetId="1">
        <row r="2">
          <cell r="A2" t="str">
            <v>1 Unabhängiges Beratungsunternehmen</v>
          </cell>
        </row>
        <row r="3">
          <cell r="A3" t="str">
            <v>2 Gesamteindruck den die Firma erzielt hat</v>
          </cell>
        </row>
        <row r="4">
          <cell r="A4" t="str">
            <v>3 Erfahrung, Kompetenz der einzusetzenden Berater</v>
          </cell>
        </row>
        <row r="5">
          <cell r="A5" t="str">
            <v>4 Geschätzte Laufzeit des Projektes</v>
          </cell>
        </row>
        <row r="6">
          <cell r="A6" t="str">
            <v>5 Kosten pro Personentag(PT)/Berater (inkl. Anreise und Spesen)</v>
          </cell>
        </row>
      </sheetData>
      <sheetData sheetId="2"/>
      <sheetData sheetId="3"/>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1"/>
  <sheetViews>
    <sheetView tabSelected="1" zoomScale="95" zoomScaleNormal="95" workbookViewId="0">
      <selection activeCell="B22" sqref="B22"/>
    </sheetView>
  </sheetViews>
  <sheetFormatPr baseColWidth="10" defaultRowHeight="12.75" x14ac:dyDescent="0.2"/>
  <cols>
    <col min="1" max="1" width="16.42578125" style="1" customWidth="1"/>
    <col min="2" max="2" width="37.7109375" style="2" customWidth="1"/>
    <col min="3" max="3" width="11.42578125" style="2"/>
    <col min="4" max="4" width="9.42578125" style="2" customWidth="1"/>
    <col min="5" max="5" width="10.5703125" style="2" customWidth="1"/>
    <col min="6" max="16384" width="11.42578125" style="2"/>
  </cols>
  <sheetData>
    <row r="1" spans="1:14" s="6" customFormat="1" ht="21" x14ac:dyDescent="0.35">
      <c r="A1" s="9" t="s">
        <v>0</v>
      </c>
      <c r="D1" s="4" t="s">
        <v>7</v>
      </c>
      <c r="E1" s="61">
        <v>41713</v>
      </c>
      <c r="G1" s="66" t="s">
        <v>91</v>
      </c>
      <c r="H1" s="65"/>
      <c r="I1" s="65"/>
      <c r="J1" s="65"/>
      <c r="K1" s="65"/>
      <c r="L1" s="5"/>
      <c r="M1" s="5"/>
      <c r="N1" s="5"/>
    </row>
    <row r="2" spans="1:14" ht="18.75" customHeight="1" x14ac:dyDescent="0.25">
      <c r="D2" s="4" t="s">
        <v>8</v>
      </c>
      <c r="E2" s="63" t="s">
        <v>69</v>
      </c>
    </row>
    <row r="3" spans="1:14" ht="18.75" x14ac:dyDescent="0.3">
      <c r="A3" s="7" t="s">
        <v>18</v>
      </c>
      <c r="B3" s="8" t="s">
        <v>68</v>
      </c>
    </row>
    <row r="4" spans="1:14" ht="18.75" x14ac:dyDescent="0.3">
      <c r="A4" s="7"/>
      <c r="E4" s="4"/>
    </row>
    <row r="5" spans="1:14" ht="18.75" x14ac:dyDescent="0.3">
      <c r="A5" s="7" t="s">
        <v>19</v>
      </c>
    </row>
    <row r="6" spans="1:14" ht="20.25" customHeight="1" x14ac:dyDescent="0.25">
      <c r="A6" s="67" t="s">
        <v>70</v>
      </c>
      <c r="B6" s="67"/>
      <c r="C6" s="67"/>
      <c r="D6" s="67"/>
    </row>
    <row r="7" spans="1:14" s="6" customFormat="1" ht="24.75" customHeight="1" x14ac:dyDescent="0.25">
      <c r="A7" s="5" t="s">
        <v>71</v>
      </c>
    </row>
    <row r="8" spans="1:14" ht="141.75" customHeight="1" x14ac:dyDescent="0.25">
      <c r="A8" s="67" t="s">
        <v>98</v>
      </c>
      <c r="B8" s="67"/>
      <c r="C8" s="67"/>
      <c r="D8" s="67"/>
    </row>
    <row r="9" spans="1:14" ht="15.75" customHeight="1" x14ac:dyDescent="0.2"/>
    <row r="10" spans="1:14" ht="20.25" customHeight="1" x14ac:dyDescent="0.25">
      <c r="A10" s="4" t="s">
        <v>25</v>
      </c>
      <c r="B10" s="35"/>
      <c r="C10" s="35"/>
      <c r="D10" s="35"/>
    </row>
    <row r="11" spans="1:14" ht="20.25" customHeight="1" x14ac:dyDescent="0.25">
      <c r="A11" s="16" t="s">
        <v>72</v>
      </c>
      <c r="B11" s="35"/>
      <c r="C11" s="35"/>
      <c r="D11" s="35"/>
    </row>
    <row r="12" spans="1:14" ht="20.25" customHeight="1" x14ac:dyDescent="0.25">
      <c r="A12" s="16" t="s">
        <v>73</v>
      </c>
      <c r="B12" s="47"/>
      <c r="C12" s="47"/>
      <c r="D12" s="47"/>
    </row>
    <row r="13" spans="1:14" ht="20.25" customHeight="1" x14ac:dyDescent="0.25">
      <c r="A13" s="4" t="s">
        <v>9</v>
      </c>
      <c r="B13" s="35"/>
      <c r="C13" s="35"/>
      <c r="D13" s="35"/>
    </row>
    <row r="14" spans="1:14" ht="20.25" customHeight="1" x14ac:dyDescent="0.25">
      <c r="A14" s="3" t="s">
        <v>99</v>
      </c>
    </row>
    <row r="15" spans="1:14" ht="20.25" customHeight="1" x14ac:dyDescent="0.2"/>
    <row r="16" spans="1:14" ht="20.25" customHeight="1" x14ac:dyDescent="0.3">
      <c r="A16" s="7" t="s">
        <v>10</v>
      </c>
      <c r="B16" s="4"/>
    </row>
    <row r="17" spans="1:4" ht="20.25" customHeight="1" x14ac:dyDescent="0.25">
      <c r="A17" s="3" t="s">
        <v>11</v>
      </c>
      <c r="B17" s="3" t="s">
        <v>60</v>
      </c>
      <c r="C17" s="4"/>
      <c r="D17" s="4"/>
    </row>
    <row r="18" spans="1:4" ht="20.25" customHeight="1" x14ac:dyDescent="0.25">
      <c r="A18" s="3" t="s">
        <v>12</v>
      </c>
      <c r="B18" s="3" t="s">
        <v>61</v>
      </c>
      <c r="C18" s="4"/>
      <c r="D18" s="4"/>
    </row>
    <row r="19" spans="1:4" ht="20.25" customHeight="1" x14ac:dyDescent="0.25">
      <c r="A19" s="3" t="s">
        <v>13</v>
      </c>
      <c r="B19" s="3" t="s">
        <v>62</v>
      </c>
      <c r="C19" s="4"/>
      <c r="D19" s="4"/>
    </row>
    <row r="20" spans="1:4" ht="20.25" customHeight="1" x14ac:dyDescent="0.25">
      <c r="A20" s="3" t="s">
        <v>14</v>
      </c>
      <c r="B20" s="3" t="s">
        <v>45</v>
      </c>
      <c r="C20" s="4"/>
      <c r="D20" s="4"/>
    </row>
    <row r="21" spans="1:4" ht="20.25" customHeight="1" x14ac:dyDescent="0.25">
      <c r="A21" s="3" t="s">
        <v>15</v>
      </c>
      <c r="B21" s="4" t="s">
        <v>45</v>
      </c>
      <c r="C21" s="4"/>
      <c r="D21" s="4"/>
    </row>
    <row r="26" spans="1:4" x14ac:dyDescent="0.2">
      <c r="A26" s="2"/>
    </row>
    <row r="27" spans="1:4" x14ac:dyDescent="0.2">
      <c r="A27" s="2"/>
    </row>
    <row r="28" spans="1:4" x14ac:dyDescent="0.2">
      <c r="A28" s="2"/>
    </row>
    <row r="29" spans="1:4" x14ac:dyDescent="0.2">
      <c r="A29" s="2"/>
    </row>
    <row r="30" spans="1:4" x14ac:dyDescent="0.2">
      <c r="A30" s="2"/>
    </row>
    <row r="31" spans="1:4" x14ac:dyDescent="0.2">
      <c r="A31" s="2"/>
    </row>
  </sheetData>
  <mergeCells count="2">
    <mergeCell ref="A6:D6"/>
    <mergeCell ref="A8:D8"/>
  </mergeCells>
  <phoneticPr fontId="1" type="noConversion"/>
  <pageMargins left="0.78740157499999996" right="0.78740157499999996" top="0.984251969" bottom="0.984251969" header="0.4921259845" footer="0.4921259845"/>
  <pageSetup paperSize="9" orientation="portrait" horizontalDpi="300" verticalDpi="300" r:id="rId1"/>
  <headerFooter alignWithMargins="0">
    <oddHeader>&amp;L&amp;A&amp;C&amp;F&amp;R&amp;D</oddHeader>
    <oddFooter>&amp;CErstellt von Cornelia Niklas &amp;RSeite &amp;P</oddFooter>
  </headerFooter>
  <rowBreaks count="1" manualBreakCount="1">
    <brk id="31"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0"/>
  <sheetViews>
    <sheetView topLeftCell="A34" zoomScaleNormal="100" workbookViewId="0">
      <selection activeCell="X43" sqref="X43"/>
    </sheetView>
  </sheetViews>
  <sheetFormatPr baseColWidth="10" defaultRowHeight="15.75" x14ac:dyDescent="0.25"/>
  <cols>
    <col min="1" max="1" width="4" style="6" customWidth="1"/>
    <col min="2" max="2" width="39.140625" style="6" customWidth="1"/>
    <col min="3" max="12" width="5.85546875" style="6" customWidth="1"/>
    <col min="13" max="13" width="9.140625" style="6" customWidth="1"/>
    <col min="14" max="14" width="7.85546875" style="6" customWidth="1"/>
    <col min="15" max="16384" width="11.42578125" style="6"/>
  </cols>
  <sheetData>
    <row r="1" spans="1:17" ht="21" x14ac:dyDescent="0.35">
      <c r="A1" s="9" t="s">
        <v>3</v>
      </c>
      <c r="B1" s="9"/>
      <c r="C1" s="9"/>
      <c r="D1" s="8" t="str">
        <f>Datenbasis!B3</f>
        <v xml:space="preserve">Auswahl eines Produktions-Planungssystems (ERP) </v>
      </c>
      <c r="E1" s="9"/>
      <c r="N1" s="6" t="str">
        <f>Datenbasis!D1</f>
        <v>Datum:</v>
      </c>
      <c r="O1" s="62">
        <f>Datenbasis!E1</f>
        <v>41713</v>
      </c>
      <c r="Q1" s="66" t="s">
        <v>91</v>
      </c>
    </row>
    <row r="2" spans="1:17" ht="20.25" customHeight="1" x14ac:dyDescent="0.25">
      <c r="A2" s="10"/>
      <c r="B2" s="10"/>
      <c r="C2" s="10"/>
      <c r="D2" s="10" t="str">
        <f>Datenbasis!A6</f>
        <v>Auswahl eines Beratungsunternehmens für das Auswahlverfahren</v>
      </c>
      <c r="E2" s="10"/>
      <c r="N2" s="6" t="str">
        <f>Datenbasis!D2</f>
        <v>Version:</v>
      </c>
      <c r="O2" s="63" t="str">
        <f>Datenbasis!E2</f>
        <v>1.0</v>
      </c>
    </row>
    <row r="3" spans="1:17" ht="18.75" x14ac:dyDescent="0.3">
      <c r="A3" s="19" t="s">
        <v>28</v>
      </c>
      <c r="B3" s="19"/>
      <c r="C3" s="11"/>
      <c r="D3" s="11"/>
      <c r="E3" s="11"/>
      <c r="M3" s="33"/>
      <c r="N3" s="33"/>
      <c r="O3" s="33"/>
      <c r="P3" s="33"/>
      <c r="Q3" s="33"/>
    </row>
    <row r="4" spans="1:17" ht="24" customHeight="1" x14ac:dyDescent="0.25">
      <c r="A4" s="17" t="s">
        <v>1</v>
      </c>
      <c r="B4" s="50" t="s">
        <v>2</v>
      </c>
      <c r="C4" s="49" t="s">
        <v>49</v>
      </c>
      <c r="D4" s="80" t="s">
        <v>6</v>
      </c>
      <c r="E4" s="81"/>
      <c r="F4" s="81"/>
      <c r="G4" s="81"/>
      <c r="H4" s="81"/>
      <c r="I4" s="81"/>
      <c r="J4" s="81"/>
      <c r="K4" s="82"/>
      <c r="P4" s="33"/>
      <c r="Q4" s="33"/>
    </row>
    <row r="5" spans="1:17" ht="25.5" customHeight="1" x14ac:dyDescent="0.25">
      <c r="A5" s="20">
        <v>1</v>
      </c>
      <c r="B5" s="51" t="s">
        <v>63</v>
      </c>
      <c r="C5" s="14" t="s">
        <v>23</v>
      </c>
      <c r="D5" s="77" t="s">
        <v>46</v>
      </c>
      <c r="E5" s="78"/>
      <c r="F5" s="78"/>
      <c r="G5" s="78"/>
      <c r="H5" s="78"/>
      <c r="I5" s="78"/>
      <c r="J5" s="78"/>
      <c r="K5" s="79"/>
      <c r="P5" s="31"/>
      <c r="Q5" s="33"/>
    </row>
    <row r="6" spans="1:17" ht="25.5" customHeight="1" x14ac:dyDescent="0.25">
      <c r="A6" s="20">
        <v>2</v>
      </c>
      <c r="B6" s="51" t="s">
        <v>64</v>
      </c>
      <c r="C6" s="14" t="s">
        <v>24</v>
      </c>
      <c r="D6" s="77" t="s">
        <v>96</v>
      </c>
      <c r="E6" s="78"/>
      <c r="F6" s="78"/>
      <c r="G6" s="78"/>
      <c r="H6" s="78"/>
      <c r="I6" s="78"/>
      <c r="J6" s="78"/>
      <c r="K6" s="79"/>
      <c r="P6" s="31"/>
      <c r="Q6" s="33"/>
    </row>
    <row r="7" spans="1:17" ht="25.5" customHeight="1" x14ac:dyDescent="0.25">
      <c r="A7" s="20">
        <v>3</v>
      </c>
      <c r="B7" s="51" t="s">
        <v>65</v>
      </c>
      <c r="C7" s="14" t="s">
        <v>24</v>
      </c>
      <c r="D7" s="77" t="s">
        <v>47</v>
      </c>
      <c r="E7" s="78"/>
      <c r="F7" s="78"/>
      <c r="G7" s="78"/>
      <c r="H7" s="78"/>
      <c r="I7" s="78"/>
      <c r="J7" s="78"/>
      <c r="K7" s="79"/>
      <c r="P7" s="31"/>
      <c r="Q7" s="33"/>
    </row>
    <row r="8" spans="1:17" ht="25.5" customHeight="1" x14ac:dyDescent="0.25">
      <c r="A8" s="20">
        <v>4</v>
      </c>
      <c r="B8" s="51" t="s">
        <v>66</v>
      </c>
      <c r="C8" s="14" t="s">
        <v>23</v>
      </c>
      <c r="D8" s="77" t="s">
        <v>48</v>
      </c>
      <c r="E8" s="78"/>
      <c r="F8" s="78"/>
      <c r="G8" s="78"/>
      <c r="H8" s="78"/>
      <c r="I8" s="78"/>
      <c r="J8" s="78"/>
      <c r="K8" s="79"/>
      <c r="P8" s="31"/>
      <c r="Q8" s="33"/>
    </row>
    <row r="9" spans="1:17" ht="25.5" customHeight="1" x14ac:dyDescent="0.25">
      <c r="A9" s="20">
        <v>5</v>
      </c>
      <c r="B9" s="51" t="s">
        <v>67</v>
      </c>
      <c r="C9" s="14" t="s">
        <v>24</v>
      </c>
      <c r="D9" s="77" t="s">
        <v>97</v>
      </c>
      <c r="E9" s="78"/>
      <c r="F9" s="78"/>
      <c r="G9" s="78"/>
      <c r="H9" s="78"/>
      <c r="I9" s="78"/>
      <c r="J9" s="78"/>
      <c r="K9" s="79"/>
      <c r="P9" s="31"/>
      <c r="Q9" s="33"/>
    </row>
    <row r="10" spans="1:17" ht="25.5" customHeight="1" x14ac:dyDescent="0.25">
      <c r="A10" s="20">
        <v>6</v>
      </c>
      <c r="B10" s="51"/>
      <c r="C10" s="14" t="s">
        <v>74</v>
      </c>
      <c r="D10" s="77" t="s">
        <v>95</v>
      </c>
      <c r="E10" s="78"/>
      <c r="F10" s="78"/>
      <c r="G10" s="78"/>
      <c r="H10" s="78"/>
      <c r="I10" s="78"/>
      <c r="J10" s="78"/>
      <c r="K10" s="79"/>
      <c r="P10" s="31"/>
      <c r="Q10" s="33"/>
    </row>
    <row r="11" spans="1:17" ht="25.5" customHeight="1" x14ac:dyDescent="0.25">
      <c r="A11" s="20">
        <v>7</v>
      </c>
      <c r="B11" s="51"/>
      <c r="C11" s="48"/>
      <c r="D11" s="70"/>
      <c r="E11" s="71"/>
      <c r="F11" s="71"/>
      <c r="G11" s="71"/>
      <c r="H11" s="71"/>
      <c r="I11" s="71"/>
      <c r="J11" s="71"/>
      <c r="K11" s="72"/>
      <c r="P11" s="31"/>
      <c r="Q11" s="33"/>
    </row>
    <row r="12" spans="1:17" ht="25.5" customHeight="1" x14ac:dyDescent="0.25">
      <c r="A12" s="20">
        <v>8</v>
      </c>
      <c r="B12" s="51"/>
      <c r="C12" s="48"/>
      <c r="D12" s="70"/>
      <c r="E12" s="71"/>
      <c r="F12" s="71"/>
      <c r="G12" s="71"/>
      <c r="H12" s="71"/>
      <c r="I12" s="71"/>
      <c r="J12" s="71"/>
      <c r="K12" s="72"/>
      <c r="P12" s="31"/>
      <c r="Q12" s="33"/>
    </row>
    <row r="13" spans="1:17" ht="25.5" customHeight="1" x14ac:dyDescent="0.25">
      <c r="A13" s="20">
        <v>9</v>
      </c>
      <c r="B13" s="51"/>
      <c r="C13" s="48"/>
      <c r="D13" s="70"/>
      <c r="E13" s="71"/>
      <c r="F13" s="71"/>
      <c r="G13" s="71"/>
      <c r="H13" s="71"/>
      <c r="I13" s="71"/>
      <c r="J13" s="71"/>
      <c r="K13" s="72"/>
      <c r="P13" s="33"/>
      <c r="Q13" s="33"/>
    </row>
    <row r="14" spans="1:17" ht="25.5" customHeight="1" x14ac:dyDescent="0.25">
      <c r="A14" s="20">
        <v>10</v>
      </c>
      <c r="B14" s="51"/>
      <c r="C14" s="48"/>
      <c r="D14" s="70"/>
      <c r="E14" s="71"/>
      <c r="F14" s="71"/>
      <c r="G14" s="71"/>
      <c r="H14" s="71"/>
      <c r="I14" s="71"/>
      <c r="J14" s="71"/>
      <c r="K14" s="72"/>
    </row>
    <row r="15" spans="1:17" s="12" customFormat="1" x14ac:dyDescent="0.25">
      <c r="A15" s="13"/>
      <c r="B15" s="30"/>
      <c r="C15" s="30"/>
      <c r="D15" s="30"/>
      <c r="E15" s="13"/>
    </row>
    <row r="16" spans="1:17" s="12" customFormat="1" ht="6" customHeight="1" x14ac:dyDescent="0.25">
      <c r="A16" s="13"/>
      <c r="B16" s="30"/>
      <c r="C16" s="30"/>
      <c r="D16" s="30"/>
      <c r="E16" s="13"/>
    </row>
    <row r="17" spans="1:17" ht="18.75" x14ac:dyDescent="0.3">
      <c r="A17" s="19" t="s">
        <v>22</v>
      </c>
      <c r="B17" s="19"/>
      <c r="C17" s="11"/>
      <c r="D17" s="11"/>
      <c r="E17" s="11"/>
      <c r="M17" s="33"/>
      <c r="N17" s="33"/>
      <c r="O17" s="33"/>
      <c r="P17" s="33"/>
      <c r="Q17" s="33"/>
    </row>
    <row r="18" spans="1:17" ht="24" customHeight="1" x14ac:dyDescent="0.25">
      <c r="A18" s="17" t="s">
        <v>2</v>
      </c>
      <c r="B18" s="17"/>
      <c r="C18" s="32">
        <f>A19</f>
        <v>1</v>
      </c>
      <c r="D18" s="32">
        <f>A20</f>
        <v>2</v>
      </c>
      <c r="E18" s="32">
        <f>A21</f>
        <v>3</v>
      </c>
      <c r="F18" s="32">
        <f>A22</f>
        <v>4</v>
      </c>
      <c r="G18" s="32">
        <f>A23</f>
        <v>5</v>
      </c>
      <c r="H18" s="32">
        <f>A24</f>
        <v>6</v>
      </c>
      <c r="I18" s="32">
        <f>A25</f>
        <v>7</v>
      </c>
      <c r="J18" s="32">
        <f>A26</f>
        <v>8</v>
      </c>
      <c r="K18" s="32">
        <f>A27</f>
        <v>9</v>
      </c>
      <c r="L18" s="32">
        <f>A28</f>
        <v>10</v>
      </c>
      <c r="M18" s="32" t="s">
        <v>50</v>
      </c>
      <c r="N18" s="39" t="s">
        <v>27</v>
      </c>
    </row>
    <row r="19" spans="1:17" ht="31.5" customHeight="1" x14ac:dyDescent="0.25">
      <c r="A19" s="21">
        <f t="shared" ref="A19:B28" si="0">A5</f>
        <v>1</v>
      </c>
      <c r="B19" s="57" t="str">
        <f t="shared" si="0"/>
        <v>Unabhängigkeit</v>
      </c>
      <c r="C19" s="22"/>
      <c r="D19" s="34">
        <v>1</v>
      </c>
      <c r="E19" s="34">
        <v>0</v>
      </c>
      <c r="F19" s="34">
        <v>1</v>
      </c>
      <c r="G19" s="34">
        <v>1</v>
      </c>
      <c r="H19" s="34"/>
      <c r="I19" s="34"/>
      <c r="J19" s="34"/>
      <c r="K19" s="34"/>
      <c r="L19" s="34"/>
      <c r="M19" s="21">
        <f t="shared" ref="M19:M23" si="1">SUM(C19:L19)</f>
        <v>3</v>
      </c>
      <c r="N19" s="53">
        <f t="shared" ref="N19:N24" si="2">ROUND(M19/$M$29,2)</f>
        <v>0.15</v>
      </c>
    </row>
    <row r="20" spans="1:17" ht="31.5" customHeight="1" x14ac:dyDescent="0.25">
      <c r="A20" s="21">
        <f t="shared" si="0"/>
        <v>2</v>
      </c>
      <c r="B20" s="57" t="str">
        <f t="shared" si="0"/>
        <v>Gesamteindruck</v>
      </c>
      <c r="C20" s="59">
        <f>IF(D19=2,0,IF(D19=1,1,IF(D19=0,2,0)))</f>
        <v>1</v>
      </c>
      <c r="D20" s="23"/>
      <c r="E20" s="34">
        <v>1</v>
      </c>
      <c r="F20" s="34">
        <v>2</v>
      </c>
      <c r="G20" s="34">
        <v>1</v>
      </c>
      <c r="H20" s="34"/>
      <c r="I20" s="34"/>
      <c r="J20" s="34"/>
      <c r="K20" s="34"/>
      <c r="L20" s="34"/>
      <c r="M20" s="21">
        <f t="shared" si="1"/>
        <v>5</v>
      </c>
      <c r="N20" s="53">
        <f t="shared" si="2"/>
        <v>0.25</v>
      </c>
    </row>
    <row r="21" spans="1:17" ht="31.5" customHeight="1" x14ac:dyDescent="0.25">
      <c r="A21" s="21">
        <f t="shared" si="0"/>
        <v>3</v>
      </c>
      <c r="B21" s="57" t="str">
        <f t="shared" si="0"/>
        <v>Einzelkompetenz</v>
      </c>
      <c r="C21" s="59">
        <f>IF(E19=2,0,IF(E19=1,1,IF(E19=0,2,0)))</f>
        <v>2</v>
      </c>
      <c r="D21" s="59">
        <f>IF(E20=2,0,IF(E20=1,1,IF(E20=0,2,0)))</f>
        <v>1</v>
      </c>
      <c r="E21" s="23"/>
      <c r="F21" s="34">
        <v>1</v>
      </c>
      <c r="G21" s="34">
        <v>2</v>
      </c>
      <c r="H21" s="34"/>
      <c r="I21" s="34"/>
      <c r="J21" s="34"/>
      <c r="K21" s="34"/>
      <c r="L21" s="34"/>
      <c r="M21" s="21">
        <f t="shared" si="1"/>
        <v>6</v>
      </c>
      <c r="N21" s="53">
        <f t="shared" si="2"/>
        <v>0.3</v>
      </c>
    </row>
    <row r="22" spans="1:17" ht="31.5" customHeight="1" x14ac:dyDescent="0.25">
      <c r="A22" s="21">
        <f t="shared" si="0"/>
        <v>4</v>
      </c>
      <c r="B22" s="57" t="str">
        <f t="shared" si="0"/>
        <v xml:space="preserve">Laufzeit </v>
      </c>
      <c r="C22" s="59">
        <f>IF(F19=2,0,IF(F19=1,1,IF(F19=0,2,0)))</f>
        <v>1</v>
      </c>
      <c r="D22" s="59">
        <f>IF(F20=2,0,IF(F20=1,1,IF(F20=0,2,0)))</f>
        <v>0</v>
      </c>
      <c r="E22" s="59">
        <f>IF(F21=2,0,IF(F21=1,1,IF(F21=0,2,0)))</f>
        <v>1</v>
      </c>
      <c r="F22" s="23"/>
      <c r="G22" s="34">
        <v>1</v>
      </c>
      <c r="H22" s="34"/>
      <c r="I22" s="34"/>
      <c r="J22" s="34"/>
      <c r="K22" s="34"/>
      <c r="L22" s="34"/>
      <c r="M22" s="21">
        <f t="shared" si="1"/>
        <v>3</v>
      </c>
      <c r="N22" s="53">
        <f t="shared" si="2"/>
        <v>0.15</v>
      </c>
    </row>
    <row r="23" spans="1:17" ht="31.5" customHeight="1" x14ac:dyDescent="0.25">
      <c r="A23" s="21">
        <f t="shared" si="0"/>
        <v>5</v>
      </c>
      <c r="B23" s="57" t="str">
        <f t="shared" si="0"/>
        <v>Kosten/PT</v>
      </c>
      <c r="C23" s="59">
        <f>IF(G19=2,0,IF(G19=1,1,IF(G19=0,2,0)))</f>
        <v>1</v>
      </c>
      <c r="D23" s="59">
        <f>IF(G20=2,0,IF(G20=1,1,IF(G20=0,2,0)))</f>
        <v>1</v>
      </c>
      <c r="E23" s="59">
        <f>IF(G21=2,0,IF(G21=1,1,IF(G21=0,2,0)))</f>
        <v>0</v>
      </c>
      <c r="F23" s="59">
        <f>IF(G22=2,0,IF(G22=1,1,IF(G22=0,2,0)))</f>
        <v>1</v>
      </c>
      <c r="G23" s="23"/>
      <c r="H23" s="34"/>
      <c r="I23" s="34"/>
      <c r="J23" s="34"/>
      <c r="K23" s="34"/>
      <c r="L23" s="34"/>
      <c r="M23" s="21">
        <f t="shared" si="1"/>
        <v>3</v>
      </c>
      <c r="N23" s="53">
        <f t="shared" si="2"/>
        <v>0.15</v>
      </c>
    </row>
    <row r="24" spans="1:17" ht="31.5" customHeight="1" x14ac:dyDescent="0.25">
      <c r="A24" s="21">
        <f t="shared" si="0"/>
        <v>6</v>
      </c>
      <c r="B24" s="57">
        <f t="shared" si="0"/>
        <v>0</v>
      </c>
      <c r="C24" s="59">
        <f>IF(H19=2,0,IF(H19=1,1,IF(H19=0,2,0)))</f>
        <v>2</v>
      </c>
      <c r="D24" s="59">
        <f>IF(H20=2,0,IF(H20=1,1,IF(H20=0,2,0)))</f>
        <v>2</v>
      </c>
      <c r="E24" s="59">
        <f>IF(H21=2,0,IF(H21=1,1,IF(H21=0,2,0)))</f>
        <v>2</v>
      </c>
      <c r="F24" s="59">
        <f>IF(H22=2,0,IF(H22=1,1,IF(H22=0,2,0)))</f>
        <v>2</v>
      </c>
      <c r="G24" s="59">
        <f>IF(H23=2,0,IF(H23=1,1,IF(H23=0,2,0)))</f>
        <v>2</v>
      </c>
      <c r="H24" s="23"/>
      <c r="I24" s="34"/>
      <c r="J24" s="34"/>
      <c r="K24" s="34"/>
      <c r="L24" s="34"/>
      <c r="M24" s="21">
        <f>IF(B24=0,0,SUM(C24:L24))</f>
        <v>0</v>
      </c>
      <c r="N24" s="53">
        <f t="shared" si="2"/>
        <v>0</v>
      </c>
    </row>
    <row r="25" spans="1:17" ht="31.5" customHeight="1" x14ac:dyDescent="0.25">
      <c r="A25" s="21">
        <f t="shared" si="0"/>
        <v>7</v>
      </c>
      <c r="B25" s="57">
        <f t="shared" si="0"/>
        <v>0</v>
      </c>
      <c r="C25" s="59">
        <f>IF(I19=2,0,IF(I19=1,1,IF(I19=0,2,0)))</f>
        <v>2</v>
      </c>
      <c r="D25" s="59">
        <f>IF(I20=2,0,IF(I20=1,1,IF(I20=0,2,0)))</f>
        <v>2</v>
      </c>
      <c r="E25" s="59">
        <f>IF(I21=2,0,IF(I21=1,1,IF(I21=0,2,0)))</f>
        <v>2</v>
      </c>
      <c r="F25" s="59">
        <f>IF(I22=2,0,IF(I22=1,1,IF(I22=0,2,0)))</f>
        <v>2</v>
      </c>
      <c r="G25" s="59">
        <f>IF(I23=2,0,IF(I23=1,1,IF(I23=0,2,0)))</f>
        <v>2</v>
      </c>
      <c r="H25" s="59">
        <f>IF(I24=2,0,IF(I24=1,1,IF(I24=0,2,0)))</f>
        <v>2</v>
      </c>
      <c r="I25" s="24"/>
      <c r="J25" s="34"/>
      <c r="K25" s="34"/>
      <c r="L25" s="34"/>
      <c r="M25" s="21">
        <f t="shared" ref="M25:M28" si="3">IF(B25=0,0,SUM(C25:L25))</f>
        <v>0</v>
      </c>
      <c r="N25" s="53">
        <f t="shared" ref="N25:N28" si="4">ROUND(M25/$M$29,2)</f>
        <v>0</v>
      </c>
    </row>
    <row r="26" spans="1:17" ht="31.5" customHeight="1" x14ac:dyDescent="0.25">
      <c r="A26" s="21">
        <f t="shared" si="0"/>
        <v>8</v>
      </c>
      <c r="B26" s="57">
        <f t="shared" si="0"/>
        <v>0</v>
      </c>
      <c r="C26" s="59">
        <f>IF(J19=2,0,IF(J19=1,1,IF(J19=0,2,0)))</f>
        <v>2</v>
      </c>
      <c r="D26" s="59">
        <f>IF(J20=2,0,IF(J20=1,1,IF(J20=0,2,0)))</f>
        <v>2</v>
      </c>
      <c r="E26" s="59">
        <f>IF(J21=2,0,IF(J21=1,1,IF(J21=0,2,0)))</f>
        <v>2</v>
      </c>
      <c r="F26" s="59">
        <f>IF(J22=2,0,IF(J22=1,1,IF(J22=0,2,0)))</f>
        <v>2</v>
      </c>
      <c r="G26" s="59">
        <f>IF(J23=2,0,IF(J23=1,1,IF(J23=0,2,0)))</f>
        <v>2</v>
      </c>
      <c r="H26" s="59">
        <f>IF(J24=2,0,IF(J24=1,1,IF(J24=0,2,0)))</f>
        <v>2</v>
      </c>
      <c r="I26" s="59">
        <f>IF(J25=2,0,IF(J25=1,1,IF(J25=0,2,0)))</f>
        <v>2</v>
      </c>
      <c r="J26" s="25"/>
      <c r="K26" s="34"/>
      <c r="L26" s="34"/>
      <c r="M26" s="21">
        <f t="shared" si="3"/>
        <v>0</v>
      </c>
      <c r="N26" s="53">
        <f t="shared" si="4"/>
        <v>0</v>
      </c>
    </row>
    <row r="27" spans="1:17" ht="31.5" customHeight="1" x14ac:dyDescent="0.25">
      <c r="A27" s="21">
        <f t="shared" si="0"/>
        <v>9</v>
      </c>
      <c r="B27" s="57">
        <f t="shared" si="0"/>
        <v>0</v>
      </c>
      <c r="C27" s="59">
        <f>IF(K19=2,0,IF(K19=1,1,IF(K19=0,2,0)))</f>
        <v>2</v>
      </c>
      <c r="D27" s="59">
        <f>IF(K20=2,0,IF(K20=1,1,IF(K20=0,2,0)))</f>
        <v>2</v>
      </c>
      <c r="E27" s="59">
        <f>IF(K21=2,0,IF(K21=1,1,IF(K21=0,2,0)))</f>
        <v>2</v>
      </c>
      <c r="F27" s="59">
        <f>IF(K22=2,0,IF(K22=1,1,IF(K22=0,2,0)))</f>
        <v>2</v>
      </c>
      <c r="G27" s="59">
        <f>IF(K23=2,0,IF(K23=1,1,IF(K23=0,2,0)))</f>
        <v>2</v>
      </c>
      <c r="H27" s="59">
        <f>IF(K24=2,0,IF(K24=1,1,IF(K24=0,2,0)))</f>
        <v>2</v>
      </c>
      <c r="I27" s="59">
        <f>IF(K25=2,0,IF(K25=1,1,IF(K25=0,2,0)))</f>
        <v>2</v>
      </c>
      <c r="J27" s="59">
        <f>IF(K26=2,0,IF(K26=1,1,IF(K26=0,2,0)))</f>
        <v>2</v>
      </c>
      <c r="K27" s="25"/>
      <c r="L27" s="34"/>
      <c r="M27" s="21">
        <f t="shared" si="3"/>
        <v>0</v>
      </c>
      <c r="N27" s="53">
        <f t="shared" si="4"/>
        <v>0</v>
      </c>
    </row>
    <row r="28" spans="1:17" ht="31.5" customHeight="1" x14ac:dyDescent="0.25">
      <c r="A28" s="21">
        <f t="shared" si="0"/>
        <v>10</v>
      </c>
      <c r="B28" s="57">
        <f t="shared" si="0"/>
        <v>0</v>
      </c>
      <c r="C28" s="58">
        <f>IF(L19=2,0,IF(L19=1,1,IF(L19=0,2,0)))</f>
        <v>2</v>
      </c>
      <c r="D28" s="59">
        <f>IF(L20=2,0,IF(L20=1,1,IF(L20=0,2,0)))</f>
        <v>2</v>
      </c>
      <c r="E28" s="59">
        <f>IF(L21=2,0,IF(L21=1,1,IF(L21=0,2,0)))</f>
        <v>2</v>
      </c>
      <c r="F28" s="59">
        <f>IF(L22=2,0,IF(L22=1,1,IF(L22=0,2,0)))</f>
        <v>2</v>
      </c>
      <c r="G28" s="59">
        <f>IF(L23=2,0,IF(L23=1,1,IF(L23=0,2,0)))</f>
        <v>2</v>
      </c>
      <c r="H28" s="59">
        <f>IF(L24=2,0,IF(L24=1,1,IF(L24=0,2,0)))</f>
        <v>2</v>
      </c>
      <c r="I28" s="59">
        <f>IF(L25=2,0,IF(L25=1,1,IF(L25=0,2,0)))</f>
        <v>2</v>
      </c>
      <c r="J28" s="59">
        <f>IF(L26=2,0,IF(L26=1,1,IF(L26=0,2,0)))</f>
        <v>2</v>
      </c>
      <c r="K28" s="59">
        <f>IF(L27=2,0,IF(L27=1,1,IF(L27=0,2,0)))</f>
        <v>2</v>
      </c>
      <c r="L28" s="25"/>
      <c r="M28" s="21">
        <f t="shared" si="3"/>
        <v>0</v>
      </c>
      <c r="N28" s="53">
        <f t="shared" si="4"/>
        <v>0</v>
      </c>
    </row>
    <row r="29" spans="1:17" ht="17.25" customHeight="1" x14ac:dyDescent="0.25">
      <c r="A29" s="26"/>
      <c r="B29" s="27" t="s">
        <v>4</v>
      </c>
      <c r="C29" s="28"/>
      <c r="D29" s="28"/>
      <c r="E29" s="28"/>
      <c r="F29" s="28"/>
      <c r="G29" s="28"/>
      <c r="H29" s="28"/>
      <c r="I29" s="28"/>
      <c r="J29" s="28"/>
      <c r="K29" s="28"/>
      <c r="L29" s="29"/>
      <c r="M29" s="52">
        <f>SUM(M19:M28)</f>
        <v>20</v>
      </c>
      <c r="N29" s="53">
        <f>M29/$M$29</f>
        <v>1</v>
      </c>
    </row>
    <row r="31" spans="1:17" x14ac:dyDescent="0.25">
      <c r="C31" s="4" t="s">
        <v>26</v>
      </c>
      <c r="D31" s="4"/>
      <c r="E31" s="2" t="s">
        <v>20</v>
      </c>
      <c r="F31" s="2"/>
      <c r="G31" s="2"/>
      <c r="H31" s="2"/>
      <c r="I31" s="2"/>
      <c r="J31" s="2"/>
      <c r="K31" s="2"/>
      <c r="L31" s="2"/>
      <c r="M31" s="2"/>
    </row>
    <row r="32" spans="1:17" x14ac:dyDescent="0.25">
      <c r="C32" s="4"/>
      <c r="D32" s="4"/>
      <c r="E32" s="2" t="s">
        <v>101</v>
      </c>
      <c r="F32" s="2"/>
      <c r="G32" s="2"/>
      <c r="H32" s="2"/>
      <c r="I32" s="2"/>
      <c r="J32" s="2"/>
      <c r="K32" s="2"/>
      <c r="L32" s="2"/>
      <c r="M32" s="2"/>
    </row>
    <row r="33" spans="1:14" x14ac:dyDescent="0.25">
      <c r="C33" s="4"/>
      <c r="D33" s="4"/>
      <c r="E33" s="2" t="s">
        <v>21</v>
      </c>
      <c r="F33" s="2"/>
      <c r="G33" s="2"/>
      <c r="H33" s="2"/>
      <c r="I33" s="2"/>
      <c r="J33" s="2"/>
      <c r="K33" s="2"/>
      <c r="L33" s="2"/>
      <c r="M33" s="2"/>
    </row>
    <row r="34" spans="1:14" ht="6.75" customHeight="1" x14ac:dyDescent="0.25"/>
    <row r="35" spans="1:14" ht="18.75" x14ac:dyDescent="0.3">
      <c r="A35" s="8" t="s">
        <v>44</v>
      </c>
      <c r="B35" s="2"/>
      <c r="C35" s="76" t="s">
        <v>32</v>
      </c>
      <c r="D35" s="76"/>
      <c r="E35" s="76"/>
      <c r="F35" s="76"/>
      <c r="G35" s="76"/>
      <c r="H35" s="76"/>
      <c r="I35" s="76"/>
      <c r="J35" s="76"/>
      <c r="K35" s="76"/>
      <c r="L35" s="76"/>
      <c r="M35" s="76"/>
    </row>
    <row r="36" spans="1:14" ht="24" customHeight="1" x14ac:dyDescent="0.25">
      <c r="A36" s="17" t="s">
        <v>1</v>
      </c>
      <c r="B36" s="17" t="s">
        <v>2</v>
      </c>
      <c r="C36" s="73" t="s">
        <v>31</v>
      </c>
      <c r="D36" s="74"/>
      <c r="E36" s="74"/>
      <c r="F36" s="74"/>
      <c r="G36" s="75" t="s">
        <v>30</v>
      </c>
      <c r="H36" s="75"/>
      <c r="I36" s="75"/>
      <c r="J36" s="75"/>
      <c r="K36" s="75" t="s">
        <v>29</v>
      </c>
      <c r="L36" s="75"/>
      <c r="M36" s="75"/>
      <c r="N36" s="75"/>
    </row>
    <row r="37" spans="1:14" ht="31.5" customHeight="1" x14ac:dyDescent="0.25">
      <c r="A37" s="18">
        <f>A19</f>
        <v>1</v>
      </c>
      <c r="B37" s="54" t="str">
        <f>B19</f>
        <v>Unabhängigkeit</v>
      </c>
      <c r="C37" s="68" t="s">
        <v>57</v>
      </c>
      <c r="D37" s="68"/>
      <c r="E37" s="68"/>
      <c r="F37" s="68"/>
      <c r="G37" s="68" t="s">
        <v>102</v>
      </c>
      <c r="H37" s="68"/>
      <c r="I37" s="68"/>
      <c r="J37" s="68"/>
      <c r="K37" s="68" t="s">
        <v>58</v>
      </c>
      <c r="L37" s="68"/>
      <c r="M37" s="68"/>
      <c r="N37" s="68"/>
    </row>
    <row r="38" spans="1:14" ht="31.5" customHeight="1" x14ac:dyDescent="0.25">
      <c r="A38" s="18">
        <f t="shared" ref="A38:B38" si="5">A20</f>
        <v>2</v>
      </c>
      <c r="B38" s="54" t="str">
        <f t="shared" si="5"/>
        <v>Gesamteindruck</v>
      </c>
      <c r="C38" s="68" t="s">
        <v>51</v>
      </c>
      <c r="D38" s="68"/>
      <c r="E38" s="68"/>
      <c r="F38" s="68"/>
      <c r="G38" s="68" t="s">
        <v>56</v>
      </c>
      <c r="H38" s="68"/>
      <c r="I38" s="68"/>
      <c r="J38" s="68"/>
      <c r="K38" s="68" t="s">
        <v>59</v>
      </c>
      <c r="L38" s="68"/>
      <c r="M38" s="68"/>
      <c r="N38" s="68"/>
    </row>
    <row r="39" spans="1:14" ht="31.5" customHeight="1" x14ac:dyDescent="0.25">
      <c r="A39" s="18">
        <f t="shared" ref="A39:B39" si="6">A21</f>
        <v>3</v>
      </c>
      <c r="B39" s="54" t="str">
        <f t="shared" si="6"/>
        <v>Einzelkompetenz</v>
      </c>
      <c r="C39" s="68" t="s">
        <v>52</v>
      </c>
      <c r="D39" s="68"/>
      <c r="E39" s="68"/>
      <c r="F39" s="68"/>
      <c r="G39" s="68" t="s">
        <v>56</v>
      </c>
      <c r="H39" s="68"/>
      <c r="I39" s="68"/>
      <c r="J39" s="68"/>
      <c r="K39" s="68" t="s">
        <v>59</v>
      </c>
      <c r="L39" s="68"/>
      <c r="M39" s="68"/>
      <c r="N39" s="68"/>
    </row>
    <row r="40" spans="1:14" ht="31.5" customHeight="1" x14ac:dyDescent="0.25">
      <c r="A40" s="18">
        <f t="shared" ref="A40:B40" si="7">A22</f>
        <v>4</v>
      </c>
      <c r="B40" s="54" t="str">
        <f t="shared" si="7"/>
        <v xml:space="preserve">Laufzeit </v>
      </c>
      <c r="C40" s="68" t="s">
        <v>53</v>
      </c>
      <c r="D40" s="68"/>
      <c r="E40" s="68"/>
      <c r="F40" s="68"/>
      <c r="G40" s="68" t="s">
        <v>55</v>
      </c>
      <c r="H40" s="68"/>
      <c r="I40" s="68"/>
      <c r="J40" s="68"/>
      <c r="K40" s="68" t="s">
        <v>54</v>
      </c>
      <c r="L40" s="68"/>
      <c r="M40" s="68"/>
      <c r="N40" s="68"/>
    </row>
    <row r="41" spans="1:14" ht="31.5" customHeight="1" x14ac:dyDescent="0.25">
      <c r="A41" s="18">
        <f t="shared" ref="A41:B41" si="8">A23</f>
        <v>5</v>
      </c>
      <c r="B41" s="54" t="str">
        <f t="shared" si="8"/>
        <v>Kosten/PT</v>
      </c>
      <c r="C41" s="68" t="s">
        <v>92</v>
      </c>
      <c r="D41" s="68"/>
      <c r="E41" s="68"/>
      <c r="F41" s="68"/>
      <c r="G41" s="68" t="s">
        <v>93</v>
      </c>
      <c r="H41" s="68"/>
      <c r="I41" s="68"/>
      <c r="J41" s="68"/>
      <c r="K41" s="68" t="s">
        <v>94</v>
      </c>
      <c r="L41" s="68"/>
      <c r="M41" s="68"/>
      <c r="N41" s="68"/>
    </row>
    <row r="42" spans="1:14" ht="31.5" customHeight="1" x14ac:dyDescent="0.25">
      <c r="A42" s="18">
        <f t="shared" ref="A42:B42" si="9">A24</f>
        <v>6</v>
      </c>
      <c r="B42" s="54">
        <f t="shared" si="9"/>
        <v>0</v>
      </c>
      <c r="C42" s="68"/>
      <c r="D42" s="68"/>
      <c r="E42" s="68"/>
      <c r="F42" s="68"/>
      <c r="G42" s="68"/>
      <c r="H42" s="68"/>
      <c r="I42" s="68"/>
      <c r="J42" s="68"/>
      <c r="K42" s="68"/>
      <c r="L42" s="68"/>
      <c r="M42" s="68"/>
      <c r="N42" s="68"/>
    </row>
    <row r="43" spans="1:14" ht="31.5" customHeight="1" x14ac:dyDescent="0.25">
      <c r="A43" s="18">
        <f t="shared" ref="A43:B43" si="10">A25</f>
        <v>7</v>
      </c>
      <c r="B43" s="54">
        <f t="shared" si="10"/>
        <v>0</v>
      </c>
      <c r="C43" s="68"/>
      <c r="D43" s="68"/>
      <c r="E43" s="68"/>
      <c r="F43" s="68"/>
      <c r="G43" s="68"/>
      <c r="H43" s="68"/>
      <c r="I43" s="68"/>
      <c r="J43" s="68"/>
      <c r="K43" s="68"/>
      <c r="L43" s="68"/>
      <c r="M43" s="68"/>
      <c r="N43" s="68"/>
    </row>
    <row r="44" spans="1:14" ht="31.5" customHeight="1" x14ac:dyDescent="0.25">
      <c r="A44" s="18">
        <f t="shared" ref="A44:B44" si="11">A26</f>
        <v>8</v>
      </c>
      <c r="B44" s="54">
        <f t="shared" si="11"/>
        <v>0</v>
      </c>
      <c r="C44" s="68"/>
      <c r="D44" s="68"/>
      <c r="E44" s="68"/>
      <c r="F44" s="68"/>
      <c r="G44" s="68"/>
      <c r="H44" s="68"/>
      <c r="I44" s="68"/>
      <c r="J44" s="68"/>
      <c r="K44" s="68"/>
      <c r="L44" s="68"/>
      <c r="M44" s="68"/>
      <c r="N44" s="68"/>
    </row>
    <row r="45" spans="1:14" ht="31.5" customHeight="1" x14ac:dyDescent="0.25">
      <c r="A45" s="18">
        <f t="shared" ref="A45:B45" si="12">A27</f>
        <v>9</v>
      </c>
      <c r="B45" s="54">
        <f t="shared" si="12"/>
        <v>0</v>
      </c>
      <c r="C45" s="68"/>
      <c r="D45" s="68"/>
      <c r="E45" s="68"/>
      <c r="F45" s="68"/>
      <c r="G45" s="68"/>
      <c r="H45" s="68"/>
      <c r="I45" s="68"/>
      <c r="J45" s="68"/>
      <c r="K45" s="68"/>
      <c r="L45" s="68"/>
      <c r="M45" s="68"/>
      <c r="N45" s="68"/>
    </row>
    <row r="46" spans="1:14" ht="31.5" customHeight="1" x14ac:dyDescent="0.25">
      <c r="A46" s="18">
        <f t="shared" ref="A46:B46" si="13">A28</f>
        <v>10</v>
      </c>
      <c r="B46" s="54">
        <f t="shared" si="13"/>
        <v>0</v>
      </c>
      <c r="C46" s="69"/>
      <c r="D46" s="69"/>
      <c r="E46" s="69"/>
      <c r="F46" s="69"/>
      <c r="G46" s="69"/>
      <c r="H46" s="69"/>
      <c r="I46" s="69"/>
      <c r="J46" s="69"/>
      <c r="K46" s="69"/>
      <c r="L46" s="69"/>
      <c r="M46" s="69"/>
      <c r="N46" s="69"/>
    </row>
    <row r="48" spans="1:14" x14ac:dyDescent="0.25">
      <c r="A48" s="6" t="s">
        <v>33</v>
      </c>
    </row>
    <row r="49" spans="2:4" x14ac:dyDescent="0.25">
      <c r="B49" s="6" t="s">
        <v>36</v>
      </c>
      <c r="C49" s="2" t="s">
        <v>37</v>
      </c>
      <c r="D49" s="2">
        <v>0</v>
      </c>
    </row>
    <row r="50" spans="2:4" x14ac:dyDescent="0.25">
      <c r="C50" s="2" t="s">
        <v>38</v>
      </c>
      <c r="D50" s="2">
        <v>8</v>
      </c>
    </row>
  </sheetData>
  <mergeCells count="45">
    <mergeCell ref="K43:N43"/>
    <mergeCell ref="K44:N44"/>
    <mergeCell ref="K45:N45"/>
    <mergeCell ref="K46:N46"/>
    <mergeCell ref="K38:N38"/>
    <mergeCell ref="K39:N39"/>
    <mergeCell ref="K40:N40"/>
    <mergeCell ref="K41:N41"/>
    <mergeCell ref="K42:N42"/>
    <mergeCell ref="D4:K4"/>
    <mergeCell ref="D5:K5"/>
    <mergeCell ref="D6:K6"/>
    <mergeCell ref="D7:K7"/>
    <mergeCell ref="D8:K8"/>
    <mergeCell ref="D9:K9"/>
    <mergeCell ref="D10:K10"/>
    <mergeCell ref="D11:K11"/>
    <mergeCell ref="D12:K12"/>
    <mergeCell ref="D13:K13"/>
    <mergeCell ref="D14:K14"/>
    <mergeCell ref="C36:F36"/>
    <mergeCell ref="G36:J36"/>
    <mergeCell ref="K36:N36"/>
    <mergeCell ref="G37:J37"/>
    <mergeCell ref="C37:F37"/>
    <mergeCell ref="C35:M35"/>
    <mergeCell ref="K37:N37"/>
    <mergeCell ref="C43:F43"/>
    <mergeCell ref="C44:F44"/>
    <mergeCell ref="C45:F45"/>
    <mergeCell ref="C46:F46"/>
    <mergeCell ref="G46:J46"/>
    <mergeCell ref="G45:J45"/>
    <mergeCell ref="G44:J44"/>
    <mergeCell ref="G43:J43"/>
    <mergeCell ref="C38:F38"/>
    <mergeCell ref="C39:F39"/>
    <mergeCell ref="C40:F40"/>
    <mergeCell ref="C41:F41"/>
    <mergeCell ref="C42:F42"/>
    <mergeCell ref="G42:J42"/>
    <mergeCell ref="G41:J41"/>
    <mergeCell ref="G40:J40"/>
    <mergeCell ref="G39:J39"/>
    <mergeCell ref="G38:J38"/>
  </mergeCells>
  <phoneticPr fontId="1" type="noConversion"/>
  <dataValidations count="1">
    <dataValidation type="whole" allowBlank="1" showInputMessage="1" showErrorMessage="1" sqref="D19:L19 E20:L20 L21:L27 K21:K26 F21:J21 G22:J22 H23:J23 I24:J24 J25">
      <formula1>0</formula1>
      <formula2>2</formula2>
    </dataValidation>
  </dataValidations>
  <pageMargins left="0.78740157480314965" right="0.78740157480314965" top="0.98425196850393704" bottom="0.98425196850393704" header="0.51181102362204722" footer="0.51181102362204722"/>
  <pageSetup paperSize="9" scale="96" orientation="landscape" horizontalDpi="300" verticalDpi="300" r:id="rId1"/>
  <headerFooter alignWithMargins="0">
    <oddHeader>&amp;L&amp;A&amp;C&amp;F&amp;R&amp;D</oddHeader>
    <oddFooter xml:space="preserve">&amp;LCornelia Niklas&amp;CSeite &amp;P&amp;R
</oddFooter>
  </headerFooter>
  <rowBreaks count="2" manualBreakCount="2">
    <brk id="15" max="16383" man="1"/>
    <brk id="33"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16"/>
  <sheetViews>
    <sheetView zoomScaleNormal="100" workbookViewId="0">
      <selection activeCell="R21" sqref="R21"/>
    </sheetView>
  </sheetViews>
  <sheetFormatPr baseColWidth="10" defaultRowHeight="12.75" x14ac:dyDescent="0.2"/>
  <cols>
    <col min="1" max="1" width="4" style="2" customWidth="1"/>
    <col min="2" max="2" width="38" style="2" customWidth="1"/>
    <col min="3" max="6" width="10.7109375" style="2" customWidth="1"/>
    <col min="7" max="7" width="10.5703125" style="2" customWidth="1"/>
    <col min="8" max="13" width="10.7109375" style="2" customWidth="1"/>
    <col min="14" max="16384" width="11.42578125" style="2"/>
  </cols>
  <sheetData>
    <row r="1" spans="1:15" s="1" customFormat="1" ht="18.75" x14ac:dyDescent="0.3">
      <c r="A1" s="38" t="s">
        <v>5</v>
      </c>
      <c r="B1" s="36"/>
      <c r="C1" s="38" t="str">
        <f>Datenbasis!B3</f>
        <v xml:space="preserve">Auswahl eines Produktions-Planungssystems (ERP) </v>
      </c>
      <c r="D1" s="36"/>
      <c r="E1" s="36"/>
      <c r="F1" s="36"/>
      <c r="H1" s="36"/>
      <c r="I1" s="36"/>
      <c r="J1" s="36"/>
      <c r="K1" s="36"/>
      <c r="L1" s="6" t="str">
        <f>Datenbasis!D1</f>
        <v>Datum:</v>
      </c>
      <c r="M1" s="62">
        <f>Datenbasis!E1</f>
        <v>41713</v>
      </c>
      <c r="O1" s="66" t="s">
        <v>91</v>
      </c>
    </row>
    <row r="2" spans="1:15" s="1" customFormat="1" ht="15.75" x14ac:dyDescent="0.25">
      <c r="A2" s="10"/>
      <c r="B2" s="10"/>
      <c r="C2" s="10" t="str">
        <f>Datenbasis!A6</f>
        <v>Auswahl eines Beratungsunternehmens für das Auswahlverfahren</v>
      </c>
      <c r="D2" s="10"/>
      <c r="E2" s="10"/>
      <c r="F2" s="10"/>
      <c r="G2" s="10"/>
      <c r="H2" s="10"/>
      <c r="I2" s="10"/>
      <c r="J2" s="10"/>
      <c r="K2" s="10"/>
      <c r="L2" s="6" t="str">
        <f>Datenbasis!D2</f>
        <v>Version:</v>
      </c>
      <c r="M2" s="63" t="str">
        <f>Datenbasis!E2</f>
        <v>1.0</v>
      </c>
    </row>
    <row r="3" spans="1:15" ht="15.75" x14ac:dyDescent="0.25">
      <c r="A3" s="5"/>
      <c r="B3" s="37"/>
      <c r="C3" s="37"/>
      <c r="D3" s="37"/>
      <c r="E3" s="37"/>
      <c r="F3" s="37"/>
      <c r="G3" s="37"/>
      <c r="H3" s="37"/>
      <c r="I3" s="37"/>
      <c r="J3" s="37"/>
      <c r="K3" s="37"/>
      <c r="L3" s="37"/>
      <c r="M3" s="37"/>
    </row>
    <row r="4" spans="1:15" ht="33.75" customHeight="1" x14ac:dyDescent="0.2">
      <c r="A4" s="43"/>
      <c r="B4" s="44" t="s">
        <v>42</v>
      </c>
      <c r="C4" s="41" t="s">
        <v>34</v>
      </c>
      <c r="D4" s="41" t="s">
        <v>40</v>
      </c>
      <c r="E4" s="41" t="s">
        <v>35</v>
      </c>
      <c r="F4" s="41" t="s">
        <v>40</v>
      </c>
      <c r="G4" s="41" t="s">
        <v>35</v>
      </c>
      <c r="H4" s="41" t="s">
        <v>40</v>
      </c>
      <c r="I4" s="41" t="s">
        <v>35</v>
      </c>
      <c r="J4" s="41" t="s">
        <v>40</v>
      </c>
      <c r="K4" s="41" t="s">
        <v>35</v>
      </c>
      <c r="L4" s="41" t="s">
        <v>40</v>
      </c>
      <c r="M4" s="41" t="s">
        <v>35</v>
      </c>
    </row>
    <row r="5" spans="1:15" s="6" customFormat="1" ht="24.75" customHeight="1" x14ac:dyDescent="0.25">
      <c r="A5" s="15" t="s">
        <v>1</v>
      </c>
      <c r="B5" s="15" t="s">
        <v>2</v>
      </c>
      <c r="C5" s="15"/>
      <c r="D5" s="83" t="str">
        <f>Datenbasis!B17</f>
        <v>A BeratungsAG</v>
      </c>
      <c r="E5" s="84"/>
      <c r="F5" s="83" t="str">
        <f>Datenbasis!B18</f>
        <v>B Consulting</v>
      </c>
      <c r="G5" s="84"/>
      <c r="H5" s="83" t="str">
        <f>Datenbasis!B19</f>
        <v>Institut C</v>
      </c>
      <c r="I5" s="84"/>
      <c r="J5" s="83" t="str">
        <f>Datenbasis!B20</f>
        <v>-</v>
      </c>
      <c r="K5" s="84"/>
      <c r="L5" s="83" t="str">
        <f>Datenbasis!B21</f>
        <v>-</v>
      </c>
      <c r="M5" s="84"/>
    </row>
    <row r="6" spans="1:15" ht="39" customHeight="1" x14ac:dyDescent="0.2">
      <c r="A6" s="14">
        <f>'Kriterien und Gewichtung'!A5</f>
        <v>1</v>
      </c>
      <c r="B6" s="56" t="str">
        <f>'Kriterien und Gewichtung'!B5:I5</f>
        <v>Unabhängigkeit</v>
      </c>
      <c r="C6" s="60">
        <f>'Kriterien und Gewichtung'!N19</f>
        <v>0.15</v>
      </c>
      <c r="D6" s="20">
        <v>4</v>
      </c>
      <c r="E6" s="55">
        <f t="shared" ref="E6:E15" si="0">ROUND($C6*D6,2)</f>
        <v>0.6</v>
      </c>
      <c r="F6" s="20">
        <v>6</v>
      </c>
      <c r="G6" s="55">
        <f t="shared" ref="G6:G15" si="1">ROUND($C6*F6,2)</f>
        <v>0.9</v>
      </c>
      <c r="H6" s="20">
        <v>8</v>
      </c>
      <c r="I6" s="55">
        <f t="shared" ref="I6:I15" si="2">ROUND($C6*H6,2)</f>
        <v>1.2</v>
      </c>
      <c r="J6" s="20"/>
      <c r="K6" s="55">
        <f t="shared" ref="K6:K15" si="3">ROUND($C6*J6,2)</f>
        <v>0</v>
      </c>
      <c r="L6" s="20"/>
      <c r="M6" s="55">
        <f t="shared" ref="M6:M15" si="4">ROUND($C6*L6,2)</f>
        <v>0</v>
      </c>
    </row>
    <row r="7" spans="1:15" ht="39" customHeight="1" x14ac:dyDescent="0.2">
      <c r="A7" s="14">
        <f>'Kriterien und Gewichtung'!A6</f>
        <v>2</v>
      </c>
      <c r="B7" s="56" t="str">
        <f>'Kriterien und Gewichtung'!B6:I6</f>
        <v>Gesamteindruck</v>
      </c>
      <c r="C7" s="60">
        <f>'Kriterien und Gewichtung'!N20</f>
        <v>0.25</v>
      </c>
      <c r="D7" s="20">
        <v>7</v>
      </c>
      <c r="E7" s="55">
        <f t="shared" si="0"/>
        <v>1.75</v>
      </c>
      <c r="F7" s="20">
        <v>6</v>
      </c>
      <c r="G7" s="55">
        <f t="shared" si="1"/>
        <v>1.5</v>
      </c>
      <c r="H7" s="20">
        <v>6</v>
      </c>
      <c r="I7" s="55">
        <f t="shared" si="2"/>
        <v>1.5</v>
      </c>
      <c r="J7" s="20"/>
      <c r="K7" s="55">
        <f t="shared" si="3"/>
        <v>0</v>
      </c>
      <c r="L7" s="20"/>
      <c r="M7" s="55">
        <f t="shared" si="4"/>
        <v>0</v>
      </c>
    </row>
    <row r="8" spans="1:15" ht="39" customHeight="1" x14ac:dyDescent="0.2">
      <c r="A8" s="14">
        <f>'Kriterien und Gewichtung'!A7</f>
        <v>3</v>
      </c>
      <c r="B8" s="56" t="str">
        <f>'Kriterien und Gewichtung'!B7:I7</f>
        <v>Einzelkompetenz</v>
      </c>
      <c r="C8" s="60">
        <f>'Kriterien und Gewichtung'!N21</f>
        <v>0.3</v>
      </c>
      <c r="D8" s="20">
        <v>6</v>
      </c>
      <c r="E8" s="55">
        <f t="shared" si="0"/>
        <v>1.8</v>
      </c>
      <c r="F8" s="20">
        <v>8</v>
      </c>
      <c r="G8" s="55">
        <f t="shared" si="1"/>
        <v>2.4</v>
      </c>
      <c r="H8" s="20">
        <v>7</v>
      </c>
      <c r="I8" s="55">
        <f t="shared" si="2"/>
        <v>2.1</v>
      </c>
      <c r="J8" s="20"/>
      <c r="K8" s="55">
        <f t="shared" si="3"/>
        <v>0</v>
      </c>
      <c r="L8" s="20"/>
      <c r="M8" s="55">
        <f t="shared" si="4"/>
        <v>0</v>
      </c>
    </row>
    <row r="9" spans="1:15" ht="39" customHeight="1" x14ac:dyDescent="0.2">
      <c r="A9" s="14">
        <f>'Kriterien und Gewichtung'!A8</f>
        <v>4</v>
      </c>
      <c r="B9" s="56" t="str">
        <f>'Kriterien und Gewichtung'!B8:I8</f>
        <v xml:space="preserve">Laufzeit </v>
      </c>
      <c r="C9" s="60">
        <f>'Kriterien und Gewichtung'!N22</f>
        <v>0.15</v>
      </c>
      <c r="D9" s="20">
        <v>5</v>
      </c>
      <c r="E9" s="55">
        <f t="shared" si="0"/>
        <v>0.75</v>
      </c>
      <c r="F9" s="20">
        <v>7</v>
      </c>
      <c r="G9" s="55">
        <f t="shared" si="1"/>
        <v>1.05</v>
      </c>
      <c r="H9" s="20">
        <v>5</v>
      </c>
      <c r="I9" s="55">
        <f t="shared" si="2"/>
        <v>0.75</v>
      </c>
      <c r="J9" s="20"/>
      <c r="K9" s="55">
        <f t="shared" si="3"/>
        <v>0</v>
      </c>
      <c r="L9" s="20"/>
      <c r="M9" s="55">
        <f t="shared" si="4"/>
        <v>0</v>
      </c>
    </row>
    <row r="10" spans="1:15" ht="39" customHeight="1" x14ac:dyDescent="0.2">
      <c r="A10" s="14">
        <f>'Kriterien und Gewichtung'!A9</f>
        <v>5</v>
      </c>
      <c r="B10" s="56" t="str">
        <f>'Kriterien und Gewichtung'!B9:I9</f>
        <v>Kosten/PT</v>
      </c>
      <c r="C10" s="60">
        <f>'Kriterien und Gewichtung'!N23</f>
        <v>0.15</v>
      </c>
      <c r="D10" s="20">
        <v>5</v>
      </c>
      <c r="E10" s="55">
        <f t="shared" si="0"/>
        <v>0.75</v>
      </c>
      <c r="F10" s="20">
        <v>4</v>
      </c>
      <c r="G10" s="55">
        <f t="shared" si="1"/>
        <v>0.6</v>
      </c>
      <c r="H10" s="20">
        <v>2</v>
      </c>
      <c r="I10" s="55">
        <f t="shared" si="2"/>
        <v>0.3</v>
      </c>
      <c r="J10" s="20"/>
      <c r="K10" s="55">
        <f t="shared" si="3"/>
        <v>0</v>
      </c>
      <c r="L10" s="20"/>
      <c r="M10" s="55">
        <f t="shared" si="4"/>
        <v>0</v>
      </c>
    </row>
    <row r="11" spans="1:15" ht="39" hidden="1" customHeight="1" x14ac:dyDescent="0.2">
      <c r="A11" s="14">
        <f>'Kriterien und Gewichtung'!A10</f>
        <v>6</v>
      </c>
      <c r="B11" s="56">
        <f>'Kriterien und Gewichtung'!B10:I10</f>
        <v>0</v>
      </c>
      <c r="C11" s="60">
        <f>'Kriterien und Gewichtung'!N24</f>
        <v>0</v>
      </c>
      <c r="D11" s="20"/>
      <c r="E11" s="55">
        <f t="shared" si="0"/>
        <v>0</v>
      </c>
      <c r="F11" s="20"/>
      <c r="G11" s="55">
        <f t="shared" si="1"/>
        <v>0</v>
      </c>
      <c r="H11" s="20"/>
      <c r="I11" s="55">
        <f t="shared" si="2"/>
        <v>0</v>
      </c>
      <c r="J11" s="20"/>
      <c r="K11" s="55">
        <f t="shared" si="3"/>
        <v>0</v>
      </c>
      <c r="L11" s="20"/>
      <c r="M11" s="55">
        <f t="shared" si="4"/>
        <v>0</v>
      </c>
    </row>
    <row r="12" spans="1:15" ht="39" hidden="1" customHeight="1" x14ac:dyDescent="0.2">
      <c r="A12" s="14">
        <f>'Kriterien und Gewichtung'!A11</f>
        <v>7</v>
      </c>
      <c r="B12" s="56">
        <f>'Kriterien und Gewichtung'!A11:I11</f>
        <v>0</v>
      </c>
      <c r="C12" s="60">
        <f>'Kriterien und Gewichtung'!N25</f>
        <v>0</v>
      </c>
      <c r="D12" s="20"/>
      <c r="E12" s="55">
        <f t="shared" si="0"/>
        <v>0</v>
      </c>
      <c r="F12" s="20"/>
      <c r="G12" s="55">
        <f t="shared" si="1"/>
        <v>0</v>
      </c>
      <c r="H12" s="20"/>
      <c r="I12" s="55">
        <f t="shared" si="2"/>
        <v>0</v>
      </c>
      <c r="J12" s="20"/>
      <c r="K12" s="55">
        <f t="shared" si="3"/>
        <v>0</v>
      </c>
      <c r="L12" s="20"/>
      <c r="M12" s="55">
        <f t="shared" si="4"/>
        <v>0</v>
      </c>
    </row>
    <row r="13" spans="1:15" ht="39" hidden="1" customHeight="1" x14ac:dyDescent="0.2">
      <c r="A13" s="14">
        <f>'Kriterien und Gewichtung'!A12</f>
        <v>8</v>
      </c>
      <c r="B13" s="56">
        <f>'Kriterien und Gewichtung'!A12:I12</f>
        <v>0</v>
      </c>
      <c r="C13" s="60">
        <f>'Kriterien und Gewichtung'!N26</f>
        <v>0</v>
      </c>
      <c r="D13" s="20"/>
      <c r="E13" s="55">
        <f t="shared" si="0"/>
        <v>0</v>
      </c>
      <c r="F13" s="20"/>
      <c r="G13" s="55">
        <f t="shared" si="1"/>
        <v>0</v>
      </c>
      <c r="H13" s="20"/>
      <c r="I13" s="55">
        <f t="shared" si="2"/>
        <v>0</v>
      </c>
      <c r="J13" s="20"/>
      <c r="K13" s="55">
        <f t="shared" si="3"/>
        <v>0</v>
      </c>
      <c r="L13" s="20"/>
      <c r="M13" s="55">
        <f t="shared" si="4"/>
        <v>0</v>
      </c>
    </row>
    <row r="14" spans="1:15" ht="39" hidden="1" customHeight="1" x14ac:dyDescent="0.2">
      <c r="A14" s="14">
        <f>'Kriterien und Gewichtung'!A13</f>
        <v>9</v>
      </c>
      <c r="B14" s="56">
        <f>'Kriterien und Gewichtung'!A13:I13</f>
        <v>0</v>
      </c>
      <c r="C14" s="60">
        <f>'Kriterien und Gewichtung'!N27</f>
        <v>0</v>
      </c>
      <c r="D14" s="20"/>
      <c r="E14" s="55">
        <f t="shared" si="0"/>
        <v>0</v>
      </c>
      <c r="F14" s="20"/>
      <c r="G14" s="55">
        <f t="shared" si="1"/>
        <v>0</v>
      </c>
      <c r="H14" s="20"/>
      <c r="I14" s="55">
        <f t="shared" si="2"/>
        <v>0</v>
      </c>
      <c r="J14" s="20"/>
      <c r="K14" s="55">
        <f t="shared" si="3"/>
        <v>0</v>
      </c>
      <c r="L14" s="20"/>
      <c r="M14" s="55">
        <f t="shared" si="4"/>
        <v>0</v>
      </c>
    </row>
    <row r="15" spans="1:15" ht="39" hidden="1" customHeight="1" x14ac:dyDescent="0.2">
      <c r="A15" s="14">
        <f>'Kriterien und Gewichtung'!A14</f>
        <v>10</v>
      </c>
      <c r="B15" s="56">
        <f>'Kriterien und Gewichtung'!A14:I14</f>
        <v>0</v>
      </c>
      <c r="C15" s="60">
        <f>'Kriterien und Gewichtung'!N28</f>
        <v>0</v>
      </c>
      <c r="D15" s="20"/>
      <c r="E15" s="55">
        <f t="shared" si="0"/>
        <v>0</v>
      </c>
      <c r="F15" s="20"/>
      <c r="G15" s="55">
        <f t="shared" si="1"/>
        <v>0</v>
      </c>
      <c r="H15" s="20"/>
      <c r="I15" s="55">
        <f t="shared" si="2"/>
        <v>0</v>
      </c>
      <c r="J15" s="20"/>
      <c r="K15" s="55">
        <f t="shared" si="3"/>
        <v>0</v>
      </c>
      <c r="L15" s="20"/>
      <c r="M15" s="55">
        <f t="shared" si="4"/>
        <v>0</v>
      </c>
    </row>
    <row r="16" spans="1:15" s="4" customFormat="1" ht="35.25" customHeight="1" x14ac:dyDescent="0.25">
      <c r="A16" s="45"/>
      <c r="B16" s="45"/>
      <c r="C16" s="42" t="s">
        <v>39</v>
      </c>
      <c r="D16" s="40"/>
      <c r="E16" s="55">
        <f>SUM(E6:E15)</f>
        <v>5.65</v>
      </c>
      <c r="F16" s="40"/>
      <c r="G16" s="55">
        <f>SUM(G6:G15)</f>
        <v>6.4499999999999993</v>
      </c>
      <c r="H16" s="40"/>
      <c r="I16" s="55">
        <f>SUM(I6:I15)</f>
        <v>5.8500000000000005</v>
      </c>
      <c r="J16" s="40"/>
      <c r="K16" s="55">
        <f>SUM(K6:K15)</f>
        <v>0</v>
      </c>
      <c r="L16" s="40"/>
      <c r="M16" s="55">
        <f>SUM(M6:M15)</f>
        <v>0</v>
      </c>
    </row>
  </sheetData>
  <sheetProtection selectLockedCells="1" selectUnlockedCells="1"/>
  <mergeCells count="5">
    <mergeCell ref="D5:E5"/>
    <mergeCell ref="F5:G5"/>
    <mergeCell ref="H5:I5"/>
    <mergeCell ref="J5:K5"/>
    <mergeCell ref="L5:M5"/>
  </mergeCells>
  <phoneticPr fontId="1" type="noConversion"/>
  <dataValidations count="1">
    <dataValidation type="whole" allowBlank="1" showInputMessage="1" showErrorMessage="1" sqref="D6:D15 F6:F15 H6:H15 J6:J15 L6:L15">
      <formula1>0</formula1>
      <formula2>8</formula2>
    </dataValidation>
  </dataValidations>
  <pageMargins left="0.78740157480314965" right="0.78740157480314965" top="0.98425196850393704" bottom="0.98425196850393704" header="0.51181102362204722" footer="0.51181102362204722"/>
  <pageSetup paperSize="9" scale="82" fitToHeight="0" orientation="landscape" horizontalDpi="300" verticalDpi="300" r:id="rId1"/>
  <headerFooter alignWithMargins="0">
    <oddHeader>&amp;L&amp;A&amp;C&amp;F&amp;R&amp;D</oddHeader>
    <oddFooter>&amp;LCornelia Niklas&amp;CSeite &amp;P</oddFooter>
  </headerFooter>
  <rowBreaks count="1" manualBreakCount="1">
    <brk id="17" max="16383"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H21"/>
  <sheetViews>
    <sheetView zoomScaleNormal="100" workbookViewId="0">
      <selection activeCell="A7" sqref="A7"/>
    </sheetView>
  </sheetViews>
  <sheetFormatPr baseColWidth="10" defaultRowHeight="15" x14ac:dyDescent="0.25"/>
  <cols>
    <col min="1" max="1" width="17.7109375" style="4" customWidth="1"/>
    <col min="2" max="2" width="15.5703125" style="4" customWidth="1"/>
    <col min="3" max="5" width="11.42578125" style="4"/>
    <col min="6" max="6" width="11.42578125" style="4" customWidth="1"/>
    <col min="7" max="7" width="11.85546875" style="4" customWidth="1"/>
    <col min="8" max="16384" width="11.42578125" style="4"/>
  </cols>
  <sheetData>
    <row r="1" spans="1:8" ht="18.75" x14ac:dyDescent="0.3">
      <c r="A1" s="7" t="str">
        <f>Datenbasis!A3</f>
        <v>Projekt:</v>
      </c>
      <c r="F1" s="4" t="str">
        <f>Datenbasis!D1</f>
        <v>Datum:</v>
      </c>
      <c r="G1" s="61">
        <f>Datenbasis!E1</f>
        <v>41713</v>
      </c>
    </row>
    <row r="2" spans="1:8" ht="21" x14ac:dyDescent="0.35">
      <c r="A2" s="7" t="str">
        <f>Datenbasis!B3</f>
        <v xml:space="preserve">Auswahl eines Produktions-Planungssystems (ERP) </v>
      </c>
      <c r="B2" s="9"/>
      <c r="F2" s="4" t="str">
        <f>Datenbasis!D2</f>
        <v>Version:</v>
      </c>
      <c r="G2" s="63" t="str">
        <f>Datenbasis!E2</f>
        <v>1.0</v>
      </c>
      <c r="H2" s="61"/>
    </row>
    <row r="3" spans="1:8" ht="21" x14ac:dyDescent="0.35">
      <c r="A3" s="6" t="str">
        <f>Datenbasis!A6</f>
        <v>Auswahl eines Beratungsunternehmens für das Auswahlverfahren</v>
      </c>
      <c r="B3" s="9"/>
      <c r="H3" s="61"/>
    </row>
    <row r="5" spans="1:8" ht="18.75" x14ac:dyDescent="0.3">
      <c r="A5" s="8" t="str">
        <f>Datenbasis!A17</f>
        <v>Alternative 1:</v>
      </c>
    </row>
    <row r="7" spans="1:8" x14ac:dyDescent="0.25">
      <c r="A7" s="4" t="s">
        <v>16</v>
      </c>
      <c r="B7" s="4" t="str">
        <f>Datenbasis!B17</f>
        <v>A BeratungsAG</v>
      </c>
    </row>
    <row r="9" spans="1:8" ht="18.75" x14ac:dyDescent="0.3">
      <c r="A9" s="8" t="s">
        <v>17</v>
      </c>
    </row>
    <row r="10" spans="1:8" x14ac:dyDescent="0.25">
      <c r="A10" s="4" t="s">
        <v>82</v>
      </c>
    </row>
    <row r="11" spans="1:8" x14ac:dyDescent="0.25">
      <c r="A11" s="4" t="s">
        <v>83</v>
      </c>
    </row>
    <row r="12" spans="1:8" x14ac:dyDescent="0.25">
      <c r="A12" s="4" t="s">
        <v>84</v>
      </c>
    </row>
    <row r="13" spans="1:8" x14ac:dyDescent="0.25">
      <c r="A13" s="4" t="s">
        <v>100</v>
      </c>
    </row>
    <row r="14" spans="1:8" x14ac:dyDescent="0.25">
      <c r="A14" s="4" t="s">
        <v>75</v>
      </c>
    </row>
    <row r="16" spans="1:8" ht="18.75" x14ac:dyDescent="0.3">
      <c r="A16" s="8" t="s">
        <v>41</v>
      </c>
    </row>
    <row r="17" spans="1:1" x14ac:dyDescent="0.25">
      <c r="A17" s="4" t="s">
        <v>81</v>
      </c>
    </row>
    <row r="18" spans="1:1" x14ac:dyDescent="0.25">
      <c r="A18" s="4" t="s">
        <v>76</v>
      </c>
    </row>
    <row r="21" spans="1:1" x14ac:dyDescent="0.25">
      <c r="A21" s="64"/>
    </row>
  </sheetData>
  <pageMargins left="0.70866141732283472" right="0.70866141732283472" top="0.78740157480314965" bottom="0.78740157480314965" header="0.31496062992125984" footer="0.31496062992125984"/>
  <pageSetup paperSize="9" scale="98" orientation="portrait" horizontalDpi="4294967293" verticalDpi="4294967293" r:id="rId1"/>
  <headerFooter>
    <oddHeader>&amp;L&amp;A&amp;C&amp;F&amp;R&amp;D</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H20"/>
  <sheetViews>
    <sheetView zoomScaleNormal="100" workbookViewId="0">
      <selection activeCell="H23" sqref="H23"/>
    </sheetView>
  </sheetViews>
  <sheetFormatPr baseColWidth="10" defaultRowHeight="15" x14ac:dyDescent="0.25"/>
  <cols>
    <col min="1" max="1" width="17.7109375" style="4" customWidth="1"/>
    <col min="2" max="2" width="15.5703125" style="4" customWidth="1"/>
    <col min="3" max="6" width="11.42578125" style="4"/>
    <col min="7" max="7" width="11.85546875" style="4" customWidth="1"/>
    <col min="8" max="16384" width="11.42578125" style="4"/>
  </cols>
  <sheetData>
    <row r="1" spans="1:8" ht="18.75" x14ac:dyDescent="0.3">
      <c r="A1" s="7" t="str">
        <f>Datenbasis!A3</f>
        <v>Projekt:</v>
      </c>
      <c r="F1" s="4" t="str">
        <f>Datenbasis!D1</f>
        <v>Datum:</v>
      </c>
      <c r="G1" s="61">
        <f>Datenbasis!E1</f>
        <v>41713</v>
      </c>
    </row>
    <row r="2" spans="1:8" ht="21" x14ac:dyDescent="0.35">
      <c r="A2" s="7" t="str">
        <f>Datenbasis!B3</f>
        <v xml:space="preserve">Auswahl eines Produktions-Planungssystems (ERP) </v>
      </c>
      <c r="B2" s="9"/>
      <c r="F2" s="4" t="str">
        <f>Datenbasis!D2</f>
        <v>Version:</v>
      </c>
      <c r="G2" s="63" t="str">
        <f>Datenbasis!E2</f>
        <v>1.0</v>
      </c>
      <c r="H2" s="61"/>
    </row>
    <row r="3" spans="1:8" ht="21" x14ac:dyDescent="0.35">
      <c r="A3" s="6" t="str">
        <f>Datenbasis!A6</f>
        <v>Auswahl eines Beratungsunternehmens für das Auswahlverfahren</v>
      </c>
      <c r="B3" s="9"/>
      <c r="H3" s="61"/>
    </row>
    <row r="5" spans="1:8" ht="18.75" x14ac:dyDescent="0.3">
      <c r="A5" s="8" t="str">
        <f>Datenbasis!A18</f>
        <v>Alternative 2:</v>
      </c>
    </row>
    <row r="7" spans="1:8" x14ac:dyDescent="0.25">
      <c r="A7" s="4" t="s">
        <v>16</v>
      </c>
      <c r="B7" s="4" t="str">
        <f>Datenbasis!B18</f>
        <v>B Consulting</v>
      </c>
    </row>
    <row r="9" spans="1:8" ht="18.75" x14ac:dyDescent="0.3">
      <c r="A9" s="8" t="s">
        <v>17</v>
      </c>
    </row>
    <row r="10" spans="1:8" x14ac:dyDescent="0.25">
      <c r="A10" s="4" t="s">
        <v>78</v>
      </c>
    </row>
    <row r="11" spans="1:8" x14ac:dyDescent="0.25">
      <c r="A11" s="4" t="s">
        <v>79</v>
      </c>
    </row>
    <row r="12" spans="1:8" x14ac:dyDescent="0.25">
      <c r="A12" s="4" t="s">
        <v>103</v>
      </c>
    </row>
    <row r="14" spans="1:8" x14ac:dyDescent="0.25">
      <c r="A14" s="4" t="s">
        <v>104</v>
      </c>
    </row>
    <row r="15" spans="1:8" x14ac:dyDescent="0.25">
      <c r="B15" s="4" t="s">
        <v>80</v>
      </c>
    </row>
    <row r="16" spans="1:8" ht="18.75" x14ac:dyDescent="0.3">
      <c r="A16" s="8" t="s">
        <v>41</v>
      </c>
    </row>
    <row r="17" spans="1:1" x14ac:dyDescent="0.25">
      <c r="A17" s="4" t="s">
        <v>77</v>
      </c>
    </row>
    <row r="18" spans="1:1" x14ac:dyDescent="0.25">
      <c r="A18" s="4" t="s">
        <v>85</v>
      </c>
    </row>
    <row r="20" spans="1:1" x14ac:dyDescent="0.25">
      <c r="A20" s="64"/>
    </row>
  </sheetData>
  <pageMargins left="0.70866141732283472" right="0.70866141732283472" top="0.78740157480314965" bottom="0.78740157480314965" header="0.31496062992125984" footer="0.31496062992125984"/>
  <pageSetup paperSize="9" scale="98" orientation="portrait" horizontalDpi="4294967293" verticalDpi="4294967293" r:id="rId1"/>
  <headerFooter>
    <oddHeader>&amp;L&amp;A&amp;C&amp;F&amp;R&amp;D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H20"/>
  <sheetViews>
    <sheetView zoomScaleNormal="100" workbookViewId="0">
      <selection activeCell="L18" sqref="L18"/>
    </sheetView>
  </sheetViews>
  <sheetFormatPr baseColWidth="10" defaultRowHeight="15" x14ac:dyDescent="0.25"/>
  <cols>
    <col min="1" max="1" width="17.7109375" style="4" customWidth="1"/>
    <col min="2" max="2" width="15.5703125" style="4" customWidth="1"/>
    <col min="3" max="6" width="11.42578125" style="4"/>
    <col min="7" max="7" width="11.85546875" style="4" customWidth="1"/>
    <col min="8" max="16384" width="11.42578125" style="4"/>
  </cols>
  <sheetData>
    <row r="1" spans="1:8" ht="18.75" x14ac:dyDescent="0.3">
      <c r="A1" s="7" t="str">
        <f>Datenbasis!A3</f>
        <v>Projekt:</v>
      </c>
      <c r="F1" s="4" t="str">
        <f>Datenbasis!D1</f>
        <v>Datum:</v>
      </c>
      <c r="G1" s="61">
        <f>Datenbasis!E1</f>
        <v>41713</v>
      </c>
    </row>
    <row r="2" spans="1:8" ht="21" x14ac:dyDescent="0.35">
      <c r="A2" s="7" t="str">
        <f>Datenbasis!B3</f>
        <v xml:space="preserve">Auswahl eines Produktions-Planungssystems (ERP) </v>
      </c>
      <c r="B2" s="9"/>
      <c r="F2" s="4" t="str">
        <f>Datenbasis!D2</f>
        <v>Version:</v>
      </c>
      <c r="G2" s="63" t="str">
        <f>Datenbasis!E2</f>
        <v>1.0</v>
      </c>
      <c r="H2" s="61"/>
    </row>
    <row r="3" spans="1:8" ht="21" x14ac:dyDescent="0.35">
      <c r="A3" s="6" t="str">
        <f>Datenbasis!A6</f>
        <v>Auswahl eines Beratungsunternehmens für das Auswahlverfahren</v>
      </c>
      <c r="B3" s="9"/>
      <c r="H3" s="61"/>
    </row>
    <row r="5" spans="1:8" ht="18.75" x14ac:dyDescent="0.3">
      <c r="A5" s="8" t="str">
        <f>Datenbasis!A19</f>
        <v>Alternative 3:</v>
      </c>
    </row>
    <row r="7" spans="1:8" x14ac:dyDescent="0.25">
      <c r="A7" s="4" t="s">
        <v>16</v>
      </c>
      <c r="B7" s="4" t="str">
        <f>Datenbasis!B19</f>
        <v>Institut C</v>
      </c>
    </row>
    <row r="9" spans="1:8" ht="18.75" x14ac:dyDescent="0.3">
      <c r="A9" s="8" t="s">
        <v>17</v>
      </c>
    </row>
    <row r="10" spans="1:8" x14ac:dyDescent="0.25">
      <c r="A10" s="3" t="s">
        <v>86</v>
      </c>
    </row>
    <row r="11" spans="1:8" x14ac:dyDescent="0.25">
      <c r="A11" s="3" t="s">
        <v>87</v>
      </c>
    </row>
    <row r="12" spans="1:8" x14ac:dyDescent="0.25">
      <c r="A12" s="4" t="s">
        <v>88</v>
      </c>
    </row>
    <row r="14" spans="1:8" x14ac:dyDescent="0.25">
      <c r="A14" s="3" t="s">
        <v>105</v>
      </c>
    </row>
    <row r="16" spans="1:8" ht="18.75" x14ac:dyDescent="0.3">
      <c r="A16" s="8" t="s">
        <v>41</v>
      </c>
    </row>
    <row r="17" spans="1:1" x14ac:dyDescent="0.25">
      <c r="A17" s="4" t="s">
        <v>90</v>
      </c>
    </row>
    <row r="18" spans="1:1" x14ac:dyDescent="0.25">
      <c r="A18" s="4" t="s">
        <v>89</v>
      </c>
    </row>
    <row r="20" spans="1:1" x14ac:dyDescent="0.25">
      <c r="A20" s="64"/>
    </row>
  </sheetData>
  <pageMargins left="0.70866141732283472" right="0.70866141732283472" top="0.78740157480314965" bottom="0.78740157480314965" header="0.31496062992125984" footer="0.31496062992125984"/>
  <pageSetup paperSize="9" scale="98" orientation="portrait" horizontalDpi="4294967293" verticalDpi="4294967293" r:id="rId1"/>
  <headerFooter>
    <oddHeader>&amp;L&amp;A&amp;C&amp;F&amp;R&amp;D</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H18"/>
  <sheetViews>
    <sheetView zoomScaleNormal="100" workbookViewId="0">
      <selection activeCell="F15" sqref="F15"/>
    </sheetView>
  </sheetViews>
  <sheetFormatPr baseColWidth="10" defaultRowHeight="15" x14ac:dyDescent="0.25"/>
  <cols>
    <col min="1" max="1" width="17.7109375" style="4" customWidth="1"/>
    <col min="2" max="2" width="15.5703125" style="4" customWidth="1"/>
    <col min="3" max="6" width="11.42578125" style="4"/>
    <col min="7" max="7" width="11.85546875" style="4" customWidth="1"/>
    <col min="8" max="16384" width="11.42578125" style="4"/>
  </cols>
  <sheetData>
    <row r="1" spans="1:8" ht="18.75" x14ac:dyDescent="0.3">
      <c r="A1" s="7" t="str">
        <f>Datenbasis!A3</f>
        <v>Projekt:</v>
      </c>
      <c r="F1" s="4" t="str">
        <f>Datenbasis!D1</f>
        <v>Datum:</v>
      </c>
      <c r="G1" s="61">
        <f>Datenbasis!E1</f>
        <v>41713</v>
      </c>
    </row>
    <row r="2" spans="1:8" ht="21" x14ac:dyDescent="0.35">
      <c r="A2" s="7" t="str">
        <f>Datenbasis!B3</f>
        <v xml:space="preserve">Auswahl eines Produktions-Planungssystems (ERP) </v>
      </c>
      <c r="B2" s="9"/>
      <c r="F2" s="4" t="str">
        <f>Datenbasis!D2</f>
        <v>Version:</v>
      </c>
      <c r="G2" s="63" t="str">
        <f>Datenbasis!E2</f>
        <v>1.0</v>
      </c>
      <c r="H2" s="61"/>
    </row>
    <row r="3" spans="1:8" ht="21" x14ac:dyDescent="0.35">
      <c r="A3" s="6" t="str">
        <f>Datenbasis!A6</f>
        <v>Auswahl eines Beratungsunternehmens für das Auswahlverfahren</v>
      </c>
      <c r="B3" s="9"/>
      <c r="H3" s="61"/>
    </row>
    <row r="5" spans="1:8" ht="18.75" x14ac:dyDescent="0.3">
      <c r="A5" s="8" t="str">
        <f>Datenbasis!A20</f>
        <v>Alternative 4:</v>
      </c>
    </row>
    <row r="7" spans="1:8" x14ac:dyDescent="0.25">
      <c r="A7" s="4" t="s">
        <v>16</v>
      </c>
      <c r="B7" s="4" t="str">
        <f>Datenbasis!B20</f>
        <v>-</v>
      </c>
    </row>
    <row r="9" spans="1:8" ht="18.75" x14ac:dyDescent="0.3">
      <c r="A9" s="8" t="s">
        <v>17</v>
      </c>
    </row>
    <row r="10" spans="1:8" x14ac:dyDescent="0.25">
      <c r="A10" s="3"/>
    </row>
    <row r="11" spans="1:8" x14ac:dyDescent="0.25">
      <c r="A11" s="3"/>
    </row>
    <row r="14" spans="1:8" x14ac:dyDescent="0.25">
      <c r="A14" s="3"/>
    </row>
    <row r="16" spans="1:8" ht="18.75" x14ac:dyDescent="0.3">
      <c r="A16" s="8" t="s">
        <v>41</v>
      </c>
    </row>
    <row r="17" spans="1:1" x14ac:dyDescent="0.25">
      <c r="A17" s="3"/>
    </row>
    <row r="18" spans="1:1" x14ac:dyDescent="0.25">
      <c r="A18" s="3"/>
    </row>
  </sheetData>
  <pageMargins left="0.70866141732283472" right="0.70866141732283472" top="0.78740157480314965" bottom="0.78740157480314965" header="0.31496062992125984" footer="0.31496062992125984"/>
  <pageSetup paperSize="9" scale="98" orientation="portrait" horizontalDpi="4294967293" verticalDpi="4294967293" r:id="rId1"/>
  <headerFooter>
    <oddHeader>&amp;L&amp;A&amp;C&amp;F&amp;R&amp;D</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H16"/>
  <sheetViews>
    <sheetView zoomScaleNormal="100" workbookViewId="0">
      <selection activeCell="I28" sqref="I28"/>
    </sheetView>
  </sheetViews>
  <sheetFormatPr baseColWidth="10" defaultRowHeight="15" x14ac:dyDescent="0.25"/>
  <cols>
    <col min="1" max="1" width="17.7109375" style="4" customWidth="1"/>
    <col min="2" max="2" width="15.5703125" style="4" customWidth="1"/>
    <col min="3" max="6" width="11.42578125" style="4"/>
    <col min="7" max="7" width="11.85546875" style="4" customWidth="1"/>
    <col min="8" max="16384" width="11.42578125" style="4"/>
  </cols>
  <sheetData>
    <row r="1" spans="1:8" ht="18.75" x14ac:dyDescent="0.3">
      <c r="A1" s="7" t="str">
        <f>Datenbasis!A3</f>
        <v>Projekt:</v>
      </c>
      <c r="F1" s="4" t="str">
        <f>Datenbasis!D1</f>
        <v>Datum:</v>
      </c>
      <c r="G1" s="61">
        <f>Datenbasis!E1</f>
        <v>41713</v>
      </c>
    </row>
    <row r="2" spans="1:8" ht="21" x14ac:dyDescent="0.35">
      <c r="A2" s="7" t="str">
        <f>Datenbasis!B3</f>
        <v xml:space="preserve">Auswahl eines Produktions-Planungssystems (ERP) </v>
      </c>
      <c r="B2" s="9"/>
      <c r="F2" s="4" t="str">
        <f>Datenbasis!D2</f>
        <v>Version:</v>
      </c>
      <c r="G2" s="63" t="str">
        <f>Datenbasis!E2</f>
        <v>1.0</v>
      </c>
      <c r="H2" s="61"/>
    </row>
    <row r="3" spans="1:8" ht="21" x14ac:dyDescent="0.35">
      <c r="A3" s="6" t="str">
        <f>Datenbasis!A6</f>
        <v>Auswahl eines Beratungsunternehmens für das Auswahlverfahren</v>
      </c>
      <c r="B3" s="9"/>
      <c r="H3" s="61"/>
    </row>
    <row r="5" spans="1:8" ht="18.75" x14ac:dyDescent="0.3">
      <c r="A5" s="8" t="str">
        <f>Datenbasis!A21</f>
        <v>Alternative 5:</v>
      </c>
    </row>
    <row r="7" spans="1:8" x14ac:dyDescent="0.25">
      <c r="A7" s="4" t="s">
        <v>16</v>
      </c>
      <c r="B7" s="4" t="str">
        <f>Datenbasis!B21</f>
        <v>-</v>
      </c>
    </row>
    <row r="9" spans="1:8" ht="18.75" x14ac:dyDescent="0.3">
      <c r="A9" s="8" t="s">
        <v>17</v>
      </c>
    </row>
    <row r="16" spans="1:8" ht="18.75" x14ac:dyDescent="0.3">
      <c r="A16" s="8" t="s">
        <v>41</v>
      </c>
    </row>
  </sheetData>
  <pageMargins left="0.70866141732283472" right="0.70866141732283472" top="0.78740157480314965" bottom="0.78740157480314965" header="0.31496062992125984" footer="0.31496062992125984"/>
  <pageSetup paperSize="9" scale="98" orientation="portrait" horizontalDpi="4294967293" verticalDpi="4294967293" r:id="rId1"/>
  <headerFooter>
    <oddHeader>&amp;L&amp;A&amp;C&amp;F&amp;R&amp;D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G14"/>
  <sheetViews>
    <sheetView workbookViewId="0">
      <selection activeCell="J46" sqref="J46"/>
    </sheetView>
  </sheetViews>
  <sheetFormatPr baseColWidth="10" defaultRowHeight="12.75" x14ac:dyDescent="0.2"/>
  <cols>
    <col min="1" max="1" width="4.42578125" style="2" customWidth="1"/>
    <col min="2" max="2" width="27.5703125" style="2" customWidth="1"/>
    <col min="3" max="16384" width="11.42578125" style="2"/>
  </cols>
  <sheetData>
    <row r="1" spans="1:7" x14ac:dyDescent="0.2">
      <c r="A1" s="2" t="s">
        <v>43</v>
      </c>
    </row>
    <row r="3" spans="1:7" x14ac:dyDescent="0.2">
      <c r="B3" s="2" t="str">
        <f>'Bewertung - Nutzwert'!B4</f>
        <v>Bewertung der Alternativen</v>
      </c>
      <c r="C3" s="2" t="str">
        <f>'Bewertung - Nutzwert'!E4</f>
        <v>Teil-Nutzwert</v>
      </c>
      <c r="D3" s="2" t="str">
        <f>'Bewertung - Nutzwert'!G4</f>
        <v>Teil-Nutzwert</v>
      </c>
      <c r="E3" s="2" t="str">
        <f>'Bewertung - Nutzwert'!I4</f>
        <v>Teil-Nutzwert</v>
      </c>
      <c r="F3" s="2" t="str">
        <f>'Bewertung - Nutzwert'!K4</f>
        <v>Teil-Nutzwert</v>
      </c>
      <c r="G3" s="2" t="str">
        <f>'Bewertung - Nutzwert'!M4</f>
        <v>Teil-Nutzwert</v>
      </c>
    </row>
    <row r="4" spans="1:7" x14ac:dyDescent="0.2">
      <c r="A4" s="2" t="str">
        <f>'Bewertung - Nutzwert'!A5</f>
        <v xml:space="preserve">Nr. </v>
      </c>
      <c r="B4" s="2" t="str">
        <f>'Bewertung - Nutzwert'!B5</f>
        <v>Kriterium</v>
      </c>
      <c r="C4" s="2" t="str">
        <f>'Bewertung - Nutzwert'!D5</f>
        <v>A BeratungsAG</v>
      </c>
      <c r="D4" s="2" t="str">
        <f>'Bewertung - Nutzwert'!F5</f>
        <v>B Consulting</v>
      </c>
      <c r="E4" s="2" t="str">
        <f>'Bewertung - Nutzwert'!H5</f>
        <v>Institut C</v>
      </c>
      <c r="F4" s="2" t="str">
        <f>'Bewertung - Nutzwert'!J5</f>
        <v>-</v>
      </c>
      <c r="G4" s="2" t="str">
        <f>'Bewertung - Nutzwert'!L5</f>
        <v>-</v>
      </c>
    </row>
    <row r="5" spans="1:7" x14ac:dyDescent="0.2">
      <c r="A5" s="2">
        <f>'Bewertung - Nutzwert'!A6</f>
        <v>1</v>
      </c>
      <c r="B5" s="2" t="str">
        <f>'Bewertung - Nutzwert'!B6</f>
        <v>Unabhängigkeit</v>
      </c>
      <c r="C5" s="46">
        <f>'Bewertung - Nutzwert'!E6</f>
        <v>0.6</v>
      </c>
      <c r="D5" s="46">
        <f>'Bewertung - Nutzwert'!G6</f>
        <v>0.9</v>
      </c>
      <c r="E5" s="46">
        <f>'Bewertung - Nutzwert'!I6</f>
        <v>1.2</v>
      </c>
      <c r="F5" s="46">
        <f>'Bewertung - Nutzwert'!K6</f>
        <v>0</v>
      </c>
      <c r="G5" s="46">
        <f>'Bewertung - Nutzwert'!M6</f>
        <v>0</v>
      </c>
    </row>
    <row r="6" spans="1:7" x14ac:dyDescent="0.2">
      <c r="A6" s="2">
        <f>'Bewertung - Nutzwert'!A7</f>
        <v>2</v>
      </c>
      <c r="B6" s="2" t="str">
        <f>'Bewertung - Nutzwert'!B7</f>
        <v>Gesamteindruck</v>
      </c>
      <c r="C6" s="46">
        <f>'Bewertung - Nutzwert'!E7</f>
        <v>1.75</v>
      </c>
      <c r="D6" s="46">
        <f>'Bewertung - Nutzwert'!G7</f>
        <v>1.5</v>
      </c>
      <c r="E6" s="46">
        <f>'Bewertung - Nutzwert'!I7</f>
        <v>1.5</v>
      </c>
      <c r="F6" s="46">
        <f>'Bewertung - Nutzwert'!K7</f>
        <v>0</v>
      </c>
      <c r="G6" s="46">
        <f>'Bewertung - Nutzwert'!M7</f>
        <v>0</v>
      </c>
    </row>
    <row r="7" spans="1:7" x14ac:dyDescent="0.2">
      <c r="A7" s="2">
        <f>'Bewertung - Nutzwert'!A8</f>
        <v>3</v>
      </c>
      <c r="B7" s="2" t="str">
        <f>'Bewertung - Nutzwert'!B8</f>
        <v>Einzelkompetenz</v>
      </c>
      <c r="C7" s="46">
        <f>'Bewertung - Nutzwert'!E8</f>
        <v>1.8</v>
      </c>
      <c r="D7" s="46">
        <f>'Bewertung - Nutzwert'!G8</f>
        <v>2.4</v>
      </c>
      <c r="E7" s="46">
        <f>'Bewertung - Nutzwert'!I8</f>
        <v>2.1</v>
      </c>
      <c r="F7" s="46">
        <f>'Bewertung - Nutzwert'!K8</f>
        <v>0</v>
      </c>
      <c r="G7" s="46">
        <f>'Bewertung - Nutzwert'!M8</f>
        <v>0</v>
      </c>
    </row>
    <row r="8" spans="1:7" x14ac:dyDescent="0.2">
      <c r="A8" s="2">
        <f>'Bewertung - Nutzwert'!A9</f>
        <v>4</v>
      </c>
      <c r="B8" s="2" t="str">
        <f>'Bewertung - Nutzwert'!B9</f>
        <v xml:space="preserve">Laufzeit </v>
      </c>
      <c r="C8" s="46">
        <f>'Bewertung - Nutzwert'!E9</f>
        <v>0.75</v>
      </c>
      <c r="D8" s="46">
        <f>'Bewertung - Nutzwert'!G9</f>
        <v>1.05</v>
      </c>
      <c r="E8" s="46">
        <f>'Bewertung - Nutzwert'!I9</f>
        <v>0.75</v>
      </c>
      <c r="F8" s="46">
        <f>'Bewertung - Nutzwert'!K9</f>
        <v>0</v>
      </c>
      <c r="G8" s="46">
        <f>'Bewertung - Nutzwert'!M9</f>
        <v>0</v>
      </c>
    </row>
    <row r="9" spans="1:7" x14ac:dyDescent="0.2">
      <c r="A9" s="2">
        <f>'Bewertung - Nutzwert'!A10</f>
        <v>5</v>
      </c>
      <c r="B9" s="2" t="str">
        <f>'Bewertung - Nutzwert'!B10</f>
        <v>Kosten/PT</v>
      </c>
      <c r="C9" s="46">
        <f>'Bewertung - Nutzwert'!E10</f>
        <v>0.75</v>
      </c>
      <c r="D9" s="46">
        <f>'Bewertung - Nutzwert'!G10</f>
        <v>0.6</v>
      </c>
      <c r="E9" s="46">
        <f>'Bewertung - Nutzwert'!I10</f>
        <v>0.3</v>
      </c>
      <c r="F9" s="46">
        <f>'Bewertung - Nutzwert'!K10</f>
        <v>0</v>
      </c>
      <c r="G9" s="46">
        <f>'Bewertung - Nutzwert'!M10</f>
        <v>0</v>
      </c>
    </row>
    <row r="10" spans="1:7" x14ac:dyDescent="0.2">
      <c r="A10" s="2">
        <f>'Bewertung - Nutzwert'!A11</f>
        <v>6</v>
      </c>
      <c r="B10" s="2">
        <f>'Bewertung - Nutzwert'!B11</f>
        <v>0</v>
      </c>
      <c r="C10" s="46">
        <f>'Bewertung - Nutzwert'!E11</f>
        <v>0</v>
      </c>
      <c r="D10" s="46">
        <f>'Bewertung - Nutzwert'!G11</f>
        <v>0</v>
      </c>
      <c r="E10" s="46">
        <f>'Bewertung - Nutzwert'!I11</f>
        <v>0</v>
      </c>
      <c r="F10" s="46">
        <f>'Bewertung - Nutzwert'!K11</f>
        <v>0</v>
      </c>
      <c r="G10" s="46">
        <f>'Bewertung - Nutzwert'!M11</f>
        <v>0</v>
      </c>
    </row>
    <row r="11" spans="1:7" x14ac:dyDescent="0.2">
      <c r="A11" s="2">
        <f>'Bewertung - Nutzwert'!A12</f>
        <v>7</v>
      </c>
      <c r="B11" s="2">
        <f>'Bewertung - Nutzwert'!B12</f>
        <v>0</v>
      </c>
      <c r="C11" s="46">
        <f>'Bewertung - Nutzwert'!E12</f>
        <v>0</v>
      </c>
      <c r="D11" s="46">
        <f>'Bewertung - Nutzwert'!G12</f>
        <v>0</v>
      </c>
      <c r="E11" s="46">
        <f>'Bewertung - Nutzwert'!I12</f>
        <v>0</v>
      </c>
      <c r="F11" s="46">
        <f>'Bewertung - Nutzwert'!K12</f>
        <v>0</v>
      </c>
      <c r="G11" s="46">
        <f>'Bewertung - Nutzwert'!M12</f>
        <v>0</v>
      </c>
    </row>
    <row r="12" spans="1:7" x14ac:dyDescent="0.2">
      <c r="A12" s="2">
        <f>'Bewertung - Nutzwert'!A13</f>
        <v>8</v>
      </c>
      <c r="B12" s="2">
        <f>'Bewertung - Nutzwert'!B13</f>
        <v>0</v>
      </c>
      <c r="C12" s="46">
        <f>'Bewertung - Nutzwert'!E13</f>
        <v>0</v>
      </c>
      <c r="D12" s="46">
        <f>'Bewertung - Nutzwert'!G13</f>
        <v>0</v>
      </c>
      <c r="E12" s="46">
        <f>'Bewertung - Nutzwert'!I13</f>
        <v>0</v>
      </c>
      <c r="F12" s="46">
        <f>'Bewertung - Nutzwert'!K13</f>
        <v>0</v>
      </c>
      <c r="G12" s="46">
        <f>'Bewertung - Nutzwert'!M13</f>
        <v>0</v>
      </c>
    </row>
    <row r="13" spans="1:7" x14ac:dyDescent="0.2">
      <c r="A13" s="2">
        <f>'Bewertung - Nutzwert'!A14</f>
        <v>9</v>
      </c>
      <c r="B13" s="2">
        <f>'Bewertung - Nutzwert'!B14</f>
        <v>0</v>
      </c>
      <c r="C13" s="46">
        <f>'Bewertung - Nutzwert'!E14</f>
        <v>0</v>
      </c>
      <c r="D13" s="46">
        <f>'Bewertung - Nutzwert'!G14</f>
        <v>0</v>
      </c>
      <c r="E13" s="46">
        <f>'Bewertung - Nutzwert'!I14</f>
        <v>0</v>
      </c>
      <c r="F13" s="46">
        <f>'Bewertung - Nutzwert'!K14</f>
        <v>0</v>
      </c>
      <c r="G13" s="46">
        <f>'Bewertung - Nutzwert'!M14</f>
        <v>0</v>
      </c>
    </row>
    <row r="14" spans="1:7" x14ac:dyDescent="0.2">
      <c r="A14" s="2">
        <f>'Bewertung - Nutzwert'!A15</f>
        <v>10</v>
      </c>
      <c r="B14" s="2">
        <f>'Bewertung - Nutzwert'!B15</f>
        <v>0</v>
      </c>
      <c r="C14" s="46">
        <f>'Bewertung - Nutzwert'!E15</f>
        <v>0</v>
      </c>
      <c r="D14" s="46">
        <f>'Bewertung - Nutzwert'!G15</f>
        <v>0</v>
      </c>
      <c r="E14" s="46">
        <f>'Bewertung - Nutzwert'!I15</f>
        <v>0</v>
      </c>
      <c r="F14" s="46">
        <f>'Bewertung - Nutzwert'!K15</f>
        <v>0</v>
      </c>
      <c r="G14" s="46">
        <f>'Bewertung - Nutzwert'!M15</f>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8</vt:i4>
      </vt:variant>
    </vt:vector>
  </HeadingPairs>
  <TitlesOfParts>
    <vt:vector size="17" baseType="lpstr">
      <vt:lpstr>Datenbasis</vt:lpstr>
      <vt:lpstr>Kriterien und Gewichtung</vt:lpstr>
      <vt:lpstr>Bewertung - Nutzwert</vt:lpstr>
      <vt:lpstr>Alt 1</vt:lpstr>
      <vt:lpstr>Alt 2</vt:lpstr>
      <vt:lpstr>Alt 3</vt:lpstr>
      <vt:lpstr>Alt 4</vt:lpstr>
      <vt:lpstr>Alt 5</vt:lpstr>
      <vt:lpstr>Grafik-Daten</vt:lpstr>
      <vt:lpstr>'Alt 1'!Druckbereich</vt:lpstr>
      <vt:lpstr>'Alt 2'!Druckbereich</vt:lpstr>
      <vt:lpstr>'Alt 3'!Druckbereich</vt:lpstr>
      <vt:lpstr>'Alt 4'!Druckbereich</vt:lpstr>
      <vt:lpstr>'Alt 5'!Druckbereich</vt:lpstr>
      <vt:lpstr>Datenbasis!Druckbereich</vt:lpstr>
      <vt:lpstr>'Bewertung - Nutzwert'!Drucktitel</vt:lpstr>
      <vt:lpstr>'Kriterien und Gewichtung'!Drucktitel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Cornelia Niklas</dc:creator>
  <cp:lastModifiedBy>Juliane Hilse</cp:lastModifiedBy>
  <cp:lastPrinted>2014-03-24T10:46:38Z</cp:lastPrinted>
  <dcterms:created xsi:type="dcterms:W3CDTF">2007-10-21T11:27:09Z</dcterms:created>
  <dcterms:modified xsi:type="dcterms:W3CDTF">2016-06-01T08:08:44Z</dcterms:modified>
</cp:coreProperties>
</file>