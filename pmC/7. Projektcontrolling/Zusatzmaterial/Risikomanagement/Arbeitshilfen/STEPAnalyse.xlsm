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tables/table2.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3.xml" ContentType="application/vnd.openxmlformats-officedocument.spreadsheetml.table+xml"/>
  <Override PartName="/xl/comments4.xml" ContentType="application/vnd.openxmlformats-officedocument.spreadsheetml.comments+xml"/>
  <Override PartName="/xl/charts/chart3.xml" ContentType="application/vnd.openxmlformats-officedocument.drawingml.chart+xml"/>
  <Override PartName="/xl/drawings/drawing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5.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drawings/drawing7.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7.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drawings/drawing9.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comments8.xml" ContentType="application/vnd.openxmlformats-officedocument.spreadsheetml.comments+xml"/>
  <Override PartName="/xl/drawings/drawing10.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9.xml" ContentType="application/vnd.openxmlformats-officedocument.spreadsheetml.comments+xml"/>
  <Override PartName="/xl/charts/chart8.xml" ContentType="application/vnd.openxmlformats-officedocument.drawingml.chart+xml"/>
  <Override PartName="/xl/charts/chart9.xml" ContentType="application/vnd.openxmlformats-officedocument.drawingml.chart+xml"/>
  <Override PartName="/xl/drawings/drawing11.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6.xml" ContentType="application/vnd.openxmlformats-officedocument.spreadsheetml.table+xml"/>
  <Override PartName="/xl/comments10.xml" ContentType="application/vnd.openxmlformats-officedocument.spreadsheetml.comments+xml"/>
  <Override PartName="/xl/drawings/drawing12.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comments11.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drawings/drawing13.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tables/table7.xml" ContentType="application/vnd.openxmlformats-officedocument.spreadsheetml.table+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autoCompressPictures="0" defaultThemeVersion="124226"/>
  <workbookProtection lockStructure="1"/>
  <bookViews>
    <workbookView xWindow="-6885" yWindow="120" windowWidth="25440" windowHeight="14700" firstSheet="3" activeTab="5"/>
  </bookViews>
  <sheets>
    <sheet name="Projekt-Nutzen-Score" sheetId="6" state="hidden" r:id="rId1"/>
    <sheet name="STEP-Analyse" sheetId="57" state="hidden" r:id="rId2"/>
    <sheet name="WorkbookNames" sheetId="69" state="hidden" r:id="rId3"/>
    <sheet name="Übersicht" sheetId="34" r:id="rId4"/>
    <sheet name="Modell-Kalibrierung" sheetId="5" state="hidden" r:id="rId5"/>
    <sheet name="Project-Portfolio-View" sheetId="33" r:id="rId6"/>
    <sheet name="STEP-Analyse Brasilien" sheetId="116" r:id="rId7"/>
    <sheet name="Nutzen-Score Brasilien" sheetId="117" r:id="rId8"/>
    <sheet name="STEP-Analyse Nigeria" sheetId="118" r:id="rId9"/>
    <sheet name="Nutzen-Score Nigeria" sheetId="119" r:id="rId10"/>
    <sheet name="STEP-Analyse Russland" sheetId="120" r:id="rId11"/>
    <sheet name="Nutzen-Score Russland" sheetId="121" r:id="rId12"/>
    <sheet name="STEP-Analyse China" sheetId="122" r:id="rId13"/>
    <sheet name="Nutzen-Score China" sheetId="123" r:id="rId14"/>
  </sheets>
  <definedNames>
    <definedName name="_xlnm._FilterDatabase" localSheetId="5" hidden="1">'Project-Portfolio-View'!$A$1:$D$9</definedName>
    <definedName name="_xlnm.Print_Area" localSheetId="7">'Nutzen-Score Brasilien'!$A$1:$H$118</definedName>
    <definedName name="_xlnm.Print_Area" localSheetId="13">'Nutzen-Score China'!$A$1:$H$118</definedName>
    <definedName name="_xlnm.Print_Area" localSheetId="9">'Nutzen-Score Nigeria'!$A$1:$H$118</definedName>
    <definedName name="_xlnm.Print_Area" localSheetId="11">'Nutzen-Score Russland'!$A$1:$H$118</definedName>
    <definedName name="_xlnm.Print_Area" localSheetId="5">'Project-Portfolio-View'!$A$1:$N$43</definedName>
    <definedName name="_xlnm.Print_Area" localSheetId="0">'Projekt-Nutzen-Score'!$A$1:$H$118</definedName>
    <definedName name="_xlnm.Print_Area" localSheetId="1">'STEP-Analyse'!$A$31:$N$186</definedName>
    <definedName name="_xlnm.Print_Area" localSheetId="6">'STEP-Analyse Brasilien'!$A$31:$N$186</definedName>
    <definedName name="_xlnm.Print_Area" localSheetId="12">'STEP-Analyse China'!$A$31:$N$186</definedName>
    <definedName name="_xlnm.Print_Area" localSheetId="8">'STEP-Analyse Nigeria'!$A$31:$N$186</definedName>
    <definedName name="_xlnm.Print_Area" localSheetId="10">'STEP-Analyse Russland'!$A$31:$N$186</definedName>
  </definedNames>
  <calcPr calcId="145621"/>
</workbook>
</file>

<file path=xl/calcChain.xml><?xml version="1.0" encoding="utf-8"?>
<calcChain xmlns="http://schemas.openxmlformats.org/spreadsheetml/2006/main">
  <c r="C118" i="123" l="1"/>
  <c r="F118" i="123" s="1"/>
  <c r="B118" i="123"/>
  <c r="C117" i="123"/>
  <c r="F117" i="123" s="1"/>
  <c r="B117" i="123"/>
  <c r="C116" i="123"/>
  <c r="F116" i="123" s="1"/>
  <c r="B116" i="123"/>
  <c r="C115" i="123"/>
  <c r="F115" i="123" s="1"/>
  <c r="B115" i="123"/>
  <c r="F114" i="123"/>
  <c r="C114" i="123"/>
  <c r="B114" i="123"/>
  <c r="F113" i="123"/>
  <c r="C113" i="123"/>
  <c r="B113" i="123"/>
  <c r="C112" i="123"/>
  <c r="F112" i="123" s="1"/>
  <c r="B112" i="123"/>
  <c r="C111" i="123"/>
  <c r="F111" i="123" s="1"/>
  <c r="B111" i="123"/>
  <c r="C110" i="123"/>
  <c r="F110" i="123" s="1"/>
  <c r="B110" i="123"/>
  <c r="C109" i="123"/>
  <c r="F109" i="123" s="1"/>
  <c r="B109" i="123"/>
  <c r="F108" i="123"/>
  <c r="C108" i="123"/>
  <c r="B108" i="123"/>
  <c r="F107" i="123"/>
  <c r="C107" i="123"/>
  <c r="B107" i="123"/>
  <c r="F106" i="123"/>
  <c r="C106" i="123"/>
  <c r="B106" i="123"/>
  <c r="F105" i="123"/>
  <c r="C105" i="123"/>
  <c r="B105" i="123"/>
  <c r="C104" i="123"/>
  <c r="F104" i="123" s="1"/>
  <c r="B104" i="123"/>
  <c r="F103" i="123"/>
  <c r="C103" i="123"/>
  <c r="B103" i="123"/>
  <c r="C102" i="123"/>
  <c r="F102" i="123" s="1"/>
  <c r="B102" i="123"/>
  <c r="C101" i="123"/>
  <c r="F101" i="123" s="1"/>
  <c r="B101" i="123"/>
  <c r="F100" i="123"/>
  <c r="C100" i="123"/>
  <c r="B100" i="123"/>
  <c r="F99" i="123"/>
  <c r="C99" i="123"/>
  <c r="B99" i="123"/>
  <c r="F98" i="123"/>
  <c r="C98" i="123"/>
  <c r="B98" i="123"/>
  <c r="F97" i="123"/>
  <c r="C97" i="123"/>
  <c r="B97" i="123"/>
  <c r="F96" i="123"/>
  <c r="C96" i="123"/>
  <c r="B96" i="123"/>
  <c r="C95" i="123"/>
  <c r="F95" i="123" s="1"/>
  <c r="B95" i="123"/>
  <c r="C94" i="123"/>
  <c r="F94" i="123" s="1"/>
  <c r="B94" i="123"/>
  <c r="C93" i="123"/>
  <c r="F93" i="123" s="1"/>
  <c r="B93" i="123"/>
  <c r="F92" i="123"/>
  <c r="C92" i="123"/>
  <c r="B92" i="123"/>
  <c r="F91" i="123"/>
  <c r="C91" i="123"/>
  <c r="B91" i="123"/>
  <c r="F90" i="123"/>
  <c r="C90" i="123"/>
  <c r="B90" i="123"/>
  <c r="F89" i="123"/>
  <c r="C89" i="123"/>
  <c r="B89" i="123"/>
  <c r="F88" i="123"/>
  <c r="C88" i="123"/>
  <c r="B88" i="123"/>
  <c r="C87" i="123"/>
  <c r="F87" i="123" s="1"/>
  <c r="B87" i="123"/>
  <c r="C86" i="123"/>
  <c r="F86" i="123" s="1"/>
  <c r="B86" i="123"/>
  <c r="C85" i="123"/>
  <c r="F85" i="123" s="1"/>
  <c r="B85" i="123"/>
  <c r="F84" i="123"/>
  <c r="C84" i="123"/>
  <c r="B84" i="123"/>
  <c r="F83" i="123"/>
  <c r="C83" i="123"/>
  <c r="B83" i="123"/>
  <c r="F82" i="123"/>
  <c r="C82" i="123"/>
  <c r="B82" i="123"/>
  <c r="F81" i="123"/>
  <c r="C81" i="123"/>
  <c r="B81" i="123"/>
  <c r="C80" i="123"/>
  <c r="F80" i="123" s="1"/>
  <c r="B80" i="123"/>
  <c r="C79" i="123"/>
  <c r="F79" i="123" s="1"/>
  <c r="B79" i="123"/>
  <c r="C78" i="123"/>
  <c r="F78" i="123" s="1"/>
  <c r="B78" i="123"/>
  <c r="C77" i="123"/>
  <c r="F77" i="123" s="1"/>
  <c r="B77" i="123"/>
  <c r="F76" i="123"/>
  <c r="C76" i="123"/>
  <c r="B76" i="123"/>
  <c r="F75" i="123"/>
  <c r="C75" i="123"/>
  <c r="B75" i="123"/>
  <c r="F74" i="123"/>
  <c r="C74" i="123"/>
  <c r="B74" i="123"/>
  <c r="F73" i="123"/>
  <c r="C73" i="123"/>
  <c r="B73" i="123"/>
  <c r="C72" i="123"/>
  <c r="F72" i="123" s="1"/>
  <c r="B72" i="123"/>
  <c r="C71" i="123"/>
  <c r="F71" i="123" s="1"/>
  <c r="B71" i="123"/>
  <c r="C70" i="123"/>
  <c r="F70" i="123" s="1"/>
  <c r="B70" i="123"/>
  <c r="C69" i="123"/>
  <c r="F69" i="123" s="1"/>
  <c r="B69" i="123"/>
  <c r="F68" i="123"/>
  <c r="C68" i="123"/>
  <c r="B68" i="123"/>
  <c r="F67" i="123"/>
  <c r="C67" i="123"/>
  <c r="B67" i="123"/>
  <c r="F66" i="123"/>
  <c r="C66" i="123"/>
  <c r="B66" i="123"/>
  <c r="F65" i="123"/>
  <c r="C65" i="123"/>
  <c r="B65" i="123"/>
  <c r="C64" i="123"/>
  <c r="F64" i="123" s="1"/>
  <c r="B64" i="123"/>
  <c r="C63" i="123"/>
  <c r="F63" i="123" s="1"/>
  <c r="B63" i="123"/>
  <c r="C62" i="123"/>
  <c r="F62" i="123" s="1"/>
  <c r="B62" i="123"/>
  <c r="C61" i="123"/>
  <c r="F61" i="123" s="1"/>
  <c r="B61" i="123"/>
  <c r="F60" i="123"/>
  <c r="C60" i="123"/>
  <c r="B60" i="123"/>
  <c r="F59" i="123"/>
  <c r="C59" i="123"/>
  <c r="B59" i="123"/>
  <c r="F58" i="123"/>
  <c r="C58" i="123"/>
  <c r="B58" i="123"/>
  <c r="F57" i="123"/>
  <c r="C57" i="123"/>
  <c r="B57" i="123"/>
  <c r="F56" i="123"/>
  <c r="C56" i="123"/>
  <c r="B56" i="123"/>
  <c r="C55" i="123"/>
  <c r="F55" i="123" s="1"/>
  <c r="B55" i="123"/>
  <c r="C54" i="123"/>
  <c r="F54" i="123" s="1"/>
  <c r="B54" i="123"/>
  <c r="C53" i="123"/>
  <c r="F53" i="123" s="1"/>
  <c r="B53" i="123"/>
  <c r="F52" i="123"/>
  <c r="C52" i="123"/>
  <c r="B52" i="123"/>
  <c r="F51" i="123"/>
  <c r="C51" i="123"/>
  <c r="B51" i="123"/>
  <c r="F50" i="123"/>
  <c r="C50" i="123"/>
  <c r="B50" i="123"/>
  <c r="F49" i="123"/>
  <c r="C49" i="123"/>
  <c r="B49" i="123"/>
  <c r="F48" i="123"/>
  <c r="C48" i="123"/>
  <c r="B48" i="123"/>
  <c r="C47" i="123"/>
  <c r="F47" i="123" s="1"/>
  <c r="B47" i="123"/>
  <c r="C46" i="123"/>
  <c r="F46" i="123" s="1"/>
  <c r="B46" i="123"/>
  <c r="C45" i="123"/>
  <c r="F45" i="123" s="1"/>
  <c r="B45" i="123"/>
  <c r="F44" i="123"/>
  <c r="C44" i="123"/>
  <c r="B44" i="123"/>
  <c r="F43" i="123"/>
  <c r="C43" i="123"/>
  <c r="B43" i="123"/>
  <c r="F42" i="123"/>
  <c r="C42" i="123"/>
  <c r="B42" i="123"/>
  <c r="F41" i="123"/>
  <c r="C41" i="123"/>
  <c r="B41" i="123"/>
  <c r="F40" i="123"/>
  <c r="C40" i="123"/>
  <c r="B40" i="123"/>
  <c r="C39" i="123"/>
  <c r="F39" i="123" s="1"/>
  <c r="B39" i="123"/>
  <c r="C38" i="123"/>
  <c r="F38" i="123" s="1"/>
  <c r="B38" i="123"/>
  <c r="C37" i="123"/>
  <c r="F37" i="123" s="1"/>
  <c r="B37" i="123"/>
  <c r="F36" i="123"/>
  <c r="C36" i="123"/>
  <c r="B36" i="123"/>
  <c r="F35" i="123"/>
  <c r="C35" i="123"/>
  <c r="B35" i="123"/>
  <c r="F34" i="123"/>
  <c r="C34" i="123"/>
  <c r="B34" i="123"/>
  <c r="F33" i="123"/>
  <c r="C33" i="123"/>
  <c r="B33" i="123"/>
  <c r="F32" i="123"/>
  <c r="C32" i="123"/>
  <c r="B32" i="123"/>
  <c r="C31" i="123"/>
  <c r="F31" i="123" s="1"/>
  <c r="B31" i="123"/>
  <c r="C30" i="123"/>
  <c r="F30" i="123" s="1"/>
  <c r="B30" i="123"/>
  <c r="C29" i="123"/>
  <c r="F29" i="123" s="1"/>
  <c r="B29" i="123"/>
  <c r="F28" i="123"/>
  <c r="C28" i="123"/>
  <c r="B28" i="123"/>
  <c r="C27" i="123"/>
  <c r="F27" i="123" s="1"/>
  <c r="B27" i="123"/>
  <c r="F26" i="123"/>
  <c r="C26" i="123"/>
  <c r="B26" i="123"/>
  <c r="F25" i="123"/>
  <c r="C25" i="123"/>
  <c r="B25" i="123"/>
  <c r="F24" i="123"/>
  <c r="C24" i="123"/>
  <c r="B24" i="123"/>
  <c r="C23" i="123"/>
  <c r="F23" i="123" s="1"/>
  <c r="B23" i="123"/>
  <c r="C22" i="123"/>
  <c r="F22" i="123" s="1"/>
  <c r="B22" i="123"/>
  <c r="C21" i="123"/>
  <c r="F21" i="123" s="1"/>
  <c r="B21" i="123"/>
  <c r="F20" i="123"/>
  <c r="C20" i="123"/>
  <c r="B20" i="123"/>
  <c r="C19" i="123"/>
  <c r="F19" i="123" s="1"/>
  <c r="B19" i="123"/>
  <c r="F18" i="123"/>
  <c r="C18" i="123"/>
  <c r="B18" i="123"/>
  <c r="F17" i="123"/>
  <c r="C17" i="123"/>
  <c r="B17" i="123"/>
  <c r="F16" i="123"/>
  <c r="C16" i="123"/>
  <c r="B16" i="123"/>
  <c r="H15" i="123"/>
  <c r="G15" i="123"/>
  <c r="F15" i="123"/>
  <c r="C15" i="123"/>
  <c r="B15" i="123"/>
  <c r="H14" i="123"/>
  <c r="G14" i="123"/>
  <c r="F14" i="123"/>
  <c r="C14" i="123"/>
  <c r="B14" i="123"/>
  <c r="H13" i="123"/>
  <c r="G13" i="123"/>
  <c r="C13" i="123"/>
  <c r="F13" i="123" s="1"/>
  <c r="B13" i="123"/>
  <c r="H12" i="123"/>
  <c r="G12" i="123"/>
  <c r="F12" i="123"/>
  <c r="C12" i="123"/>
  <c r="B12" i="123"/>
  <c r="H11" i="123"/>
  <c r="G11" i="123"/>
  <c r="C11" i="123"/>
  <c r="F11" i="123" s="1"/>
  <c r="B11" i="123"/>
  <c r="H10" i="123"/>
  <c r="G10" i="123"/>
  <c r="C10" i="123"/>
  <c r="F10" i="123" s="1"/>
  <c r="B10" i="123"/>
  <c r="H9" i="123"/>
  <c r="G9" i="123"/>
  <c r="C9" i="123"/>
  <c r="F9" i="123" s="1"/>
  <c r="B9" i="123"/>
  <c r="H8" i="123"/>
  <c r="G8" i="123"/>
  <c r="F8" i="123"/>
  <c r="C8" i="123"/>
  <c r="B8" i="123"/>
  <c r="C7" i="123"/>
  <c r="F7" i="123" s="1"/>
  <c r="B7" i="123"/>
  <c r="C122" i="122"/>
  <c r="J121" i="122"/>
  <c r="K121" i="122" s="1"/>
  <c r="J120" i="122"/>
  <c r="K120" i="122" s="1"/>
  <c r="J119" i="122"/>
  <c r="K119" i="122" s="1"/>
  <c r="J118" i="122"/>
  <c r="K118" i="122" s="1"/>
  <c r="J117" i="122"/>
  <c r="K117" i="122" s="1"/>
  <c r="K122" i="122" s="1"/>
  <c r="C116" i="122"/>
  <c r="K115" i="122"/>
  <c r="J115" i="122"/>
  <c r="K114" i="122"/>
  <c r="J114" i="122"/>
  <c r="K113" i="122"/>
  <c r="J113" i="122"/>
  <c r="K112" i="122"/>
  <c r="K116" i="122" s="1"/>
  <c r="J112" i="122"/>
  <c r="K111" i="122"/>
  <c r="J111" i="122"/>
  <c r="C110" i="122"/>
  <c r="J109" i="122"/>
  <c r="K109" i="122" s="1"/>
  <c r="J108" i="122"/>
  <c r="K108" i="122" s="1"/>
  <c r="J107" i="122"/>
  <c r="K107" i="122" s="1"/>
  <c r="J106" i="122"/>
  <c r="K106" i="122" s="1"/>
  <c r="J105" i="122"/>
  <c r="K105" i="122" s="1"/>
  <c r="C104" i="122"/>
  <c r="K103" i="122"/>
  <c r="J103" i="122"/>
  <c r="K102" i="122"/>
  <c r="J102" i="122"/>
  <c r="K101" i="122"/>
  <c r="J101" i="122"/>
  <c r="J100" i="122"/>
  <c r="K100" i="122" s="1"/>
  <c r="K99" i="122"/>
  <c r="K104" i="122" s="1"/>
  <c r="J99" i="122"/>
  <c r="C98" i="122"/>
  <c r="J97" i="122"/>
  <c r="K97" i="122" s="1"/>
  <c r="J96" i="122"/>
  <c r="K96" i="122" s="1"/>
  <c r="J95" i="122"/>
  <c r="K95" i="122" s="1"/>
  <c r="J94" i="122"/>
  <c r="K94" i="122" s="1"/>
  <c r="J93" i="122"/>
  <c r="K93" i="122" s="1"/>
  <c r="C92" i="122"/>
  <c r="K91" i="122"/>
  <c r="J91" i="122"/>
  <c r="K90" i="122"/>
  <c r="J90" i="122"/>
  <c r="J89" i="122"/>
  <c r="K89" i="122" s="1"/>
  <c r="K88" i="122"/>
  <c r="K92" i="122" s="1"/>
  <c r="J88" i="122"/>
  <c r="K87" i="122"/>
  <c r="J87" i="122"/>
  <c r="C86" i="122"/>
  <c r="J85" i="122"/>
  <c r="K85" i="122" s="1"/>
  <c r="J84" i="122"/>
  <c r="K84" i="122" s="1"/>
  <c r="J83" i="122"/>
  <c r="K83" i="122" s="1"/>
  <c r="J82" i="122"/>
  <c r="K82" i="122" s="1"/>
  <c r="J81" i="122"/>
  <c r="K81" i="122" s="1"/>
  <c r="C80" i="122"/>
  <c r="K79" i="122"/>
  <c r="J79" i="122"/>
  <c r="K78" i="122"/>
  <c r="J78" i="122"/>
  <c r="K77" i="122"/>
  <c r="J77" i="122"/>
  <c r="K76" i="122"/>
  <c r="J76" i="122"/>
  <c r="K75" i="122"/>
  <c r="K80" i="122" s="1"/>
  <c r="J75" i="122"/>
  <c r="C74" i="122"/>
  <c r="J73" i="122"/>
  <c r="K73" i="122" s="1"/>
  <c r="J72" i="122"/>
  <c r="K72" i="122" s="1"/>
  <c r="J71" i="122"/>
  <c r="K71" i="122" s="1"/>
  <c r="J70" i="122"/>
  <c r="K70" i="122" s="1"/>
  <c r="J69" i="122"/>
  <c r="K69" i="122" s="1"/>
  <c r="K74" i="122" s="1"/>
  <c r="C68" i="122"/>
  <c r="K67" i="122"/>
  <c r="J67" i="122"/>
  <c r="K66" i="122"/>
  <c r="J66" i="122"/>
  <c r="K65" i="122"/>
  <c r="J65" i="122"/>
  <c r="K64" i="122"/>
  <c r="K68" i="122" s="1"/>
  <c r="J64" i="122"/>
  <c r="K63" i="122"/>
  <c r="J63" i="122"/>
  <c r="C62" i="122"/>
  <c r="J61" i="122"/>
  <c r="K61" i="122" s="1"/>
  <c r="J60" i="122"/>
  <c r="K60" i="122" s="1"/>
  <c r="J59" i="122"/>
  <c r="K59" i="122" s="1"/>
  <c r="J58" i="122"/>
  <c r="K58" i="122" s="1"/>
  <c r="J57" i="122"/>
  <c r="K57" i="122" s="1"/>
  <c r="C56" i="122"/>
  <c r="K55" i="122"/>
  <c r="J55" i="122"/>
  <c r="K54" i="122"/>
  <c r="J54" i="122"/>
  <c r="K53" i="122"/>
  <c r="J53" i="122"/>
  <c r="J52" i="122"/>
  <c r="K52" i="122" s="1"/>
  <c r="K51" i="122"/>
  <c r="K56" i="122" s="1"/>
  <c r="J51" i="122"/>
  <c r="C50" i="122"/>
  <c r="J49" i="122"/>
  <c r="K49" i="122" s="1"/>
  <c r="J48" i="122"/>
  <c r="K48" i="122" s="1"/>
  <c r="J47" i="122"/>
  <c r="K47" i="122" s="1"/>
  <c r="J46" i="122"/>
  <c r="K46" i="122" s="1"/>
  <c r="J45" i="122"/>
  <c r="K45" i="122" s="1"/>
  <c r="C44" i="122"/>
  <c r="K43" i="122"/>
  <c r="J43" i="122"/>
  <c r="K42" i="122"/>
  <c r="J42" i="122"/>
  <c r="J41" i="122"/>
  <c r="K41" i="122" s="1"/>
  <c r="K40" i="122"/>
  <c r="K44" i="122" s="1"/>
  <c r="J40" i="122"/>
  <c r="K39" i="122"/>
  <c r="J39" i="122"/>
  <c r="C38" i="122"/>
  <c r="J37" i="122"/>
  <c r="K37" i="122" s="1"/>
  <c r="J36" i="122"/>
  <c r="K36" i="122" s="1"/>
  <c r="J35" i="122"/>
  <c r="K35" i="122" s="1"/>
  <c r="J34" i="122"/>
  <c r="K34" i="122" s="1"/>
  <c r="J33" i="122"/>
  <c r="K33" i="122" s="1"/>
  <c r="M32" i="122"/>
  <c r="M8" i="122"/>
  <c r="M9" i="122" s="1"/>
  <c r="E8" i="122"/>
  <c r="E9" i="122" s="1"/>
  <c r="A8" i="122"/>
  <c r="L8" i="122" s="1"/>
  <c r="M7" i="122"/>
  <c r="E7" i="122"/>
  <c r="A7" i="122"/>
  <c r="L7" i="122" s="1"/>
  <c r="M6" i="122"/>
  <c r="I6" i="122"/>
  <c r="E6" i="122"/>
  <c r="A6" i="122"/>
  <c r="L6" i="122" s="1"/>
  <c r="M5" i="122"/>
  <c r="E5" i="122"/>
  <c r="A5" i="122"/>
  <c r="L5" i="122" s="1"/>
  <c r="M4" i="122"/>
  <c r="E4" i="122"/>
  <c r="A4" i="122"/>
  <c r="L4" i="122" s="1"/>
  <c r="M3" i="122"/>
  <c r="E3" i="122"/>
  <c r="A3" i="122"/>
  <c r="L3" i="122" s="1"/>
  <c r="M2" i="122"/>
  <c r="E2" i="122"/>
  <c r="A2" i="122"/>
  <c r="L2" i="122" s="1"/>
  <c r="P1" i="122"/>
  <c r="O1" i="122"/>
  <c r="N1" i="122"/>
  <c r="M1" i="122"/>
  <c r="L1" i="122"/>
  <c r="K1" i="122"/>
  <c r="J1" i="122"/>
  <c r="I1" i="122"/>
  <c r="H1" i="122"/>
  <c r="G1" i="122"/>
  <c r="F1" i="122"/>
  <c r="E1" i="122"/>
  <c r="B14" i="122" s="1" a="1"/>
  <c r="D1" i="122"/>
  <c r="C1" i="122"/>
  <c r="B1" i="122"/>
  <c r="C118" i="121"/>
  <c r="F118" i="121" s="1"/>
  <c r="B118" i="121"/>
  <c r="C117" i="121"/>
  <c r="F117" i="121" s="1"/>
  <c r="B117" i="121"/>
  <c r="F116" i="121"/>
  <c r="C116" i="121"/>
  <c r="B116" i="121"/>
  <c r="C115" i="121"/>
  <c r="F115" i="121" s="1"/>
  <c r="B115" i="121"/>
  <c r="C114" i="121"/>
  <c r="F114" i="121" s="1"/>
  <c r="B114" i="121"/>
  <c r="F113" i="121"/>
  <c r="C113" i="121"/>
  <c r="B113" i="121"/>
  <c r="F112" i="121"/>
  <c r="C112" i="121"/>
  <c r="B112" i="121"/>
  <c r="C111" i="121"/>
  <c r="F111" i="121" s="1"/>
  <c r="B111" i="121"/>
  <c r="C110" i="121"/>
  <c r="F110" i="121" s="1"/>
  <c r="B110" i="121"/>
  <c r="C109" i="121"/>
  <c r="F109" i="121" s="1"/>
  <c r="B109" i="121"/>
  <c r="F108" i="121"/>
  <c r="C108" i="121"/>
  <c r="B108" i="121"/>
  <c r="C107" i="121"/>
  <c r="F107" i="121" s="1"/>
  <c r="B107" i="121"/>
  <c r="C106" i="121"/>
  <c r="F106" i="121" s="1"/>
  <c r="B106" i="121"/>
  <c r="F105" i="121"/>
  <c r="C105" i="121"/>
  <c r="B105" i="121"/>
  <c r="F104" i="121"/>
  <c r="C104" i="121"/>
  <c r="B104" i="121"/>
  <c r="C103" i="121"/>
  <c r="F103" i="121" s="1"/>
  <c r="B103" i="121"/>
  <c r="C102" i="121"/>
  <c r="F102" i="121" s="1"/>
  <c r="B102" i="121"/>
  <c r="C101" i="121"/>
  <c r="F101" i="121" s="1"/>
  <c r="B101" i="121"/>
  <c r="F100" i="121"/>
  <c r="C100" i="121"/>
  <c r="B100" i="121"/>
  <c r="C99" i="121"/>
  <c r="F99" i="121" s="1"/>
  <c r="B99" i="121"/>
  <c r="C98" i="121"/>
  <c r="F98" i="121" s="1"/>
  <c r="B98" i="121"/>
  <c r="F97" i="121"/>
  <c r="C97" i="121"/>
  <c r="B97" i="121"/>
  <c r="F96" i="121"/>
  <c r="C96" i="121"/>
  <c r="B96" i="121"/>
  <c r="C95" i="121"/>
  <c r="F95" i="121" s="1"/>
  <c r="B95" i="121"/>
  <c r="C94" i="121"/>
  <c r="F94" i="121" s="1"/>
  <c r="B94" i="121"/>
  <c r="C93" i="121"/>
  <c r="F93" i="121" s="1"/>
  <c r="B93" i="121"/>
  <c r="F92" i="121"/>
  <c r="C92" i="121"/>
  <c r="B92" i="121"/>
  <c r="C91" i="121"/>
  <c r="F91" i="121" s="1"/>
  <c r="B91" i="121"/>
  <c r="C90" i="121"/>
  <c r="F90" i="121" s="1"/>
  <c r="B90" i="121"/>
  <c r="F89" i="121"/>
  <c r="C89" i="121"/>
  <c r="B89" i="121"/>
  <c r="F88" i="121"/>
  <c r="C88" i="121"/>
  <c r="B88" i="121"/>
  <c r="C87" i="121"/>
  <c r="F87" i="121" s="1"/>
  <c r="B87" i="121"/>
  <c r="C86" i="121"/>
  <c r="F86" i="121" s="1"/>
  <c r="B86" i="121"/>
  <c r="C85" i="121"/>
  <c r="F85" i="121" s="1"/>
  <c r="B85" i="121"/>
  <c r="F84" i="121"/>
  <c r="C84" i="121"/>
  <c r="B84" i="121"/>
  <c r="C83" i="121"/>
  <c r="F83" i="121" s="1"/>
  <c r="B83" i="121"/>
  <c r="F82" i="121"/>
  <c r="C82" i="121"/>
  <c r="B82" i="121"/>
  <c r="F81" i="121"/>
  <c r="C81" i="121"/>
  <c r="B81" i="121"/>
  <c r="F80" i="121"/>
  <c r="C80" i="121"/>
  <c r="B80" i="121"/>
  <c r="C79" i="121"/>
  <c r="F79" i="121" s="1"/>
  <c r="B79" i="121"/>
  <c r="C78" i="121"/>
  <c r="F78" i="121" s="1"/>
  <c r="B78" i="121"/>
  <c r="C77" i="121"/>
  <c r="F77" i="121" s="1"/>
  <c r="B77" i="121"/>
  <c r="F76" i="121"/>
  <c r="C76" i="121"/>
  <c r="B76" i="121"/>
  <c r="C75" i="121"/>
  <c r="F75" i="121" s="1"/>
  <c r="B75" i="121"/>
  <c r="F74" i="121"/>
  <c r="C74" i="121"/>
  <c r="B74" i="121"/>
  <c r="F73" i="121"/>
  <c r="C73" i="121"/>
  <c r="B73" i="121"/>
  <c r="F72" i="121"/>
  <c r="C72" i="121"/>
  <c r="B72" i="121"/>
  <c r="C71" i="121"/>
  <c r="F71" i="121" s="1"/>
  <c r="B71" i="121"/>
  <c r="C70" i="121"/>
  <c r="F70" i="121" s="1"/>
  <c r="B70" i="121"/>
  <c r="C69" i="121"/>
  <c r="F69" i="121" s="1"/>
  <c r="B69" i="121"/>
  <c r="F68" i="121"/>
  <c r="C68" i="121"/>
  <c r="B68" i="121"/>
  <c r="C67" i="121"/>
  <c r="F67" i="121" s="1"/>
  <c r="B67" i="121"/>
  <c r="F66" i="121"/>
  <c r="C66" i="121"/>
  <c r="B66" i="121"/>
  <c r="F65" i="121"/>
  <c r="C65" i="121"/>
  <c r="B65" i="121"/>
  <c r="F64" i="121"/>
  <c r="C64" i="121"/>
  <c r="B64" i="121"/>
  <c r="C63" i="121"/>
  <c r="F63" i="121" s="1"/>
  <c r="B63" i="121"/>
  <c r="C62" i="121"/>
  <c r="F62" i="121" s="1"/>
  <c r="B62" i="121"/>
  <c r="C61" i="121"/>
  <c r="F61" i="121" s="1"/>
  <c r="B61" i="121"/>
  <c r="F60" i="121"/>
  <c r="C60" i="121"/>
  <c r="B60" i="121"/>
  <c r="C59" i="121"/>
  <c r="F59" i="121" s="1"/>
  <c r="B59" i="121"/>
  <c r="F58" i="121"/>
  <c r="C58" i="121"/>
  <c r="B58" i="121"/>
  <c r="F57" i="121"/>
  <c r="C57" i="121"/>
  <c r="B57" i="121"/>
  <c r="F56" i="121"/>
  <c r="C56" i="121"/>
  <c r="B56" i="121"/>
  <c r="C55" i="121"/>
  <c r="F55" i="121" s="1"/>
  <c r="B55" i="121"/>
  <c r="C54" i="121"/>
  <c r="F54" i="121" s="1"/>
  <c r="B54" i="121"/>
  <c r="C53" i="121"/>
  <c r="F53" i="121" s="1"/>
  <c r="B53" i="121"/>
  <c r="F52" i="121"/>
  <c r="C52" i="121"/>
  <c r="B52" i="121"/>
  <c r="C51" i="121"/>
  <c r="F51" i="121" s="1"/>
  <c r="B51" i="121"/>
  <c r="F50" i="121"/>
  <c r="C50" i="121"/>
  <c r="B50" i="121"/>
  <c r="F49" i="121"/>
  <c r="C49" i="121"/>
  <c r="B49" i="121"/>
  <c r="F48" i="121"/>
  <c r="C48" i="121"/>
  <c r="B48" i="121"/>
  <c r="C47" i="121"/>
  <c r="F47" i="121" s="1"/>
  <c r="B47" i="121"/>
  <c r="C46" i="121"/>
  <c r="F46" i="121" s="1"/>
  <c r="B46" i="121"/>
  <c r="C45" i="121"/>
  <c r="F45" i="121" s="1"/>
  <c r="B45" i="121"/>
  <c r="F44" i="121"/>
  <c r="C44" i="121"/>
  <c r="B44" i="121"/>
  <c r="C43" i="121"/>
  <c r="F43" i="121" s="1"/>
  <c r="B43" i="121"/>
  <c r="F42" i="121"/>
  <c r="C42" i="121"/>
  <c r="B42" i="121"/>
  <c r="F41" i="121"/>
  <c r="C41" i="121"/>
  <c r="B41" i="121"/>
  <c r="F40" i="121"/>
  <c r="C40" i="121"/>
  <c r="B40" i="121"/>
  <c r="C39" i="121"/>
  <c r="F39" i="121" s="1"/>
  <c r="B39" i="121"/>
  <c r="C38" i="121"/>
  <c r="F38" i="121" s="1"/>
  <c r="B38" i="121"/>
  <c r="C37" i="121"/>
  <c r="F37" i="121" s="1"/>
  <c r="B37" i="121"/>
  <c r="F36" i="121"/>
  <c r="C36" i="121"/>
  <c r="B36" i="121"/>
  <c r="C35" i="121"/>
  <c r="F35" i="121" s="1"/>
  <c r="B35" i="121"/>
  <c r="F34" i="121"/>
  <c r="C34" i="121"/>
  <c r="B34" i="121"/>
  <c r="F33" i="121"/>
  <c r="C33" i="121"/>
  <c r="B33" i="121"/>
  <c r="F32" i="121"/>
  <c r="C32" i="121"/>
  <c r="B32" i="121"/>
  <c r="C31" i="121"/>
  <c r="F31" i="121" s="1"/>
  <c r="B31" i="121"/>
  <c r="C30" i="121"/>
  <c r="F30" i="121" s="1"/>
  <c r="B30" i="121"/>
  <c r="C29" i="121"/>
  <c r="F29" i="121" s="1"/>
  <c r="B29" i="121"/>
  <c r="F28" i="121"/>
  <c r="C28" i="121"/>
  <c r="B28" i="121"/>
  <c r="C27" i="121"/>
  <c r="F27" i="121" s="1"/>
  <c r="B27" i="121"/>
  <c r="F26" i="121"/>
  <c r="C26" i="121"/>
  <c r="B26" i="121"/>
  <c r="F25" i="121"/>
  <c r="C25" i="121"/>
  <c r="B25" i="121"/>
  <c r="F24" i="121"/>
  <c r="C24" i="121"/>
  <c r="B24" i="121"/>
  <c r="C23" i="121"/>
  <c r="F23" i="121" s="1"/>
  <c r="B23" i="121"/>
  <c r="C22" i="121"/>
  <c r="F22" i="121" s="1"/>
  <c r="B22" i="121"/>
  <c r="C21" i="121"/>
  <c r="F21" i="121" s="1"/>
  <c r="B21" i="121"/>
  <c r="F20" i="121"/>
  <c r="C20" i="121"/>
  <c r="B20" i="121"/>
  <c r="C19" i="121"/>
  <c r="F19" i="121" s="1"/>
  <c r="B19" i="121"/>
  <c r="F18" i="121"/>
  <c r="C18" i="121"/>
  <c r="B18" i="121"/>
  <c r="F17" i="121"/>
  <c r="C17" i="121"/>
  <c r="B17" i="121"/>
  <c r="F16" i="121"/>
  <c r="C16" i="121"/>
  <c r="B16" i="121"/>
  <c r="H15" i="121"/>
  <c r="G15" i="121"/>
  <c r="F15" i="121"/>
  <c r="C15" i="121"/>
  <c r="B15" i="121"/>
  <c r="H14" i="121"/>
  <c r="G14" i="121"/>
  <c r="F14" i="121"/>
  <c r="C14" i="121"/>
  <c r="B14" i="121"/>
  <c r="H13" i="121"/>
  <c r="G13" i="121"/>
  <c r="C13" i="121"/>
  <c r="F13" i="121" s="1"/>
  <c r="B13" i="121"/>
  <c r="H12" i="121"/>
  <c r="G12" i="121"/>
  <c r="F12" i="121"/>
  <c r="C12" i="121"/>
  <c r="B12" i="121"/>
  <c r="H11" i="121"/>
  <c r="G11" i="121"/>
  <c r="C11" i="121"/>
  <c r="F11" i="121" s="1"/>
  <c r="B11" i="121"/>
  <c r="H10" i="121"/>
  <c r="G10" i="121"/>
  <c r="C10" i="121"/>
  <c r="F10" i="121" s="1"/>
  <c r="B10" i="121"/>
  <c r="H9" i="121"/>
  <c r="G9" i="121"/>
  <c r="C9" i="121"/>
  <c r="F9" i="121" s="1"/>
  <c r="B9" i="121"/>
  <c r="H8" i="121"/>
  <c r="G8" i="121"/>
  <c r="F8" i="121"/>
  <c r="C8" i="121"/>
  <c r="B8" i="121"/>
  <c r="C7" i="121"/>
  <c r="F7" i="121" s="1"/>
  <c r="F6" i="121" s="1"/>
  <c r="C2" i="121" s="1"/>
  <c r="B7" i="121"/>
  <c r="C122" i="120"/>
  <c r="J121" i="120"/>
  <c r="K121" i="120" s="1"/>
  <c r="J120" i="120"/>
  <c r="K120" i="120" s="1"/>
  <c r="J119" i="120"/>
  <c r="K119" i="120" s="1"/>
  <c r="J118" i="120"/>
  <c r="K118" i="120" s="1"/>
  <c r="J117" i="120"/>
  <c r="K117" i="120" s="1"/>
  <c r="K122" i="120" s="1"/>
  <c r="C116" i="120"/>
  <c r="J115" i="120"/>
  <c r="K115" i="120" s="1"/>
  <c r="J114" i="120"/>
  <c r="K114" i="120" s="1"/>
  <c r="K113" i="120"/>
  <c r="J113" i="120"/>
  <c r="K112" i="120"/>
  <c r="J112" i="120"/>
  <c r="J111" i="120"/>
  <c r="K111" i="120" s="1"/>
  <c r="K116" i="120" s="1"/>
  <c r="C110" i="120"/>
  <c r="K109" i="120"/>
  <c r="J109" i="120"/>
  <c r="J108" i="120"/>
  <c r="K108" i="120" s="1"/>
  <c r="K107" i="120"/>
  <c r="J107" i="120"/>
  <c r="J106" i="120"/>
  <c r="K106" i="120" s="1"/>
  <c r="K105" i="120"/>
  <c r="K110" i="120" s="1"/>
  <c r="J105" i="120"/>
  <c r="C104" i="120"/>
  <c r="J103" i="120"/>
  <c r="K103" i="120" s="1"/>
  <c r="K102" i="120"/>
  <c r="J102" i="120"/>
  <c r="K101" i="120"/>
  <c r="J101" i="120"/>
  <c r="J100" i="120"/>
  <c r="K100" i="120" s="1"/>
  <c r="J99" i="120"/>
  <c r="K99" i="120" s="1"/>
  <c r="C98" i="120"/>
  <c r="J97" i="120"/>
  <c r="K97" i="120" s="1"/>
  <c r="K96" i="120"/>
  <c r="J96" i="120"/>
  <c r="J95" i="120"/>
  <c r="K95" i="120" s="1"/>
  <c r="K94" i="120"/>
  <c r="J94" i="120"/>
  <c r="J93" i="120"/>
  <c r="K93" i="120" s="1"/>
  <c r="K98" i="120" s="1"/>
  <c r="C92" i="120"/>
  <c r="K91" i="120"/>
  <c r="J91" i="120"/>
  <c r="K90" i="120"/>
  <c r="J90" i="120"/>
  <c r="J89" i="120"/>
  <c r="K89" i="120" s="1"/>
  <c r="J88" i="120"/>
  <c r="K88" i="120" s="1"/>
  <c r="K87" i="120"/>
  <c r="J87" i="120"/>
  <c r="C86" i="120"/>
  <c r="K85" i="120"/>
  <c r="J85" i="120"/>
  <c r="J84" i="120"/>
  <c r="K84" i="120" s="1"/>
  <c r="K83" i="120"/>
  <c r="J83" i="120"/>
  <c r="J82" i="120"/>
  <c r="K82" i="120" s="1"/>
  <c r="K81" i="120"/>
  <c r="J81" i="120"/>
  <c r="C80" i="120"/>
  <c r="K79" i="120"/>
  <c r="J79" i="120"/>
  <c r="J78" i="120"/>
  <c r="K78" i="120" s="1"/>
  <c r="J77" i="120"/>
  <c r="K77" i="120" s="1"/>
  <c r="K76" i="120"/>
  <c r="J76" i="120"/>
  <c r="K75" i="120"/>
  <c r="J75" i="120"/>
  <c r="C74" i="120"/>
  <c r="J73" i="120"/>
  <c r="K73" i="120" s="1"/>
  <c r="K72" i="120"/>
  <c r="J72" i="120"/>
  <c r="J71" i="120"/>
  <c r="K71" i="120" s="1"/>
  <c r="K70" i="120"/>
  <c r="J70" i="120"/>
  <c r="J69" i="120"/>
  <c r="K69" i="120" s="1"/>
  <c r="C68" i="120"/>
  <c r="J67" i="120"/>
  <c r="K67" i="120" s="1"/>
  <c r="J66" i="120"/>
  <c r="K66" i="120" s="1"/>
  <c r="K65" i="120"/>
  <c r="J65" i="120"/>
  <c r="K64" i="120"/>
  <c r="J64" i="120"/>
  <c r="J63" i="120"/>
  <c r="K63" i="120" s="1"/>
  <c r="C62" i="120"/>
  <c r="K61" i="120"/>
  <c r="J61" i="120"/>
  <c r="J60" i="120"/>
  <c r="K60" i="120" s="1"/>
  <c r="K59" i="120"/>
  <c r="J59" i="120"/>
  <c r="J58" i="120"/>
  <c r="K58" i="120" s="1"/>
  <c r="K57" i="120"/>
  <c r="J57" i="120"/>
  <c r="C56" i="120"/>
  <c r="J55" i="120"/>
  <c r="K55" i="120" s="1"/>
  <c r="K54" i="120"/>
  <c r="J54" i="120"/>
  <c r="K53" i="120"/>
  <c r="J53" i="120"/>
  <c r="J52" i="120"/>
  <c r="K52" i="120" s="1"/>
  <c r="J51" i="120"/>
  <c r="K51" i="120" s="1"/>
  <c r="C50" i="120"/>
  <c r="J49" i="120"/>
  <c r="K49" i="120" s="1"/>
  <c r="K48" i="120"/>
  <c r="J48" i="120"/>
  <c r="J47" i="120"/>
  <c r="K47" i="120" s="1"/>
  <c r="K46" i="120"/>
  <c r="J46" i="120"/>
  <c r="J45" i="120"/>
  <c r="K45" i="120" s="1"/>
  <c r="C44" i="120"/>
  <c r="K43" i="120"/>
  <c r="J43" i="120"/>
  <c r="K42" i="120"/>
  <c r="J42" i="120"/>
  <c r="J41" i="120"/>
  <c r="K41" i="120" s="1"/>
  <c r="J40" i="120"/>
  <c r="K40" i="120" s="1"/>
  <c r="K39" i="120"/>
  <c r="K44" i="120" s="1"/>
  <c r="J39" i="120"/>
  <c r="C38" i="120"/>
  <c r="K37" i="120"/>
  <c r="J37" i="120"/>
  <c r="J36" i="120"/>
  <c r="K36" i="120" s="1"/>
  <c r="K35" i="120"/>
  <c r="J35" i="120"/>
  <c r="J34" i="120"/>
  <c r="K34" i="120" s="1"/>
  <c r="K33" i="120"/>
  <c r="J33" i="120"/>
  <c r="M32" i="120"/>
  <c r="P8" i="120"/>
  <c r="P9" i="120" s="1"/>
  <c r="O8" i="120"/>
  <c r="O9" i="120" s="1"/>
  <c r="N8" i="120"/>
  <c r="N9" i="120" s="1"/>
  <c r="J8" i="120"/>
  <c r="J9" i="120" s="1"/>
  <c r="H8" i="120"/>
  <c r="H9" i="120" s="1"/>
  <c r="G8" i="120"/>
  <c r="G9" i="120" s="1"/>
  <c r="F8" i="120"/>
  <c r="F9" i="120" s="1"/>
  <c r="B8" i="120"/>
  <c r="B9" i="120" s="1"/>
  <c r="A8" i="120"/>
  <c r="L8" i="120" s="1"/>
  <c r="L9" i="120" s="1"/>
  <c r="P7" i="120"/>
  <c r="O7" i="120"/>
  <c r="N7" i="120"/>
  <c r="J7" i="120"/>
  <c r="H7" i="120"/>
  <c r="G7" i="120"/>
  <c r="F7" i="120"/>
  <c r="B7" i="120"/>
  <c r="A7" i="120"/>
  <c r="L7" i="120" s="1"/>
  <c r="P6" i="120"/>
  <c r="O6" i="120"/>
  <c r="N6" i="120"/>
  <c r="J6" i="120"/>
  <c r="H6" i="120"/>
  <c r="G6" i="120"/>
  <c r="F6" i="120"/>
  <c r="B6" i="120"/>
  <c r="A6" i="120"/>
  <c r="L6" i="120" s="1"/>
  <c r="P5" i="120"/>
  <c r="O5" i="120"/>
  <c r="N5" i="120"/>
  <c r="J5" i="120"/>
  <c r="H5" i="120"/>
  <c r="G5" i="120"/>
  <c r="F5" i="120"/>
  <c r="B5" i="120"/>
  <c r="A5" i="120"/>
  <c r="L5" i="120" s="1"/>
  <c r="P4" i="120"/>
  <c r="O4" i="120"/>
  <c r="N4" i="120"/>
  <c r="J4" i="120"/>
  <c r="H4" i="120"/>
  <c r="G4" i="120"/>
  <c r="F4" i="120"/>
  <c r="B4" i="120"/>
  <c r="A4" i="120"/>
  <c r="L4" i="120" s="1"/>
  <c r="P3" i="120"/>
  <c r="O3" i="120"/>
  <c r="N3" i="120"/>
  <c r="J3" i="120"/>
  <c r="H3" i="120"/>
  <c r="G3" i="120"/>
  <c r="F3" i="120"/>
  <c r="B3" i="120"/>
  <c r="A3" i="120"/>
  <c r="L3" i="120" s="1"/>
  <c r="P2" i="120"/>
  <c r="O2" i="120"/>
  <c r="N2" i="120"/>
  <c r="J2" i="120"/>
  <c r="H2" i="120"/>
  <c r="G2" i="120"/>
  <c r="F2" i="120"/>
  <c r="B2" i="120"/>
  <c r="A2" i="120"/>
  <c r="L2" i="120" s="1"/>
  <c r="P1" i="120"/>
  <c r="O1" i="120"/>
  <c r="N1" i="120"/>
  <c r="M1" i="120"/>
  <c r="L1" i="120"/>
  <c r="K1" i="120"/>
  <c r="J1" i="120"/>
  <c r="I1" i="120"/>
  <c r="H1" i="120"/>
  <c r="G1" i="120"/>
  <c r="F1" i="120"/>
  <c r="E1" i="120"/>
  <c r="D1" i="120"/>
  <c r="C1" i="120"/>
  <c r="B1" i="120"/>
  <c r="B14" i="120" s="1" a="1"/>
  <c r="C118" i="119"/>
  <c r="F118" i="119" s="1"/>
  <c r="B118" i="119"/>
  <c r="C117" i="119"/>
  <c r="F117" i="119" s="1"/>
  <c r="B117" i="119"/>
  <c r="F116" i="119"/>
  <c r="C116" i="119"/>
  <c r="B116" i="119"/>
  <c r="C115" i="119"/>
  <c r="F115" i="119" s="1"/>
  <c r="B115" i="119"/>
  <c r="C114" i="119"/>
  <c r="F114" i="119" s="1"/>
  <c r="B114" i="119"/>
  <c r="F113" i="119"/>
  <c r="C113" i="119"/>
  <c r="B113" i="119"/>
  <c r="C112" i="119"/>
  <c r="F112" i="119" s="1"/>
  <c r="B112" i="119"/>
  <c r="C111" i="119"/>
  <c r="F111" i="119" s="1"/>
  <c r="B111" i="119"/>
  <c r="C110" i="119"/>
  <c r="F110" i="119" s="1"/>
  <c r="B110" i="119"/>
  <c r="C109" i="119"/>
  <c r="F109" i="119" s="1"/>
  <c r="B109" i="119"/>
  <c r="F108" i="119"/>
  <c r="C108" i="119"/>
  <c r="B108" i="119"/>
  <c r="C107" i="119"/>
  <c r="F107" i="119" s="1"/>
  <c r="B107" i="119"/>
  <c r="C106" i="119"/>
  <c r="F106" i="119" s="1"/>
  <c r="B106" i="119"/>
  <c r="F105" i="119"/>
  <c r="C105" i="119"/>
  <c r="B105" i="119"/>
  <c r="F104" i="119"/>
  <c r="C104" i="119"/>
  <c r="B104" i="119"/>
  <c r="F103" i="119"/>
  <c r="C103" i="119"/>
  <c r="B103" i="119"/>
  <c r="C102" i="119"/>
  <c r="F102" i="119" s="1"/>
  <c r="B102" i="119"/>
  <c r="C101" i="119"/>
  <c r="F101" i="119" s="1"/>
  <c r="B101" i="119"/>
  <c r="F100" i="119"/>
  <c r="C100" i="119"/>
  <c r="B100" i="119"/>
  <c r="C99" i="119"/>
  <c r="F99" i="119" s="1"/>
  <c r="B99" i="119"/>
  <c r="F98" i="119"/>
  <c r="C98" i="119"/>
  <c r="B98" i="119"/>
  <c r="F97" i="119"/>
  <c r="C97" i="119"/>
  <c r="B97" i="119"/>
  <c r="C96" i="119"/>
  <c r="F96" i="119" s="1"/>
  <c r="B96" i="119"/>
  <c r="C95" i="119"/>
  <c r="F95" i="119" s="1"/>
  <c r="B95" i="119"/>
  <c r="C94" i="119"/>
  <c r="F94" i="119" s="1"/>
  <c r="B94" i="119"/>
  <c r="C93" i="119"/>
  <c r="F93" i="119" s="1"/>
  <c r="B93" i="119"/>
  <c r="F92" i="119"/>
  <c r="C92" i="119"/>
  <c r="B92" i="119"/>
  <c r="C91" i="119"/>
  <c r="F91" i="119" s="1"/>
  <c r="B91" i="119"/>
  <c r="F90" i="119"/>
  <c r="C90" i="119"/>
  <c r="B90" i="119"/>
  <c r="F89" i="119"/>
  <c r="C89" i="119"/>
  <c r="B89" i="119"/>
  <c r="C88" i="119"/>
  <c r="F88" i="119" s="1"/>
  <c r="B88" i="119"/>
  <c r="C87" i="119"/>
  <c r="F87" i="119" s="1"/>
  <c r="B87" i="119"/>
  <c r="C86" i="119"/>
  <c r="F86" i="119" s="1"/>
  <c r="B86" i="119"/>
  <c r="C85" i="119"/>
  <c r="F85" i="119" s="1"/>
  <c r="B85" i="119"/>
  <c r="F84" i="119"/>
  <c r="C84" i="119"/>
  <c r="B84" i="119"/>
  <c r="C83" i="119"/>
  <c r="F83" i="119" s="1"/>
  <c r="B83" i="119"/>
  <c r="F82" i="119"/>
  <c r="C82" i="119"/>
  <c r="B82" i="119"/>
  <c r="F81" i="119"/>
  <c r="C81" i="119"/>
  <c r="B81" i="119"/>
  <c r="C80" i="119"/>
  <c r="F80" i="119" s="1"/>
  <c r="B80" i="119"/>
  <c r="C79" i="119"/>
  <c r="F79" i="119" s="1"/>
  <c r="B79" i="119"/>
  <c r="C78" i="119"/>
  <c r="F78" i="119" s="1"/>
  <c r="B78" i="119"/>
  <c r="C77" i="119"/>
  <c r="F77" i="119" s="1"/>
  <c r="B77" i="119"/>
  <c r="F76" i="119"/>
  <c r="C76" i="119"/>
  <c r="B76" i="119"/>
  <c r="C75" i="119"/>
  <c r="F75" i="119" s="1"/>
  <c r="B75" i="119"/>
  <c r="F74" i="119"/>
  <c r="C74" i="119"/>
  <c r="B74" i="119"/>
  <c r="F73" i="119"/>
  <c r="C73" i="119"/>
  <c r="B73" i="119"/>
  <c r="C72" i="119"/>
  <c r="F72" i="119" s="1"/>
  <c r="B72" i="119"/>
  <c r="C71" i="119"/>
  <c r="F71" i="119" s="1"/>
  <c r="B71" i="119"/>
  <c r="C70" i="119"/>
  <c r="F70" i="119" s="1"/>
  <c r="B70" i="119"/>
  <c r="C69" i="119"/>
  <c r="F69" i="119" s="1"/>
  <c r="B69" i="119"/>
  <c r="C68" i="119"/>
  <c r="F68" i="119" s="1"/>
  <c r="B68" i="119"/>
  <c r="C67" i="119"/>
  <c r="F67" i="119" s="1"/>
  <c r="B67" i="119"/>
  <c r="F66" i="119"/>
  <c r="C66" i="119"/>
  <c r="B66" i="119"/>
  <c r="F65" i="119"/>
  <c r="C65" i="119"/>
  <c r="B65" i="119"/>
  <c r="C64" i="119"/>
  <c r="F64" i="119" s="1"/>
  <c r="B64" i="119"/>
  <c r="C63" i="119"/>
  <c r="F63" i="119" s="1"/>
  <c r="B63" i="119"/>
  <c r="C62" i="119"/>
  <c r="F62" i="119" s="1"/>
  <c r="B62" i="119"/>
  <c r="C61" i="119"/>
  <c r="F61" i="119" s="1"/>
  <c r="B61" i="119"/>
  <c r="C60" i="119"/>
  <c r="F60" i="119" s="1"/>
  <c r="B60" i="119"/>
  <c r="F59" i="119"/>
  <c r="C59" i="119"/>
  <c r="B59" i="119"/>
  <c r="F58" i="119"/>
  <c r="C58" i="119"/>
  <c r="B58" i="119"/>
  <c r="F57" i="119"/>
  <c r="C57" i="119"/>
  <c r="B57" i="119"/>
  <c r="C56" i="119"/>
  <c r="F56" i="119" s="1"/>
  <c r="B56" i="119"/>
  <c r="C55" i="119"/>
  <c r="F55" i="119" s="1"/>
  <c r="B55" i="119"/>
  <c r="C54" i="119"/>
  <c r="F54" i="119" s="1"/>
  <c r="B54" i="119"/>
  <c r="C53" i="119"/>
  <c r="F53" i="119" s="1"/>
  <c r="B53" i="119"/>
  <c r="C52" i="119"/>
  <c r="F52" i="119" s="1"/>
  <c r="B52" i="119"/>
  <c r="C51" i="119"/>
  <c r="F51" i="119" s="1"/>
  <c r="B51" i="119"/>
  <c r="F50" i="119"/>
  <c r="C50" i="119"/>
  <c r="B50" i="119"/>
  <c r="F49" i="119"/>
  <c r="C49" i="119"/>
  <c r="B49" i="119"/>
  <c r="F48" i="119"/>
  <c r="C48" i="119"/>
  <c r="B48" i="119"/>
  <c r="C47" i="119"/>
  <c r="F47" i="119" s="1"/>
  <c r="B47" i="119"/>
  <c r="C46" i="119"/>
  <c r="F46" i="119" s="1"/>
  <c r="B46" i="119"/>
  <c r="C45" i="119"/>
  <c r="F45" i="119" s="1"/>
  <c r="B45" i="119"/>
  <c r="C44" i="119"/>
  <c r="F44" i="119" s="1"/>
  <c r="B44" i="119"/>
  <c r="C43" i="119"/>
  <c r="F43" i="119" s="1"/>
  <c r="B43" i="119"/>
  <c r="F42" i="119"/>
  <c r="C42" i="119"/>
  <c r="B42" i="119"/>
  <c r="F41" i="119"/>
  <c r="C41" i="119"/>
  <c r="B41" i="119"/>
  <c r="F40" i="119"/>
  <c r="C40" i="119"/>
  <c r="B40" i="119"/>
  <c r="C39" i="119"/>
  <c r="F39" i="119" s="1"/>
  <c r="B39" i="119"/>
  <c r="C38" i="119"/>
  <c r="F38" i="119" s="1"/>
  <c r="B38" i="119"/>
  <c r="C37" i="119"/>
  <c r="F37" i="119" s="1"/>
  <c r="B37" i="119"/>
  <c r="C36" i="119"/>
  <c r="F36" i="119" s="1"/>
  <c r="B36" i="119"/>
  <c r="C35" i="119"/>
  <c r="F35" i="119" s="1"/>
  <c r="B35" i="119"/>
  <c r="F34" i="119"/>
  <c r="C34" i="119"/>
  <c r="B34" i="119"/>
  <c r="F33" i="119"/>
  <c r="C33" i="119"/>
  <c r="B33" i="119"/>
  <c r="F32" i="119"/>
  <c r="C32" i="119"/>
  <c r="B32" i="119"/>
  <c r="C31" i="119"/>
  <c r="F31" i="119" s="1"/>
  <c r="B31" i="119"/>
  <c r="C30" i="119"/>
  <c r="F30" i="119" s="1"/>
  <c r="B30" i="119"/>
  <c r="C29" i="119"/>
  <c r="F29" i="119" s="1"/>
  <c r="B29" i="119"/>
  <c r="C28" i="119"/>
  <c r="F28" i="119" s="1"/>
  <c r="B28" i="119"/>
  <c r="C27" i="119"/>
  <c r="F27" i="119" s="1"/>
  <c r="B27" i="119"/>
  <c r="F26" i="119"/>
  <c r="C26" i="119"/>
  <c r="B26" i="119"/>
  <c r="F25" i="119"/>
  <c r="C25" i="119"/>
  <c r="B25" i="119"/>
  <c r="F24" i="119"/>
  <c r="C24" i="119"/>
  <c r="B24" i="119"/>
  <c r="C23" i="119"/>
  <c r="F23" i="119" s="1"/>
  <c r="B23" i="119"/>
  <c r="C22" i="119"/>
  <c r="F22" i="119" s="1"/>
  <c r="B22" i="119"/>
  <c r="C21" i="119"/>
  <c r="F21" i="119" s="1"/>
  <c r="B21" i="119"/>
  <c r="C20" i="119"/>
  <c r="F20" i="119" s="1"/>
  <c r="B20" i="119"/>
  <c r="C19" i="119"/>
  <c r="F19" i="119" s="1"/>
  <c r="B19" i="119"/>
  <c r="F18" i="119"/>
  <c r="C18" i="119"/>
  <c r="B18" i="119"/>
  <c r="F17" i="119"/>
  <c r="C17" i="119"/>
  <c r="B17" i="119"/>
  <c r="C16" i="119"/>
  <c r="F16" i="119" s="1"/>
  <c r="B16" i="119"/>
  <c r="H15" i="119"/>
  <c r="G15" i="119"/>
  <c r="F15" i="119"/>
  <c r="C15" i="119"/>
  <c r="B15" i="119"/>
  <c r="H14" i="119"/>
  <c r="G14" i="119"/>
  <c r="F14" i="119"/>
  <c r="C14" i="119"/>
  <c r="B14" i="119"/>
  <c r="H13" i="119"/>
  <c r="G13" i="119"/>
  <c r="C13" i="119"/>
  <c r="F13" i="119" s="1"/>
  <c r="B13" i="119"/>
  <c r="H12" i="119"/>
  <c r="G12" i="119"/>
  <c r="C12" i="119"/>
  <c r="F12" i="119" s="1"/>
  <c r="B12" i="119"/>
  <c r="H11" i="119"/>
  <c r="G11" i="119"/>
  <c r="C11" i="119"/>
  <c r="F11" i="119" s="1"/>
  <c r="B11" i="119"/>
  <c r="H10" i="119"/>
  <c r="G10" i="119"/>
  <c r="C10" i="119"/>
  <c r="F10" i="119" s="1"/>
  <c r="B10" i="119"/>
  <c r="H9" i="119"/>
  <c r="G9" i="119"/>
  <c r="C9" i="119"/>
  <c r="F9" i="119" s="1"/>
  <c r="B9" i="119"/>
  <c r="H8" i="119"/>
  <c r="G8" i="119"/>
  <c r="C8" i="119"/>
  <c r="F8" i="119" s="1"/>
  <c r="B8" i="119"/>
  <c r="C7" i="119"/>
  <c r="F7" i="119" s="1"/>
  <c r="B7" i="119"/>
  <c r="C122" i="118"/>
  <c r="J121" i="118"/>
  <c r="K121" i="118" s="1"/>
  <c r="J120" i="118"/>
  <c r="K120" i="118" s="1"/>
  <c r="J119" i="118"/>
  <c r="K119" i="118" s="1"/>
  <c r="J118" i="118"/>
  <c r="K118" i="118" s="1"/>
  <c r="J117" i="118"/>
  <c r="K117" i="118" s="1"/>
  <c r="K122" i="118" s="1"/>
  <c r="C116" i="118"/>
  <c r="K115" i="118"/>
  <c r="J115" i="118"/>
  <c r="J114" i="118"/>
  <c r="K114" i="118" s="1"/>
  <c r="J113" i="118"/>
  <c r="K113" i="118" s="1"/>
  <c r="K112" i="118"/>
  <c r="J112" i="118"/>
  <c r="K111" i="118"/>
  <c r="K116" i="118" s="1"/>
  <c r="J111" i="118"/>
  <c r="C110" i="118"/>
  <c r="K109" i="118"/>
  <c r="J109" i="118"/>
  <c r="J108" i="118"/>
  <c r="K108" i="118" s="1"/>
  <c r="J107" i="118"/>
  <c r="K107" i="118" s="1"/>
  <c r="K106" i="118"/>
  <c r="J106" i="118"/>
  <c r="K105" i="118"/>
  <c r="K110" i="118" s="1"/>
  <c r="J105" i="118"/>
  <c r="C104" i="118"/>
  <c r="J103" i="118"/>
  <c r="K103" i="118" s="1"/>
  <c r="J102" i="118"/>
  <c r="K102" i="118" s="1"/>
  <c r="K101" i="118"/>
  <c r="J101" i="118"/>
  <c r="J100" i="118"/>
  <c r="K100" i="118" s="1"/>
  <c r="J99" i="118"/>
  <c r="K99" i="118" s="1"/>
  <c r="C98" i="118"/>
  <c r="J97" i="118"/>
  <c r="K97" i="118" s="1"/>
  <c r="K96" i="118"/>
  <c r="J96" i="118"/>
  <c r="K95" i="118"/>
  <c r="J95" i="118"/>
  <c r="K94" i="118"/>
  <c r="J94" i="118"/>
  <c r="J93" i="118"/>
  <c r="K93" i="118" s="1"/>
  <c r="K98" i="118" s="1"/>
  <c r="C92" i="118"/>
  <c r="J91" i="118"/>
  <c r="K91" i="118" s="1"/>
  <c r="K90" i="118"/>
  <c r="J90" i="118"/>
  <c r="J89" i="118"/>
  <c r="K89" i="118" s="1"/>
  <c r="J88" i="118"/>
  <c r="K88" i="118" s="1"/>
  <c r="J87" i="118"/>
  <c r="K87" i="118" s="1"/>
  <c r="C86" i="118"/>
  <c r="K85" i="118"/>
  <c r="J85" i="118"/>
  <c r="K84" i="118"/>
  <c r="J84" i="118"/>
  <c r="K83" i="118"/>
  <c r="J83" i="118"/>
  <c r="J82" i="118"/>
  <c r="K82" i="118" s="1"/>
  <c r="K81" i="118"/>
  <c r="J81" i="118"/>
  <c r="C80" i="118"/>
  <c r="K79" i="118"/>
  <c r="J79" i="118"/>
  <c r="J78" i="118"/>
  <c r="K78" i="118" s="1"/>
  <c r="J77" i="118"/>
  <c r="K77" i="118" s="1"/>
  <c r="J76" i="118"/>
  <c r="K76" i="118" s="1"/>
  <c r="K75" i="118"/>
  <c r="J75" i="118"/>
  <c r="C74" i="118"/>
  <c r="K73" i="118"/>
  <c r="J73" i="118"/>
  <c r="K72" i="118"/>
  <c r="J72" i="118"/>
  <c r="J71" i="118"/>
  <c r="K71" i="118" s="1"/>
  <c r="J70" i="118"/>
  <c r="K70" i="118" s="1"/>
  <c r="K69" i="118"/>
  <c r="J69" i="118"/>
  <c r="C68" i="118"/>
  <c r="J67" i="118"/>
  <c r="K67" i="118" s="1"/>
  <c r="J66" i="118"/>
  <c r="K66" i="118" s="1"/>
  <c r="J65" i="118"/>
  <c r="K65" i="118" s="1"/>
  <c r="K64" i="118"/>
  <c r="J64" i="118"/>
  <c r="J63" i="118"/>
  <c r="K63" i="118" s="1"/>
  <c r="C62" i="118"/>
  <c r="K61" i="118"/>
  <c r="J61" i="118"/>
  <c r="J60" i="118"/>
  <c r="K60" i="118" s="1"/>
  <c r="K59" i="118"/>
  <c r="J59" i="118"/>
  <c r="K58" i="118"/>
  <c r="K62" i="118" s="1"/>
  <c r="J58" i="118"/>
  <c r="K57" i="118"/>
  <c r="J57" i="118"/>
  <c r="C56" i="118"/>
  <c r="J55" i="118"/>
  <c r="K55" i="118" s="1"/>
  <c r="J54" i="118"/>
  <c r="K54" i="118" s="1"/>
  <c r="K53" i="118"/>
  <c r="J53" i="118"/>
  <c r="J52" i="118"/>
  <c r="K52" i="118" s="1"/>
  <c r="J51" i="118"/>
  <c r="K51" i="118" s="1"/>
  <c r="C50" i="118"/>
  <c r="J49" i="118"/>
  <c r="K49" i="118" s="1"/>
  <c r="K48" i="118"/>
  <c r="J48" i="118"/>
  <c r="K47" i="118"/>
  <c r="J47" i="118"/>
  <c r="K46" i="118"/>
  <c r="J46" i="118"/>
  <c r="J45" i="118"/>
  <c r="K45" i="118" s="1"/>
  <c r="C44" i="118"/>
  <c r="J43" i="118"/>
  <c r="K43" i="118" s="1"/>
  <c r="K42" i="118"/>
  <c r="J42" i="118"/>
  <c r="J41" i="118"/>
  <c r="K41" i="118" s="1"/>
  <c r="J40" i="118"/>
  <c r="K40" i="118" s="1"/>
  <c r="J39" i="118"/>
  <c r="K39" i="118" s="1"/>
  <c r="C38" i="118"/>
  <c r="K37" i="118"/>
  <c r="J37" i="118"/>
  <c r="K36" i="118"/>
  <c r="J36" i="118"/>
  <c r="K35" i="118"/>
  <c r="J35" i="118"/>
  <c r="J34" i="118"/>
  <c r="K34" i="118" s="1"/>
  <c r="K33" i="118"/>
  <c r="J33" i="118"/>
  <c r="M32" i="118"/>
  <c r="P8" i="118"/>
  <c r="P9" i="118" s="1"/>
  <c r="N8" i="118"/>
  <c r="N9" i="118" s="1"/>
  <c r="H8" i="118"/>
  <c r="H9" i="118" s="1"/>
  <c r="F8" i="118"/>
  <c r="F9" i="118" s="1"/>
  <c r="A8" i="118"/>
  <c r="L8" i="118" s="1"/>
  <c r="P7" i="118"/>
  <c r="N7" i="118"/>
  <c r="H7" i="118"/>
  <c r="F7" i="118"/>
  <c r="A7" i="118"/>
  <c r="L7" i="118" s="1"/>
  <c r="P6" i="118"/>
  <c r="N6" i="118"/>
  <c r="H6" i="118"/>
  <c r="F6" i="118"/>
  <c r="A6" i="118"/>
  <c r="L6" i="118" s="1"/>
  <c r="P5" i="118"/>
  <c r="N5" i="118"/>
  <c r="H5" i="118"/>
  <c r="F5" i="118"/>
  <c r="A5" i="118"/>
  <c r="L5" i="118" s="1"/>
  <c r="P4" i="118"/>
  <c r="N4" i="118"/>
  <c r="H4" i="118"/>
  <c r="F4" i="118"/>
  <c r="A4" i="118"/>
  <c r="L4" i="118" s="1"/>
  <c r="P3" i="118"/>
  <c r="N3" i="118"/>
  <c r="H3" i="118"/>
  <c r="F3" i="118"/>
  <c r="A3" i="118"/>
  <c r="L3" i="118" s="1"/>
  <c r="P2" i="118"/>
  <c r="N2" i="118"/>
  <c r="H2" i="118"/>
  <c r="F2" i="118"/>
  <c r="A2" i="118"/>
  <c r="L2" i="118" s="1"/>
  <c r="P1" i="118"/>
  <c r="O1" i="118"/>
  <c r="N1" i="118"/>
  <c r="M1" i="118"/>
  <c r="L1" i="118"/>
  <c r="K1" i="118"/>
  <c r="J1" i="118"/>
  <c r="I1" i="118"/>
  <c r="H1" i="118"/>
  <c r="G1" i="118"/>
  <c r="F1" i="118"/>
  <c r="B14" i="118" s="1" a="1"/>
  <c r="E1" i="118"/>
  <c r="D1" i="118"/>
  <c r="C1" i="118"/>
  <c r="B1" i="118"/>
  <c r="C118" i="117"/>
  <c r="F118" i="117" s="1"/>
  <c r="B118" i="117"/>
  <c r="C117" i="117"/>
  <c r="F117" i="117" s="1"/>
  <c r="B117" i="117"/>
  <c r="F116" i="117"/>
  <c r="C116" i="117"/>
  <c r="B116" i="117"/>
  <c r="C115" i="117"/>
  <c r="F115" i="117" s="1"/>
  <c r="B115" i="117"/>
  <c r="C114" i="117"/>
  <c r="F114" i="117" s="1"/>
  <c r="B114" i="117"/>
  <c r="F113" i="117"/>
  <c r="C113" i="117"/>
  <c r="B113" i="117"/>
  <c r="F112" i="117"/>
  <c r="C112" i="117"/>
  <c r="B112" i="117"/>
  <c r="C111" i="117"/>
  <c r="F111" i="117" s="1"/>
  <c r="B111" i="117"/>
  <c r="C110" i="117"/>
  <c r="F110" i="117" s="1"/>
  <c r="B110" i="117"/>
  <c r="C109" i="117"/>
  <c r="F109" i="117" s="1"/>
  <c r="B109" i="117"/>
  <c r="F108" i="117"/>
  <c r="C108" i="117"/>
  <c r="B108" i="117"/>
  <c r="C107" i="117"/>
  <c r="F107" i="117" s="1"/>
  <c r="B107" i="117"/>
  <c r="F106" i="117"/>
  <c r="C106" i="117"/>
  <c r="B106" i="117"/>
  <c r="F105" i="117"/>
  <c r="C105" i="117"/>
  <c r="B105" i="117"/>
  <c r="F104" i="117"/>
  <c r="C104" i="117"/>
  <c r="B104" i="117"/>
  <c r="C103" i="117"/>
  <c r="F103" i="117" s="1"/>
  <c r="B103" i="117"/>
  <c r="C102" i="117"/>
  <c r="F102" i="117" s="1"/>
  <c r="B102" i="117"/>
  <c r="C101" i="117"/>
  <c r="F101" i="117" s="1"/>
  <c r="B101" i="117"/>
  <c r="F100" i="117"/>
  <c r="C100" i="117"/>
  <c r="B100" i="117"/>
  <c r="C99" i="117"/>
  <c r="F99" i="117" s="1"/>
  <c r="B99" i="117"/>
  <c r="F98" i="117"/>
  <c r="C98" i="117"/>
  <c r="B98" i="117"/>
  <c r="F97" i="117"/>
  <c r="C97" i="117"/>
  <c r="B97" i="117"/>
  <c r="F96" i="117"/>
  <c r="C96" i="117"/>
  <c r="B96" i="117"/>
  <c r="F95" i="117"/>
  <c r="C95" i="117"/>
  <c r="B95" i="117"/>
  <c r="C94" i="117"/>
  <c r="F94" i="117" s="1"/>
  <c r="B94" i="117"/>
  <c r="C93" i="117"/>
  <c r="F93" i="117" s="1"/>
  <c r="B93" i="117"/>
  <c r="F92" i="117"/>
  <c r="C92" i="117"/>
  <c r="B92" i="117"/>
  <c r="C91" i="117"/>
  <c r="F91" i="117" s="1"/>
  <c r="B91" i="117"/>
  <c r="F90" i="117"/>
  <c r="C90" i="117"/>
  <c r="B90" i="117"/>
  <c r="F89" i="117"/>
  <c r="C89" i="117"/>
  <c r="B89" i="117"/>
  <c r="F88" i="117"/>
  <c r="C88" i="117"/>
  <c r="B88" i="117"/>
  <c r="F87" i="117"/>
  <c r="C87" i="117"/>
  <c r="B87" i="117"/>
  <c r="C86" i="117"/>
  <c r="F86" i="117" s="1"/>
  <c r="B86" i="117"/>
  <c r="C85" i="117"/>
  <c r="F85" i="117" s="1"/>
  <c r="B85" i="117"/>
  <c r="F84" i="117"/>
  <c r="C84" i="117"/>
  <c r="B84" i="117"/>
  <c r="C83" i="117"/>
  <c r="F83" i="117" s="1"/>
  <c r="B83" i="117"/>
  <c r="F82" i="117"/>
  <c r="C82" i="117"/>
  <c r="B82" i="117"/>
  <c r="F81" i="117"/>
  <c r="C81" i="117"/>
  <c r="B81" i="117"/>
  <c r="F80" i="117"/>
  <c r="C80" i="117"/>
  <c r="B80" i="117"/>
  <c r="C79" i="117"/>
  <c r="F79" i="117" s="1"/>
  <c r="B79" i="117"/>
  <c r="C78" i="117"/>
  <c r="F78" i="117" s="1"/>
  <c r="B78" i="117"/>
  <c r="C77" i="117"/>
  <c r="F77" i="117" s="1"/>
  <c r="B77" i="117"/>
  <c r="F76" i="117"/>
  <c r="C76" i="117"/>
  <c r="B76" i="117"/>
  <c r="C75" i="117"/>
  <c r="F75" i="117" s="1"/>
  <c r="B75" i="117"/>
  <c r="F74" i="117"/>
  <c r="C74" i="117"/>
  <c r="B74" i="117"/>
  <c r="F73" i="117"/>
  <c r="C73" i="117"/>
  <c r="B73" i="117"/>
  <c r="F72" i="117"/>
  <c r="C72" i="117"/>
  <c r="B72" i="117"/>
  <c r="C71" i="117"/>
  <c r="F71" i="117" s="1"/>
  <c r="B71" i="117"/>
  <c r="C70" i="117"/>
  <c r="F70" i="117" s="1"/>
  <c r="B70" i="117"/>
  <c r="C69" i="117"/>
  <c r="F69" i="117" s="1"/>
  <c r="B69" i="117"/>
  <c r="F68" i="117"/>
  <c r="C68" i="117"/>
  <c r="B68" i="117"/>
  <c r="C67" i="117"/>
  <c r="F67" i="117" s="1"/>
  <c r="B67" i="117"/>
  <c r="F66" i="117"/>
  <c r="C66" i="117"/>
  <c r="B66" i="117"/>
  <c r="F65" i="117"/>
  <c r="C65" i="117"/>
  <c r="B65" i="117"/>
  <c r="F64" i="117"/>
  <c r="C64" i="117"/>
  <c r="B64" i="117"/>
  <c r="C63" i="117"/>
  <c r="F63" i="117" s="1"/>
  <c r="B63" i="117"/>
  <c r="C62" i="117"/>
  <c r="F62" i="117" s="1"/>
  <c r="B62" i="117"/>
  <c r="C61" i="117"/>
  <c r="F61" i="117" s="1"/>
  <c r="B61" i="117"/>
  <c r="F60" i="117"/>
  <c r="C60" i="117"/>
  <c r="B60" i="117"/>
  <c r="C59" i="117"/>
  <c r="F59" i="117" s="1"/>
  <c r="B59" i="117"/>
  <c r="F58" i="117"/>
  <c r="C58" i="117"/>
  <c r="B58" i="117"/>
  <c r="F57" i="117"/>
  <c r="C57" i="117"/>
  <c r="B57" i="117"/>
  <c r="F56" i="117"/>
  <c r="C56" i="117"/>
  <c r="B56" i="117"/>
  <c r="C55" i="117"/>
  <c r="F55" i="117" s="1"/>
  <c r="B55" i="117"/>
  <c r="C54" i="117"/>
  <c r="F54" i="117" s="1"/>
  <c r="B54" i="117"/>
  <c r="C53" i="117"/>
  <c r="F53" i="117" s="1"/>
  <c r="B53" i="117"/>
  <c r="F52" i="117"/>
  <c r="C52" i="117"/>
  <c r="B52" i="117"/>
  <c r="C51" i="117"/>
  <c r="F51" i="117" s="1"/>
  <c r="B51" i="117"/>
  <c r="F50" i="117"/>
  <c r="C50" i="117"/>
  <c r="B50" i="117"/>
  <c r="F49" i="117"/>
  <c r="C49" i="117"/>
  <c r="B49" i="117"/>
  <c r="F48" i="117"/>
  <c r="C48" i="117"/>
  <c r="B48" i="117"/>
  <c r="C47" i="117"/>
  <c r="F47" i="117" s="1"/>
  <c r="B47" i="117"/>
  <c r="C46" i="117"/>
  <c r="F46" i="117" s="1"/>
  <c r="B46" i="117"/>
  <c r="C45" i="117"/>
  <c r="F45" i="117" s="1"/>
  <c r="B45" i="117"/>
  <c r="F44" i="117"/>
  <c r="C44" i="117"/>
  <c r="B44" i="117"/>
  <c r="C43" i="117"/>
  <c r="F43" i="117" s="1"/>
  <c r="B43" i="117"/>
  <c r="F42" i="117"/>
  <c r="C42" i="117"/>
  <c r="B42" i="117"/>
  <c r="F41" i="117"/>
  <c r="C41" i="117"/>
  <c r="B41" i="117"/>
  <c r="F40" i="117"/>
  <c r="C40" i="117"/>
  <c r="B40" i="117"/>
  <c r="C39" i="117"/>
  <c r="F39" i="117" s="1"/>
  <c r="B39" i="117"/>
  <c r="C38" i="117"/>
  <c r="F38" i="117" s="1"/>
  <c r="B38" i="117"/>
  <c r="C37" i="117"/>
  <c r="F37" i="117" s="1"/>
  <c r="B37" i="117"/>
  <c r="F36" i="117"/>
  <c r="C36" i="117"/>
  <c r="B36" i="117"/>
  <c r="C35" i="117"/>
  <c r="F35" i="117" s="1"/>
  <c r="B35" i="117"/>
  <c r="F34" i="117"/>
  <c r="C34" i="117"/>
  <c r="B34" i="117"/>
  <c r="F33" i="117"/>
  <c r="C33" i="117"/>
  <c r="B33" i="117"/>
  <c r="F32" i="117"/>
  <c r="C32" i="117"/>
  <c r="B32" i="117"/>
  <c r="C31" i="117"/>
  <c r="F31" i="117" s="1"/>
  <c r="B31" i="117"/>
  <c r="C30" i="117"/>
  <c r="F30" i="117" s="1"/>
  <c r="B30" i="117"/>
  <c r="C29" i="117"/>
  <c r="F29" i="117" s="1"/>
  <c r="B29" i="117"/>
  <c r="F28" i="117"/>
  <c r="C28" i="117"/>
  <c r="B28" i="117"/>
  <c r="C27" i="117"/>
  <c r="F27" i="117" s="1"/>
  <c r="B27" i="117"/>
  <c r="F26" i="117"/>
  <c r="C26" i="117"/>
  <c r="B26" i="117"/>
  <c r="F25" i="117"/>
  <c r="C25" i="117"/>
  <c r="B25" i="117"/>
  <c r="F24" i="117"/>
  <c r="C24" i="117"/>
  <c r="B24" i="117"/>
  <c r="C23" i="117"/>
  <c r="F23" i="117" s="1"/>
  <c r="B23" i="117"/>
  <c r="C22" i="117"/>
  <c r="F22" i="117" s="1"/>
  <c r="B22" i="117"/>
  <c r="C21" i="117"/>
  <c r="F21" i="117" s="1"/>
  <c r="B21" i="117"/>
  <c r="F20" i="117"/>
  <c r="C20" i="117"/>
  <c r="B20" i="117"/>
  <c r="C19" i="117"/>
  <c r="F19" i="117" s="1"/>
  <c r="B19" i="117"/>
  <c r="F18" i="117"/>
  <c r="C18" i="117"/>
  <c r="B18" i="117"/>
  <c r="F17" i="117"/>
  <c r="C17" i="117"/>
  <c r="B17" i="117"/>
  <c r="C16" i="117"/>
  <c r="F16" i="117" s="1"/>
  <c r="B16" i="117"/>
  <c r="H15" i="117"/>
  <c r="G15" i="117"/>
  <c r="F15" i="117"/>
  <c r="C15" i="117"/>
  <c r="B15" i="117"/>
  <c r="H14" i="117"/>
  <c r="G14" i="117"/>
  <c r="F14" i="117"/>
  <c r="C14" i="117"/>
  <c r="B14" i="117"/>
  <c r="H13" i="117"/>
  <c r="G13" i="117"/>
  <c r="C13" i="117"/>
  <c r="F13" i="117" s="1"/>
  <c r="B13" i="117"/>
  <c r="H12" i="117"/>
  <c r="G12" i="117"/>
  <c r="F12" i="117"/>
  <c r="C12" i="117"/>
  <c r="B12" i="117"/>
  <c r="H11" i="117"/>
  <c r="G11" i="117"/>
  <c r="C11" i="117"/>
  <c r="F11" i="117" s="1"/>
  <c r="B11" i="117"/>
  <c r="H10" i="117"/>
  <c r="G10" i="117"/>
  <c r="C10" i="117"/>
  <c r="F10" i="117" s="1"/>
  <c r="B10" i="117"/>
  <c r="H9" i="117"/>
  <c r="G9" i="117"/>
  <c r="C9" i="117"/>
  <c r="F9" i="117" s="1"/>
  <c r="B9" i="117"/>
  <c r="H8" i="117"/>
  <c r="G8" i="117"/>
  <c r="C8" i="117"/>
  <c r="F8" i="117" s="1"/>
  <c r="B8" i="117"/>
  <c r="C7" i="117"/>
  <c r="F7" i="117" s="1"/>
  <c r="B7" i="117"/>
  <c r="C122" i="116"/>
  <c r="J121" i="116"/>
  <c r="K121" i="116" s="1"/>
  <c r="J120" i="116"/>
  <c r="K120" i="116" s="1"/>
  <c r="J119" i="116"/>
  <c r="K119" i="116" s="1"/>
  <c r="J118" i="116"/>
  <c r="K118" i="116" s="1"/>
  <c r="J117" i="116"/>
  <c r="K117" i="116" s="1"/>
  <c r="K122" i="116" s="1"/>
  <c r="C116" i="116"/>
  <c r="J115" i="116"/>
  <c r="K115" i="116" s="1"/>
  <c r="J114" i="116"/>
  <c r="K114" i="116" s="1"/>
  <c r="J113" i="116"/>
  <c r="K113" i="116" s="1"/>
  <c r="K112" i="116"/>
  <c r="J112" i="116"/>
  <c r="J111" i="116"/>
  <c r="K111" i="116" s="1"/>
  <c r="C110" i="116"/>
  <c r="K109" i="116"/>
  <c r="J109" i="116"/>
  <c r="J108" i="116"/>
  <c r="K108" i="116" s="1"/>
  <c r="K107" i="116"/>
  <c r="J107" i="116"/>
  <c r="J106" i="116"/>
  <c r="K106" i="116" s="1"/>
  <c r="K105" i="116"/>
  <c r="K110" i="116" s="1"/>
  <c r="J105" i="116"/>
  <c r="C104" i="116"/>
  <c r="J103" i="116"/>
  <c r="K103" i="116" s="1"/>
  <c r="K102" i="116"/>
  <c r="J102" i="116"/>
  <c r="K101" i="116"/>
  <c r="J101" i="116"/>
  <c r="J100" i="116"/>
  <c r="K100" i="116" s="1"/>
  <c r="J99" i="116"/>
  <c r="K99" i="116" s="1"/>
  <c r="K104" i="116" s="1"/>
  <c r="C98" i="116"/>
  <c r="J97" i="116"/>
  <c r="K97" i="116" s="1"/>
  <c r="K96" i="116"/>
  <c r="J96" i="116"/>
  <c r="J95" i="116"/>
  <c r="K95" i="116" s="1"/>
  <c r="K94" i="116"/>
  <c r="J94" i="116"/>
  <c r="J93" i="116"/>
  <c r="K93" i="116" s="1"/>
  <c r="K98" i="116" s="1"/>
  <c r="C92" i="116"/>
  <c r="K91" i="116"/>
  <c r="J91" i="116"/>
  <c r="K90" i="116"/>
  <c r="J90" i="116"/>
  <c r="J89" i="116"/>
  <c r="K89" i="116" s="1"/>
  <c r="J88" i="116"/>
  <c r="K88" i="116" s="1"/>
  <c r="K87" i="116"/>
  <c r="K92" i="116" s="1"/>
  <c r="J87" i="116"/>
  <c r="C86" i="116"/>
  <c r="K85" i="116"/>
  <c r="J85" i="116"/>
  <c r="J84" i="116"/>
  <c r="K84" i="116" s="1"/>
  <c r="K83" i="116"/>
  <c r="J83" i="116"/>
  <c r="J82" i="116"/>
  <c r="K82" i="116" s="1"/>
  <c r="K81" i="116"/>
  <c r="J81" i="116"/>
  <c r="C80" i="116"/>
  <c r="K79" i="116"/>
  <c r="J79" i="116"/>
  <c r="J78" i="116"/>
  <c r="K78" i="116" s="1"/>
  <c r="J77" i="116"/>
  <c r="K77" i="116" s="1"/>
  <c r="J76" i="116"/>
  <c r="K76" i="116" s="1"/>
  <c r="K80" i="116" s="1"/>
  <c r="K75" i="116"/>
  <c r="J75" i="116"/>
  <c r="C74" i="116"/>
  <c r="J73" i="116"/>
  <c r="K73" i="116" s="1"/>
  <c r="K72" i="116"/>
  <c r="J72" i="116"/>
  <c r="J71" i="116"/>
  <c r="K71" i="116" s="1"/>
  <c r="K70" i="116"/>
  <c r="J70" i="116"/>
  <c r="J69" i="116"/>
  <c r="K69" i="116" s="1"/>
  <c r="C68" i="116"/>
  <c r="J67" i="116"/>
  <c r="K67" i="116" s="1"/>
  <c r="J66" i="116"/>
  <c r="K66" i="116" s="1"/>
  <c r="J65" i="116"/>
  <c r="K65" i="116" s="1"/>
  <c r="K64" i="116"/>
  <c r="J64" i="116"/>
  <c r="J63" i="116"/>
  <c r="K63" i="116" s="1"/>
  <c r="K68" i="116" s="1"/>
  <c r="C62" i="116"/>
  <c r="K61" i="116"/>
  <c r="J61" i="116"/>
  <c r="J60" i="116"/>
  <c r="K60" i="116" s="1"/>
  <c r="K59" i="116"/>
  <c r="J59" i="116"/>
  <c r="J58" i="116"/>
  <c r="K58" i="116" s="1"/>
  <c r="K57" i="116"/>
  <c r="J57" i="116"/>
  <c r="C56" i="116"/>
  <c r="J55" i="116"/>
  <c r="K55" i="116" s="1"/>
  <c r="K54" i="116"/>
  <c r="J54" i="116"/>
  <c r="K53" i="116"/>
  <c r="J53" i="116"/>
  <c r="J52" i="116"/>
  <c r="K52" i="116" s="1"/>
  <c r="J51" i="116"/>
  <c r="K51" i="116" s="1"/>
  <c r="K56" i="116" s="1"/>
  <c r="C50" i="116"/>
  <c r="J49" i="116"/>
  <c r="K49" i="116" s="1"/>
  <c r="K48" i="116"/>
  <c r="J48" i="116"/>
  <c r="J47" i="116"/>
  <c r="K47" i="116" s="1"/>
  <c r="K46" i="116"/>
  <c r="J46" i="116"/>
  <c r="J45" i="116"/>
  <c r="K45" i="116" s="1"/>
  <c r="K50" i="116" s="1"/>
  <c r="C44" i="116"/>
  <c r="J43" i="116"/>
  <c r="K43" i="116" s="1"/>
  <c r="K42" i="116"/>
  <c r="J42" i="116"/>
  <c r="J41" i="116"/>
  <c r="K41" i="116" s="1"/>
  <c r="J40" i="116"/>
  <c r="K40" i="116" s="1"/>
  <c r="J39" i="116"/>
  <c r="K39" i="116" s="1"/>
  <c r="C38" i="116"/>
  <c r="K37" i="116"/>
  <c r="J37" i="116"/>
  <c r="J36" i="116"/>
  <c r="K36" i="116" s="1"/>
  <c r="K35" i="116"/>
  <c r="J35" i="116"/>
  <c r="J34" i="116"/>
  <c r="K34" i="116" s="1"/>
  <c r="K33" i="116"/>
  <c r="J33" i="116"/>
  <c r="M32" i="116"/>
  <c r="B14" i="116" a="1"/>
  <c r="B25" i="116" s="1"/>
  <c r="P8" i="116"/>
  <c r="P9" i="116" s="1"/>
  <c r="O8" i="116"/>
  <c r="O9" i="116" s="1"/>
  <c r="N8" i="116"/>
  <c r="N9" i="116" s="1"/>
  <c r="H8" i="116"/>
  <c r="H9" i="116" s="1"/>
  <c r="G8" i="116"/>
  <c r="G9" i="116" s="1"/>
  <c r="F8" i="116"/>
  <c r="F9" i="116" s="1"/>
  <c r="A8" i="116"/>
  <c r="L8" i="116" s="1"/>
  <c r="P7" i="116"/>
  <c r="O7" i="116"/>
  <c r="N7" i="116"/>
  <c r="H7" i="116"/>
  <c r="G7" i="116"/>
  <c r="F7" i="116"/>
  <c r="A7" i="116"/>
  <c r="L7" i="116" s="1"/>
  <c r="P6" i="116"/>
  <c r="O6" i="116"/>
  <c r="N6" i="116"/>
  <c r="H6" i="116"/>
  <c r="G6" i="116"/>
  <c r="F6" i="116"/>
  <c r="A6" i="116"/>
  <c r="L6" i="116" s="1"/>
  <c r="P5" i="116"/>
  <c r="O5" i="116"/>
  <c r="N5" i="116"/>
  <c r="H5" i="116"/>
  <c r="G5" i="116"/>
  <c r="F5" i="116"/>
  <c r="A5" i="116"/>
  <c r="L5" i="116" s="1"/>
  <c r="P4" i="116"/>
  <c r="O4" i="116"/>
  <c r="N4" i="116"/>
  <c r="H4" i="116"/>
  <c r="G4" i="116"/>
  <c r="F4" i="116"/>
  <c r="A4" i="116"/>
  <c r="L4" i="116" s="1"/>
  <c r="P3" i="116"/>
  <c r="O3" i="116"/>
  <c r="N3" i="116"/>
  <c r="H3" i="116"/>
  <c r="G3" i="116"/>
  <c r="F3" i="116"/>
  <c r="A3" i="116"/>
  <c r="L3" i="116" s="1"/>
  <c r="P2" i="116"/>
  <c r="O2" i="116"/>
  <c r="N2" i="116"/>
  <c r="H2" i="116"/>
  <c r="G2" i="116"/>
  <c r="F2" i="116"/>
  <c r="A2" i="116"/>
  <c r="L2" i="116" s="1"/>
  <c r="P1" i="116"/>
  <c r="O1" i="116"/>
  <c r="N1" i="116"/>
  <c r="M1" i="116"/>
  <c r="L1" i="116"/>
  <c r="K1" i="116"/>
  <c r="J1" i="116"/>
  <c r="I1" i="116"/>
  <c r="H1" i="116"/>
  <c r="G1" i="116"/>
  <c r="F1" i="116"/>
  <c r="E1" i="116"/>
  <c r="D1" i="116"/>
  <c r="C1" i="116"/>
  <c r="B1" i="116"/>
  <c r="F6" i="123" l="1"/>
  <c r="C2" i="123" s="1"/>
  <c r="L44" i="122"/>
  <c r="C15" i="122"/>
  <c r="E15" i="122" s="1"/>
  <c r="C20" i="122"/>
  <c r="E20" i="122" s="1"/>
  <c r="L74" i="122"/>
  <c r="L104" i="122"/>
  <c r="C25" i="122"/>
  <c r="E25" i="122" s="1"/>
  <c r="C19" i="122"/>
  <c r="E19" i="122" s="1"/>
  <c r="L68" i="122"/>
  <c r="K86" i="122"/>
  <c r="K98" i="122"/>
  <c r="K110" i="122"/>
  <c r="L92" i="122"/>
  <c r="C23" i="122"/>
  <c r="E23" i="122" s="1"/>
  <c r="C27" i="122"/>
  <c r="E27" i="122" s="1"/>
  <c r="L116" i="122"/>
  <c r="C28" i="122"/>
  <c r="E28" i="122" s="1"/>
  <c r="L122" i="122"/>
  <c r="L9" i="122"/>
  <c r="B25" i="122"/>
  <c r="B17" i="122"/>
  <c r="B24" i="122"/>
  <c r="B16" i="122"/>
  <c r="B23" i="122"/>
  <c r="B15" i="122"/>
  <c r="B22" i="122"/>
  <c r="B14" i="122"/>
  <c r="B21" i="122"/>
  <c r="B28" i="122"/>
  <c r="B20" i="122"/>
  <c r="B27" i="122"/>
  <c r="B19" i="122"/>
  <c r="B26" i="122"/>
  <c r="B18" i="122"/>
  <c r="L56" i="122"/>
  <c r="C17" i="122"/>
  <c r="E17" i="122" s="1"/>
  <c r="K38" i="122"/>
  <c r="K50" i="122"/>
  <c r="K62" i="122"/>
  <c r="L80" i="122"/>
  <c r="C21" i="122"/>
  <c r="E21" i="122" s="1"/>
  <c r="F2" i="122"/>
  <c r="N2" i="122"/>
  <c r="F3" i="122"/>
  <c r="N3" i="122"/>
  <c r="F4" i="122"/>
  <c r="N4" i="122"/>
  <c r="F5" i="122"/>
  <c r="N5" i="122"/>
  <c r="F6" i="122"/>
  <c r="N6" i="122"/>
  <c r="F7" i="122"/>
  <c r="N7" i="122"/>
  <c r="F8" i="122"/>
  <c r="F9" i="122" s="1"/>
  <c r="N8" i="122"/>
  <c r="G2" i="122"/>
  <c r="O2" i="122"/>
  <c r="G3" i="122"/>
  <c r="O3" i="122"/>
  <c r="G4" i="122"/>
  <c r="O4" i="122"/>
  <c r="G5" i="122"/>
  <c r="O5" i="122"/>
  <c r="G6" i="122"/>
  <c r="O6" i="122"/>
  <c r="G7" i="122"/>
  <c r="O7" i="122"/>
  <c r="G8" i="122"/>
  <c r="O8" i="122"/>
  <c r="O9" i="122" s="1"/>
  <c r="H2" i="122"/>
  <c r="P2" i="122"/>
  <c r="H3" i="122"/>
  <c r="P3" i="122"/>
  <c r="H4" i="122"/>
  <c r="P4" i="122"/>
  <c r="H5" i="122"/>
  <c r="P5" i="122"/>
  <c r="H6" i="122"/>
  <c r="P6" i="122"/>
  <c r="H7" i="122"/>
  <c r="P7" i="122"/>
  <c r="H8" i="122"/>
  <c r="P8" i="122"/>
  <c r="I2" i="122"/>
  <c r="I3" i="122"/>
  <c r="I4" i="122"/>
  <c r="I5" i="122"/>
  <c r="I7" i="122"/>
  <c r="I8" i="122"/>
  <c r="B2" i="122"/>
  <c r="J2" i="122"/>
  <c r="B3" i="122"/>
  <c r="J3" i="122"/>
  <c r="B4" i="122"/>
  <c r="J4" i="122"/>
  <c r="B5" i="122"/>
  <c r="J5" i="122"/>
  <c r="B6" i="122"/>
  <c r="J6" i="122"/>
  <c r="B7" i="122"/>
  <c r="J7" i="122"/>
  <c r="B8" i="122"/>
  <c r="B9" i="122" s="1"/>
  <c r="J8" i="122"/>
  <c r="C2" i="122"/>
  <c r="K2" i="122"/>
  <c r="C3" i="122"/>
  <c r="K3" i="122"/>
  <c r="C4" i="122"/>
  <c r="K4" i="122"/>
  <c r="C5" i="122"/>
  <c r="K5" i="122"/>
  <c r="C6" i="122"/>
  <c r="K6" i="122"/>
  <c r="C7" i="122"/>
  <c r="K7" i="122"/>
  <c r="C8" i="122"/>
  <c r="K8" i="122"/>
  <c r="K9" i="122" s="1"/>
  <c r="D2" i="122"/>
  <c r="D3" i="122"/>
  <c r="D4" i="122"/>
  <c r="D5" i="122"/>
  <c r="D6" i="122"/>
  <c r="D7" i="122"/>
  <c r="D8" i="122"/>
  <c r="K86" i="120"/>
  <c r="K80" i="120"/>
  <c r="K92" i="120"/>
  <c r="C24" i="120"/>
  <c r="E24" i="120" s="1"/>
  <c r="L98" i="120"/>
  <c r="K104" i="120"/>
  <c r="L110" i="120"/>
  <c r="C26" i="120"/>
  <c r="E26" i="120" s="1"/>
  <c r="C27" i="120"/>
  <c r="E27" i="120" s="1"/>
  <c r="L116" i="120"/>
  <c r="C28" i="120"/>
  <c r="E28" i="120" s="1"/>
  <c r="L122" i="120"/>
  <c r="B25" i="120"/>
  <c r="B17" i="120"/>
  <c r="B24" i="120"/>
  <c r="B16" i="120"/>
  <c r="B23" i="120"/>
  <c r="B15" i="120"/>
  <c r="B22" i="120"/>
  <c r="B14" i="120"/>
  <c r="B21" i="120"/>
  <c r="B28" i="120"/>
  <c r="B20" i="120"/>
  <c r="B27" i="120"/>
  <c r="B19" i="120"/>
  <c r="B26" i="120"/>
  <c r="B18" i="120"/>
  <c r="K38" i="120"/>
  <c r="L44" i="120"/>
  <c r="C15" i="120"/>
  <c r="E15" i="120" s="1"/>
  <c r="K50" i="120"/>
  <c r="K56" i="120"/>
  <c r="K62" i="120"/>
  <c r="K68" i="120"/>
  <c r="K74" i="120"/>
  <c r="E2" i="120"/>
  <c r="M2" i="120"/>
  <c r="E3" i="120"/>
  <c r="M3" i="120"/>
  <c r="E4" i="120"/>
  <c r="M4" i="120"/>
  <c r="E5" i="120"/>
  <c r="M5" i="120"/>
  <c r="E6" i="120"/>
  <c r="M6" i="120"/>
  <c r="E7" i="120"/>
  <c r="M7" i="120"/>
  <c r="E8" i="120"/>
  <c r="M8" i="120"/>
  <c r="I2" i="120"/>
  <c r="I3" i="120"/>
  <c r="I4" i="120"/>
  <c r="I5" i="120"/>
  <c r="I6" i="120"/>
  <c r="I7" i="120"/>
  <c r="I8" i="120"/>
  <c r="C2" i="120"/>
  <c r="K2" i="120"/>
  <c r="C3" i="120"/>
  <c r="K3" i="120"/>
  <c r="C4" i="120"/>
  <c r="K4" i="120"/>
  <c r="C5" i="120"/>
  <c r="K5" i="120"/>
  <c r="C6" i="120"/>
  <c r="K6" i="120"/>
  <c r="C7" i="120"/>
  <c r="K7" i="120"/>
  <c r="C8" i="120"/>
  <c r="C9" i="120" s="1"/>
  <c r="K8" i="120"/>
  <c r="D2" i="120"/>
  <c r="D3" i="120"/>
  <c r="D4" i="120"/>
  <c r="D5" i="120"/>
  <c r="D6" i="120"/>
  <c r="D7" i="120"/>
  <c r="D8" i="120"/>
  <c r="D9" i="120" s="1"/>
  <c r="F6" i="119"/>
  <c r="C2" i="119" s="1"/>
  <c r="L62" i="118"/>
  <c r="C18" i="118"/>
  <c r="E18" i="118" s="1"/>
  <c r="K86" i="118"/>
  <c r="C24" i="118"/>
  <c r="E24" i="118" s="1"/>
  <c r="L98" i="118"/>
  <c r="K80" i="118"/>
  <c r="K92" i="118"/>
  <c r="K104" i="118"/>
  <c r="L110" i="118"/>
  <c r="C26" i="118"/>
  <c r="E26" i="118" s="1"/>
  <c r="C27" i="118"/>
  <c r="E27" i="118" s="1"/>
  <c r="L116" i="118"/>
  <c r="C28" i="118"/>
  <c r="E28" i="118" s="1"/>
  <c r="L122" i="118"/>
  <c r="K38" i="118"/>
  <c r="K50" i="118"/>
  <c r="L9" i="118"/>
  <c r="K44" i="118"/>
  <c r="K56" i="118"/>
  <c r="B25" i="118"/>
  <c r="B17" i="118"/>
  <c r="B16" i="118"/>
  <c r="B23" i="118"/>
  <c r="B15" i="118"/>
  <c r="B22" i="118"/>
  <c r="B14" i="118"/>
  <c r="B21" i="118"/>
  <c r="B28" i="118"/>
  <c r="B20" i="118"/>
  <c r="B27" i="118"/>
  <c r="B19" i="118"/>
  <c r="B26" i="118"/>
  <c r="B18" i="118"/>
  <c r="B24" i="118"/>
  <c r="K68" i="118"/>
  <c r="K74" i="118"/>
  <c r="M31" i="118" s="1"/>
  <c r="K123" i="118" s="1"/>
  <c r="I3" i="118"/>
  <c r="I4" i="118"/>
  <c r="B2" i="118"/>
  <c r="B4" i="118"/>
  <c r="J4" i="118"/>
  <c r="J5" i="118"/>
  <c r="B8" i="118"/>
  <c r="K2" i="118"/>
  <c r="K3" i="118"/>
  <c r="K4" i="118"/>
  <c r="C5" i="118"/>
  <c r="C6" i="118"/>
  <c r="K6" i="118"/>
  <c r="K7" i="118"/>
  <c r="E2" i="118"/>
  <c r="M2" i="118"/>
  <c r="E3" i="118"/>
  <c r="M3" i="118"/>
  <c r="E4" i="118"/>
  <c r="M4" i="118"/>
  <c r="E5" i="118"/>
  <c r="M5" i="118"/>
  <c r="E6" i="118"/>
  <c r="M6" i="118"/>
  <c r="E7" i="118"/>
  <c r="M7" i="118"/>
  <c r="E8" i="118"/>
  <c r="M8" i="118"/>
  <c r="G2" i="118"/>
  <c r="O2" i="118"/>
  <c r="G3" i="118"/>
  <c r="O3" i="118"/>
  <c r="G4" i="118"/>
  <c r="O4" i="118"/>
  <c r="G5" i="118"/>
  <c r="O5" i="118"/>
  <c r="G6" i="118"/>
  <c r="O6" i="118"/>
  <c r="G7" i="118"/>
  <c r="O7" i="118"/>
  <c r="G8" i="118"/>
  <c r="G9" i="118" s="1"/>
  <c r="O8" i="118"/>
  <c r="O9" i="118" s="1"/>
  <c r="I6" i="118"/>
  <c r="I8" i="118"/>
  <c r="I2" i="118"/>
  <c r="B3" i="118"/>
  <c r="J6" i="118"/>
  <c r="B7" i="118"/>
  <c r="J8" i="118"/>
  <c r="K8" i="118"/>
  <c r="K9" i="118" s="1"/>
  <c r="I5" i="118"/>
  <c r="I7" i="118"/>
  <c r="J2" i="118"/>
  <c r="J3" i="118"/>
  <c r="B5" i="118"/>
  <c r="B6" i="118"/>
  <c r="J7" i="118"/>
  <c r="C2" i="118"/>
  <c r="C3" i="118"/>
  <c r="C4" i="118"/>
  <c r="K5" i="118"/>
  <c r="C7" i="118"/>
  <c r="C8" i="118"/>
  <c r="C9" i="118" s="1"/>
  <c r="D2" i="118"/>
  <c r="D3" i="118"/>
  <c r="D4" i="118"/>
  <c r="D5" i="118"/>
  <c r="D6" i="118"/>
  <c r="D7" i="118"/>
  <c r="D8" i="118"/>
  <c r="F6" i="117"/>
  <c r="C2" i="117" s="1"/>
  <c r="C16" i="116"/>
  <c r="E16" i="116" s="1"/>
  <c r="L50" i="116"/>
  <c r="L56" i="116"/>
  <c r="C17" i="116"/>
  <c r="E17" i="116" s="1"/>
  <c r="K74" i="116"/>
  <c r="K38" i="116"/>
  <c r="K44" i="116"/>
  <c r="K62" i="116"/>
  <c r="C19" i="116"/>
  <c r="E19" i="116" s="1"/>
  <c r="L68" i="116"/>
  <c r="K86" i="116"/>
  <c r="L80" i="116"/>
  <c r="C21" i="116"/>
  <c r="E21" i="116" s="1"/>
  <c r="L92" i="116"/>
  <c r="C23" i="116"/>
  <c r="E23" i="116" s="1"/>
  <c r="C24" i="116"/>
  <c r="E24" i="116" s="1"/>
  <c r="L98" i="116"/>
  <c r="L104" i="116"/>
  <c r="C25" i="116"/>
  <c r="E25" i="116" s="1"/>
  <c r="C28" i="116"/>
  <c r="E28" i="116" s="1"/>
  <c r="L122" i="116"/>
  <c r="M31" i="116"/>
  <c r="K123" i="116" s="1"/>
  <c r="C26" i="116"/>
  <c r="E26" i="116" s="1"/>
  <c r="L110" i="116"/>
  <c r="K116" i="116"/>
  <c r="L9" i="116"/>
  <c r="I3" i="116"/>
  <c r="I5" i="116"/>
  <c r="I6" i="116"/>
  <c r="I7" i="116"/>
  <c r="B3" i="116"/>
  <c r="J4" i="116"/>
  <c r="J5" i="116"/>
  <c r="B6" i="116"/>
  <c r="B7" i="116"/>
  <c r="B8" i="116"/>
  <c r="B15" i="116"/>
  <c r="K2" i="116"/>
  <c r="C4" i="116"/>
  <c r="K4" i="116"/>
  <c r="K5" i="116"/>
  <c r="K6" i="116"/>
  <c r="C8" i="116"/>
  <c r="B16" i="116"/>
  <c r="E2" i="116"/>
  <c r="M2" i="116"/>
  <c r="E3" i="116"/>
  <c r="M3" i="116"/>
  <c r="E4" i="116"/>
  <c r="M4" i="116"/>
  <c r="E5" i="116"/>
  <c r="M5" i="116"/>
  <c r="E6" i="116"/>
  <c r="M6" i="116"/>
  <c r="E7" i="116"/>
  <c r="M7" i="116"/>
  <c r="E8" i="116"/>
  <c r="M8" i="116"/>
  <c r="B18" i="116"/>
  <c r="B26" i="116"/>
  <c r="B19" i="116"/>
  <c r="B27" i="116"/>
  <c r="B20" i="116"/>
  <c r="B28" i="116"/>
  <c r="B2" i="116"/>
  <c r="B21" i="116"/>
  <c r="I2" i="116"/>
  <c r="B22" i="116"/>
  <c r="J3" i="116"/>
  <c r="K3" i="116"/>
  <c r="I4" i="116"/>
  <c r="I8" i="116"/>
  <c r="I9" i="116" s="1"/>
  <c r="B14" i="116"/>
  <c r="J2" i="116"/>
  <c r="B4" i="116"/>
  <c r="B5" i="116"/>
  <c r="J6" i="116"/>
  <c r="J7" i="116"/>
  <c r="J8" i="116"/>
  <c r="B23" i="116"/>
  <c r="C2" i="116"/>
  <c r="C3" i="116"/>
  <c r="C5" i="116"/>
  <c r="C6" i="116"/>
  <c r="C7" i="116"/>
  <c r="K7" i="116"/>
  <c r="K8" i="116"/>
  <c r="B24" i="116"/>
  <c r="D2" i="116"/>
  <c r="D3" i="116"/>
  <c r="D4" i="116"/>
  <c r="D5" i="116"/>
  <c r="D6" i="116"/>
  <c r="D7" i="116"/>
  <c r="D8" i="116"/>
  <c r="B17" i="11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0" i="6"/>
  <c r="B11" i="6"/>
  <c r="B12" i="6"/>
  <c r="B13" i="6"/>
  <c r="B14" i="6"/>
  <c r="B15" i="6"/>
  <c r="B16" i="6"/>
  <c r="B17" i="6"/>
  <c r="B18" i="6"/>
  <c r="B19" i="6"/>
  <c r="B20" i="6"/>
  <c r="B21" i="6"/>
  <c r="G3" i="69"/>
  <c r="H3" i="69"/>
  <c r="G4" i="69"/>
  <c r="H4" i="69"/>
  <c r="G5" i="69"/>
  <c r="H5" i="69"/>
  <c r="G6" i="69"/>
  <c r="H6" i="69"/>
  <c r="G7" i="69"/>
  <c r="H7" i="69"/>
  <c r="G8" i="69"/>
  <c r="H8" i="69"/>
  <c r="G9" i="69"/>
  <c r="H9" i="69"/>
  <c r="G10" i="69"/>
  <c r="H10" i="69"/>
  <c r="G11" i="69"/>
  <c r="H11" i="69"/>
  <c r="G12" i="69"/>
  <c r="H12" i="69"/>
  <c r="G13" i="69"/>
  <c r="H13" i="69"/>
  <c r="G14" i="69"/>
  <c r="H14" i="69"/>
  <c r="G15" i="69"/>
  <c r="H15" i="69"/>
  <c r="G16" i="69"/>
  <c r="H16" i="69"/>
  <c r="G17" i="69"/>
  <c r="H17" i="69"/>
  <c r="G18" i="69"/>
  <c r="H18" i="69"/>
  <c r="G19" i="69"/>
  <c r="H19" i="69"/>
  <c r="G20" i="69"/>
  <c r="H20" i="69"/>
  <c r="G21" i="69"/>
  <c r="H21" i="69"/>
  <c r="G22" i="69"/>
  <c r="H22" i="69"/>
  <c r="G23" i="69"/>
  <c r="H23" i="69"/>
  <c r="G24" i="69"/>
  <c r="H24" i="69"/>
  <c r="G25" i="69"/>
  <c r="H25" i="69"/>
  <c r="G26" i="69"/>
  <c r="H26" i="69"/>
  <c r="G27" i="69"/>
  <c r="H27" i="69"/>
  <c r="G28" i="69"/>
  <c r="H28" i="69"/>
  <c r="G29" i="69"/>
  <c r="H29" i="69"/>
  <c r="G30" i="69"/>
  <c r="H30" i="69"/>
  <c r="G31" i="69"/>
  <c r="H31" i="69"/>
  <c r="G32" i="69"/>
  <c r="H32" i="69"/>
  <c r="G33" i="69"/>
  <c r="H33" i="69"/>
  <c r="G34" i="69"/>
  <c r="H34" i="69"/>
  <c r="G35" i="69"/>
  <c r="H35" i="69"/>
  <c r="G36" i="69"/>
  <c r="H36" i="69"/>
  <c r="G37" i="69"/>
  <c r="H37" i="69"/>
  <c r="G38" i="69"/>
  <c r="H38" i="69"/>
  <c r="G39" i="69"/>
  <c r="H39" i="69"/>
  <c r="G40" i="69"/>
  <c r="H40" i="69"/>
  <c r="G41" i="69"/>
  <c r="H41" i="69"/>
  <c r="G42" i="69"/>
  <c r="H42" i="69"/>
  <c r="G43" i="69"/>
  <c r="H43" i="69"/>
  <c r="G44" i="69"/>
  <c r="H44" i="69"/>
  <c r="G45" i="69"/>
  <c r="H45" i="69"/>
  <c r="G46" i="69"/>
  <c r="H46" i="69"/>
  <c r="G47" i="69"/>
  <c r="H47" i="69"/>
  <c r="G48" i="69"/>
  <c r="H48" i="69"/>
  <c r="G49" i="69"/>
  <c r="H49" i="69"/>
  <c r="G50" i="69"/>
  <c r="H50" i="69"/>
  <c r="G51" i="69"/>
  <c r="H51" i="69"/>
  <c r="G52" i="69"/>
  <c r="H52" i="69"/>
  <c r="G53" i="69"/>
  <c r="H53" i="69"/>
  <c r="G54" i="69"/>
  <c r="H54" i="69"/>
  <c r="G55" i="69"/>
  <c r="H55" i="69"/>
  <c r="G56" i="69"/>
  <c r="H56" i="69"/>
  <c r="G57" i="69"/>
  <c r="H57" i="69"/>
  <c r="G58" i="69"/>
  <c r="H58" i="69"/>
  <c r="G59" i="69"/>
  <c r="H59" i="69"/>
  <c r="G60" i="69"/>
  <c r="H60" i="69"/>
  <c r="G61" i="69"/>
  <c r="H61" i="69"/>
  <c r="G62" i="69"/>
  <c r="H62" i="69"/>
  <c r="G63" i="69"/>
  <c r="H63" i="69"/>
  <c r="G64" i="69"/>
  <c r="H64" i="69"/>
  <c r="G65" i="69"/>
  <c r="H65" i="69"/>
  <c r="G66" i="69"/>
  <c r="H66" i="69"/>
  <c r="G67" i="69"/>
  <c r="H67" i="69"/>
  <c r="G68" i="69"/>
  <c r="H68" i="69"/>
  <c r="G69" i="69"/>
  <c r="H69" i="69"/>
  <c r="G70" i="69"/>
  <c r="H70" i="69"/>
  <c r="G71" i="69"/>
  <c r="H71" i="69"/>
  <c r="G72" i="69"/>
  <c r="H72" i="69"/>
  <c r="G73" i="69"/>
  <c r="H73" i="69"/>
  <c r="G74" i="69"/>
  <c r="H74" i="69"/>
  <c r="G75" i="69"/>
  <c r="H75" i="69"/>
  <c r="G76" i="69"/>
  <c r="H76" i="69"/>
  <c r="G77" i="69"/>
  <c r="H77" i="69"/>
  <c r="G78" i="69"/>
  <c r="H78" i="69"/>
  <c r="G79" i="69"/>
  <c r="H79" i="69"/>
  <c r="G80" i="69"/>
  <c r="H80" i="69"/>
  <c r="G81" i="69"/>
  <c r="H81" i="69"/>
  <c r="G82" i="69"/>
  <c r="H82" i="69"/>
  <c r="G83" i="69"/>
  <c r="H83" i="69"/>
  <c r="G84" i="69"/>
  <c r="H84" i="69"/>
  <c r="G85" i="69"/>
  <c r="H85" i="69"/>
  <c r="G86" i="69"/>
  <c r="H86" i="69"/>
  <c r="G87" i="69"/>
  <c r="H87" i="69"/>
  <c r="G88" i="69"/>
  <c r="H88" i="69"/>
  <c r="G89" i="69"/>
  <c r="H89" i="69"/>
  <c r="G90" i="69"/>
  <c r="H90" i="69"/>
  <c r="G91" i="69"/>
  <c r="H91" i="69"/>
  <c r="G92" i="69"/>
  <c r="H92" i="69"/>
  <c r="G93" i="69"/>
  <c r="H93" i="69"/>
  <c r="G94" i="69"/>
  <c r="H94" i="69"/>
  <c r="G95" i="69"/>
  <c r="H95" i="69"/>
  <c r="G96" i="69"/>
  <c r="H96" i="69"/>
  <c r="G97" i="69"/>
  <c r="H97" i="69"/>
  <c r="G98" i="69"/>
  <c r="H98" i="69"/>
  <c r="G99" i="69"/>
  <c r="H99" i="69"/>
  <c r="G100" i="69"/>
  <c r="H100" i="69"/>
  <c r="G101" i="69"/>
  <c r="H101" i="69"/>
  <c r="G102" i="69"/>
  <c r="H102" i="69"/>
  <c r="G103" i="69"/>
  <c r="H103" i="69"/>
  <c r="G104" i="69"/>
  <c r="H104" i="69"/>
  <c r="G105" i="69"/>
  <c r="H105" i="69"/>
  <c r="G106" i="69"/>
  <c r="H106" i="69"/>
  <c r="G107" i="69"/>
  <c r="H107" i="69"/>
  <c r="G108" i="69"/>
  <c r="H108" i="69"/>
  <c r="G109" i="69"/>
  <c r="H109" i="69"/>
  <c r="G110" i="69"/>
  <c r="H110" i="69"/>
  <c r="G111" i="69"/>
  <c r="H111" i="69"/>
  <c r="G112" i="69"/>
  <c r="H112" i="69"/>
  <c r="G113" i="69"/>
  <c r="H113" i="69"/>
  <c r="G114" i="69"/>
  <c r="H114" i="69"/>
  <c r="G115" i="69"/>
  <c r="H115" i="69"/>
  <c r="G116" i="69"/>
  <c r="H116" i="69"/>
  <c r="G117" i="69"/>
  <c r="H117" i="69"/>
  <c r="G118" i="69"/>
  <c r="H118" i="69"/>
  <c r="G119" i="69"/>
  <c r="H119" i="69"/>
  <c r="G120" i="69"/>
  <c r="H120" i="69"/>
  <c r="G121" i="69"/>
  <c r="H121" i="69"/>
  <c r="G122" i="69"/>
  <c r="H122" i="69"/>
  <c r="G123" i="69"/>
  <c r="H123" i="69"/>
  <c r="G124" i="69"/>
  <c r="H124" i="69"/>
  <c r="G125" i="69"/>
  <c r="H125" i="69"/>
  <c r="G126" i="69"/>
  <c r="H126" i="69"/>
  <c r="G127" i="69"/>
  <c r="H127" i="69"/>
  <c r="G128" i="69"/>
  <c r="H128" i="69"/>
  <c r="G129" i="69"/>
  <c r="H129" i="69"/>
  <c r="G130" i="69"/>
  <c r="H130" i="69"/>
  <c r="G131" i="69"/>
  <c r="H131" i="69"/>
  <c r="G132" i="69"/>
  <c r="H132" i="69"/>
  <c r="G133" i="69"/>
  <c r="H133" i="69"/>
  <c r="G134" i="69"/>
  <c r="H134" i="69"/>
  <c r="G135" i="69"/>
  <c r="H135" i="69"/>
  <c r="G136" i="69"/>
  <c r="H136" i="69"/>
  <c r="G137" i="69"/>
  <c r="H137" i="69"/>
  <c r="G138" i="69"/>
  <c r="H138" i="69"/>
  <c r="G139" i="69"/>
  <c r="H139" i="69"/>
  <c r="G140" i="69"/>
  <c r="H140" i="69"/>
  <c r="G141" i="69"/>
  <c r="H141" i="69"/>
  <c r="G142" i="69"/>
  <c r="H142" i="69"/>
  <c r="G143" i="69"/>
  <c r="H143" i="69"/>
  <c r="G144" i="69"/>
  <c r="H144" i="69"/>
  <c r="G145" i="69"/>
  <c r="H145" i="69"/>
  <c r="G146" i="69"/>
  <c r="H146" i="69"/>
  <c r="G147" i="69"/>
  <c r="H147" i="69"/>
  <c r="G148" i="69"/>
  <c r="H148" i="69"/>
  <c r="G149" i="69"/>
  <c r="H149" i="69"/>
  <c r="G150" i="69"/>
  <c r="H150" i="69"/>
  <c r="G151" i="69"/>
  <c r="H151" i="69"/>
  <c r="G152" i="69"/>
  <c r="H152" i="69"/>
  <c r="G153" i="69"/>
  <c r="H153" i="69"/>
  <c r="G154" i="69"/>
  <c r="H154" i="69"/>
  <c r="G155" i="69"/>
  <c r="H155" i="69"/>
  <c r="G156" i="69"/>
  <c r="H156" i="69"/>
  <c r="G157" i="69"/>
  <c r="H157" i="69"/>
  <c r="G158" i="69"/>
  <c r="H158" i="69"/>
  <c r="G159" i="69"/>
  <c r="H159" i="69"/>
  <c r="G160" i="69"/>
  <c r="H160" i="69"/>
  <c r="G161" i="69"/>
  <c r="H161" i="69"/>
  <c r="G162" i="69"/>
  <c r="H162" i="69"/>
  <c r="G163" i="69"/>
  <c r="H163" i="69"/>
  <c r="G164" i="69"/>
  <c r="H164" i="69"/>
  <c r="G165" i="69"/>
  <c r="H165" i="69"/>
  <c r="G166" i="69"/>
  <c r="H166" i="69"/>
  <c r="G167" i="69"/>
  <c r="H167" i="69"/>
  <c r="G168" i="69"/>
  <c r="H168" i="69"/>
  <c r="G169" i="69"/>
  <c r="H169" i="69"/>
  <c r="G170" i="69"/>
  <c r="H170" i="69"/>
  <c r="G171" i="69"/>
  <c r="H171" i="69"/>
  <c r="G172" i="69"/>
  <c r="H172" i="69"/>
  <c r="G173" i="69"/>
  <c r="H173" i="69"/>
  <c r="G174" i="69"/>
  <c r="H174" i="69"/>
  <c r="G175" i="69"/>
  <c r="H175" i="69"/>
  <c r="G176" i="69"/>
  <c r="H176" i="69"/>
  <c r="G177" i="69"/>
  <c r="H177" i="69"/>
  <c r="G178" i="69"/>
  <c r="H178" i="69"/>
  <c r="G179" i="69"/>
  <c r="H179" i="69"/>
  <c r="G180" i="69"/>
  <c r="H180" i="69"/>
  <c r="G181" i="69"/>
  <c r="H181" i="69"/>
  <c r="G182" i="69"/>
  <c r="H182" i="69"/>
  <c r="G183" i="69"/>
  <c r="H183" i="69"/>
  <c r="G184" i="69"/>
  <c r="H184" i="69"/>
  <c r="G185" i="69"/>
  <c r="H185" i="69"/>
  <c r="G186" i="69"/>
  <c r="H186" i="69"/>
  <c r="G187" i="69"/>
  <c r="H187" i="69"/>
  <c r="G188" i="69"/>
  <c r="H188" i="69"/>
  <c r="G189" i="69"/>
  <c r="H189" i="69"/>
  <c r="G190" i="69"/>
  <c r="H190" i="69"/>
  <c r="G191" i="69"/>
  <c r="H191" i="69"/>
  <c r="G192" i="69"/>
  <c r="H192" i="69"/>
  <c r="G193" i="69"/>
  <c r="H193" i="69"/>
  <c r="G194" i="69"/>
  <c r="H194" i="69"/>
  <c r="G195" i="69"/>
  <c r="H195" i="69"/>
  <c r="G196" i="69"/>
  <c r="H196" i="69"/>
  <c r="G197" i="69"/>
  <c r="H197" i="69"/>
  <c r="G198" i="69"/>
  <c r="H198" i="69"/>
  <c r="G199" i="69"/>
  <c r="H199" i="69"/>
  <c r="G200" i="69"/>
  <c r="H200" i="69"/>
  <c r="G201" i="69"/>
  <c r="H201" i="69"/>
  <c r="G202" i="69"/>
  <c r="H202" i="69"/>
  <c r="G203" i="69"/>
  <c r="H203" i="69"/>
  <c r="G204" i="69"/>
  <c r="H204" i="69"/>
  <c r="G205" i="69"/>
  <c r="H205" i="69"/>
  <c r="G206" i="69"/>
  <c r="H206" i="69"/>
  <c r="G207" i="69"/>
  <c r="H207" i="69"/>
  <c r="G208" i="69"/>
  <c r="H208" i="69"/>
  <c r="G209" i="69"/>
  <c r="H209" i="69"/>
  <c r="G210" i="69"/>
  <c r="H210" i="69"/>
  <c r="G211" i="69"/>
  <c r="H211" i="69"/>
  <c r="G212" i="69"/>
  <c r="H212" i="69"/>
  <c r="G213" i="69"/>
  <c r="H213" i="69"/>
  <c r="G214" i="69"/>
  <c r="H214" i="69"/>
  <c r="G215" i="69"/>
  <c r="H215" i="69"/>
  <c r="G216" i="69"/>
  <c r="H216" i="69"/>
  <c r="G217" i="69"/>
  <c r="H217" i="69"/>
  <c r="G218" i="69"/>
  <c r="H218" i="69"/>
  <c r="G219" i="69"/>
  <c r="H219" i="69"/>
  <c r="G220" i="69"/>
  <c r="H220" i="69"/>
  <c r="G221" i="69"/>
  <c r="H221" i="69"/>
  <c r="G222" i="69"/>
  <c r="H222" i="69"/>
  <c r="G223" i="69"/>
  <c r="H223" i="69"/>
  <c r="G224" i="69"/>
  <c r="H224" i="69"/>
  <c r="G225" i="69"/>
  <c r="H225" i="69"/>
  <c r="G226" i="69"/>
  <c r="H226" i="69"/>
  <c r="G227" i="69"/>
  <c r="H227" i="69"/>
  <c r="G228" i="69"/>
  <c r="H228" i="69"/>
  <c r="G229" i="69"/>
  <c r="H229" i="69"/>
  <c r="G230" i="69"/>
  <c r="H230" i="69"/>
  <c r="G231" i="69"/>
  <c r="H231" i="69"/>
  <c r="G232" i="69"/>
  <c r="H232" i="69"/>
  <c r="G233" i="69"/>
  <c r="H233" i="69"/>
  <c r="G234" i="69"/>
  <c r="H234" i="69"/>
  <c r="G235" i="69"/>
  <c r="H235" i="69"/>
  <c r="G236" i="69"/>
  <c r="H236" i="69"/>
  <c r="G237" i="69"/>
  <c r="H237" i="69"/>
  <c r="G238" i="69"/>
  <c r="H238" i="69"/>
  <c r="G239" i="69"/>
  <c r="H239" i="69"/>
  <c r="G240" i="69"/>
  <c r="H240" i="69"/>
  <c r="G241" i="69"/>
  <c r="H241" i="69"/>
  <c r="G242" i="69"/>
  <c r="H242" i="69"/>
  <c r="G243" i="69"/>
  <c r="H243" i="69"/>
  <c r="G244" i="69"/>
  <c r="H244" i="69"/>
  <c r="G245" i="69"/>
  <c r="H245" i="69"/>
  <c r="G246" i="69"/>
  <c r="H246" i="69"/>
  <c r="G247" i="69"/>
  <c r="H247" i="69"/>
  <c r="G248" i="69"/>
  <c r="H248" i="69"/>
  <c r="G249" i="69"/>
  <c r="H249" i="69"/>
  <c r="G250" i="69"/>
  <c r="H250" i="69"/>
  <c r="G251" i="69"/>
  <c r="H251" i="69"/>
  <c r="G252" i="69"/>
  <c r="H252" i="69"/>
  <c r="G253" i="69"/>
  <c r="H253" i="69"/>
  <c r="G254" i="69"/>
  <c r="H254" i="69"/>
  <c r="G255" i="69"/>
  <c r="H255" i="69"/>
  <c r="G256" i="69"/>
  <c r="H256" i="69"/>
  <c r="G257" i="69"/>
  <c r="H257" i="69"/>
  <c r="G258" i="69"/>
  <c r="H258" i="69"/>
  <c r="G259" i="69"/>
  <c r="H259" i="69"/>
  <c r="G260" i="69"/>
  <c r="H260" i="69"/>
  <c r="G261" i="69"/>
  <c r="H261" i="69"/>
  <c r="G262" i="69"/>
  <c r="H262" i="69"/>
  <c r="G263" i="69"/>
  <c r="H263" i="69"/>
  <c r="G264" i="69"/>
  <c r="H264" i="69"/>
  <c r="G265" i="69"/>
  <c r="H265" i="69"/>
  <c r="G266" i="69"/>
  <c r="H266" i="69"/>
  <c r="G267" i="69"/>
  <c r="H267" i="69"/>
  <c r="G268" i="69"/>
  <c r="H268" i="69"/>
  <c r="G269" i="69"/>
  <c r="H269" i="69"/>
  <c r="G270" i="69"/>
  <c r="H270" i="69"/>
  <c r="G271" i="69"/>
  <c r="H271" i="69"/>
  <c r="G272" i="69"/>
  <c r="H272" i="69"/>
  <c r="G273" i="69"/>
  <c r="H273" i="69"/>
  <c r="G274" i="69"/>
  <c r="H274" i="69"/>
  <c r="G275" i="69"/>
  <c r="H275" i="69"/>
  <c r="G276" i="69"/>
  <c r="H276" i="69"/>
  <c r="G277" i="69"/>
  <c r="H277" i="69"/>
  <c r="G278" i="69"/>
  <c r="H278" i="69"/>
  <c r="G279" i="69"/>
  <c r="H279" i="69"/>
  <c r="G280" i="69"/>
  <c r="H280" i="69"/>
  <c r="G281" i="69"/>
  <c r="H281" i="69"/>
  <c r="G282" i="69"/>
  <c r="H282" i="69"/>
  <c r="G283" i="69"/>
  <c r="H283" i="69"/>
  <c r="G284" i="69"/>
  <c r="H284" i="69"/>
  <c r="G285" i="69"/>
  <c r="H285" i="69"/>
  <c r="G286" i="69"/>
  <c r="H286" i="69"/>
  <c r="G287" i="69"/>
  <c r="H287" i="69"/>
  <c r="G288" i="69"/>
  <c r="H288" i="69"/>
  <c r="G289" i="69"/>
  <c r="H289" i="69"/>
  <c r="G290" i="69"/>
  <c r="H290" i="69"/>
  <c r="G291" i="69"/>
  <c r="H291" i="69"/>
  <c r="G292" i="69"/>
  <c r="H292" i="69"/>
  <c r="G293" i="69"/>
  <c r="H293" i="69"/>
  <c r="G294" i="69"/>
  <c r="H294" i="69"/>
  <c r="G295" i="69"/>
  <c r="H295" i="69"/>
  <c r="G296" i="69"/>
  <c r="H296" i="69"/>
  <c r="G297" i="69"/>
  <c r="H297" i="69"/>
  <c r="G298" i="69"/>
  <c r="H298" i="69"/>
  <c r="G299" i="69"/>
  <c r="H299" i="69"/>
  <c r="G300" i="69"/>
  <c r="H300" i="69"/>
  <c r="G301" i="69"/>
  <c r="H301" i="69"/>
  <c r="G302" i="69"/>
  <c r="H302" i="69"/>
  <c r="G303" i="69"/>
  <c r="H303" i="69"/>
  <c r="G304" i="69"/>
  <c r="H304" i="69"/>
  <c r="G305" i="69"/>
  <c r="H305" i="69"/>
  <c r="G306" i="69"/>
  <c r="H306" i="69"/>
  <c r="G307" i="69"/>
  <c r="H307" i="69"/>
  <c r="G308" i="69"/>
  <c r="H308" i="69"/>
  <c r="G309" i="69"/>
  <c r="H309" i="69"/>
  <c r="G310" i="69"/>
  <c r="H310" i="69"/>
  <c r="G311" i="69"/>
  <c r="H311" i="69"/>
  <c r="G312" i="69"/>
  <c r="H312" i="69"/>
  <c r="G313" i="69"/>
  <c r="H313" i="69"/>
  <c r="G314" i="69"/>
  <c r="H314" i="69"/>
  <c r="G315" i="69"/>
  <c r="H315" i="69"/>
  <c r="G316" i="69"/>
  <c r="H316" i="69"/>
  <c r="G317" i="69"/>
  <c r="H317" i="69"/>
  <c r="G318" i="69"/>
  <c r="H318" i="69"/>
  <c r="G319" i="69"/>
  <c r="H319" i="69"/>
  <c r="G320" i="69"/>
  <c r="H320" i="69"/>
  <c r="G321" i="69"/>
  <c r="H321" i="69"/>
  <c r="G322" i="69"/>
  <c r="H322" i="69"/>
  <c r="G323" i="69"/>
  <c r="H323" i="69"/>
  <c r="G324" i="69"/>
  <c r="H324" i="69"/>
  <c r="G325" i="69"/>
  <c r="H325" i="69"/>
  <c r="G326" i="69"/>
  <c r="H326" i="69"/>
  <c r="G327" i="69"/>
  <c r="H327" i="69"/>
  <c r="G328" i="69"/>
  <c r="H328" i="69"/>
  <c r="G329" i="69"/>
  <c r="H329" i="69"/>
  <c r="G330" i="69"/>
  <c r="H330" i="69"/>
  <c r="G331" i="69"/>
  <c r="H331" i="69"/>
  <c r="G332" i="69"/>
  <c r="H332" i="69"/>
  <c r="G333" i="69"/>
  <c r="H333" i="69"/>
  <c r="G334" i="69"/>
  <c r="H334" i="69"/>
  <c r="G335" i="69"/>
  <c r="H335" i="69"/>
  <c r="G336" i="69"/>
  <c r="H336" i="69"/>
  <c r="G337" i="69"/>
  <c r="H337" i="69"/>
  <c r="G338" i="69"/>
  <c r="H338" i="69"/>
  <c r="G339" i="69"/>
  <c r="H339" i="69"/>
  <c r="G340" i="69"/>
  <c r="H340" i="69"/>
  <c r="G341" i="69"/>
  <c r="H341" i="69"/>
  <c r="G342" i="69"/>
  <c r="H342" i="69"/>
  <c r="G343" i="69"/>
  <c r="H343" i="69"/>
  <c r="G344" i="69"/>
  <c r="H344" i="69"/>
  <c r="G345" i="69"/>
  <c r="H345" i="69"/>
  <c r="G346" i="69"/>
  <c r="H346" i="69"/>
  <c r="G347" i="69"/>
  <c r="H347" i="69"/>
  <c r="G348" i="69"/>
  <c r="H348" i="69"/>
  <c r="G349" i="69"/>
  <c r="H349" i="69"/>
  <c r="G350" i="69"/>
  <c r="H350" i="69"/>
  <c r="G351" i="69"/>
  <c r="H351" i="69"/>
  <c r="G352" i="69"/>
  <c r="H352" i="69"/>
  <c r="G353" i="69"/>
  <c r="H353" i="69"/>
  <c r="G354" i="69"/>
  <c r="H354" i="69"/>
  <c r="G355" i="69"/>
  <c r="H355" i="69"/>
  <c r="G356" i="69"/>
  <c r="H356" i="69"/>
  <c r="G357" i="69"/>
  <c r="H357" i="69"/>
  <c r="G358" i="69"/>
  <c r="H358" i="69"/>
  <c r="G359" i="69"/>
  <c r="H359" i="69"/>
  <c r="G360" i="69"/>
  <c r="H360" i="69"/>
  <c r="G361" i="69"/>
  <c r="H361" i="69"/>
  <c r="G362" i="69"/>
  <c r="H362" i="69"/>
  <c r="G363" i="69"/>
  <c r="H363" i="69"/>
  <c r="G364" i="69"/>
  <c r="H364" i="69"/>
  <c r="G365" i="69"/>
  <c r="H365" i="69"/>
  <c r="G366" i="69"/>
  <c r="H366" i="69"/>
  <c r="G367" i="69"/>
  <c r="H367" i="69"/>
  <c r="G368" i="69"/>
  <c r="H368" i="69"/>
  <c r="G369" i="69"/>
  <c r="H369" i="69"/>
  <c r="G370" i="69"/>
  <c r="H370" i="69"/>
  <c r="G371" i="69"/>
  <c r="H371" i="69"/>
  <c r="G372" i="69"/>
  <c r="H372" i="69"/>
  <c r="G373" i="69"/>
  <c r="H373" i="69"/>
  <c r="G374" i="69"/>
  <c r="H374" i="69"/>
  <c r="G375" i="69"/>
  <c r="H375" i="69"/>
  <c r="G376" i="69"/>
  <c r="H376" i="69"/>
  <c r="G377" i="69"/>
  <c r="H377" i="69"/>
  <c r="G378" i="69"/>
  <c r="H378" i="69"/>
  <c r="G379" i="69"/>
  <c r="H379" i="69"/>
  <c r="G380" i="69"/>
  <c r="H380" i="69"/>
  <c r="G381" i="69"/>
  <c r="H381" i="69"/>
  <c r="G382" i="69"/>
  <c r="H382" i="69"/>
  <c r="G383" i="69"/>
  <c r="H383" i="69"/>
  <c r="G384" i="69"/>
  <c r="H384" i="69"/>
  <c r="G385" i="69"/>
  <c r="H385" i="69"/>
  <c r="G386" i="69"/>
  <c r="H386" i="69"/>
  <c r="G387" i="69"/>
  <c r="H387" i="69"/>
  <c r="G388" i="69"/>
  <c r="H388" i="69"/>
  <c r="G389" i="69"/>
  <c r="H389" i="69"/>
  <c r="G390" i="69"/>
  <c r="H390" i="69"/>
  <c r="G391" i="69"/>
  <c r="H391" i="69"/>
  <c r="G392" i="69"/>
  <c r="H392" i="69"/>
  <c r="G393" i="69"/>
  <c r="H393" i="69"/>
  <c r="G394" i="69"/>
  <c r="H394" i="69"/>
  <c r="G395" i="69"/>
  <c r="H395" i="69"/>
  <c r="G396" i="69"/>
  <c r="H396" i="69"/>
  <c r="G397" i="69"/>
  <c r="H397" i="69"/>
  <c r="G398" i="69"/>
  <c r="H398" i="69"/>
  <c r="G399" i="69"/>
  <c r="H399" i="69"/>
  <c r="G400" i="69"/>
  <c r="H400" i="69"/>
  <c r="G401" i="69"/>
  <c r="H401" i="69"/>
  <c r="G402" i="69"/>
  <c r="H402" i="69"/>
  <c r="G403" i="69"/>
  <c r="H403" i="69"/>
  <c r="G404" i="69"/>
  <c r="H404" i="69"/>
  <c r="G405" i="69"/>
  <c r="H405" i="69"/>
  <c r="G406" i="69"/>
  <c r="H406" i="69"/>
  <c r="G407" i="69"/>
  <c r="H407" i="69"/>
  <c r="G408" i="69"/>
  <c r="H408" i="69"/>
  <c r="G409" i="69"/>
  <c r="H409" i="69"/>
  <c r="G410" i="69"/>
  <c r="H410" i="69"/>
  <c r="G411" i="69"/>
  <c r="H411" i="69"/>
  <c r="G412" i="69"/>
  <c r="H412" i="69"/>
  <c r="G413" i="69"/>
  <c r="H413" i="69"/>
  <c r="G414" i="69"/>
  <c r="H414" i="69"/>
  <c r="G415" i="69"/>
  <c r="H415" i="69"/>
  <c r="G416" i="69"/>
  <c r="H416" i="69"/>
  <c r="G417" i="69"/>
  <c r="H417" i="69"/>
  <c r="G418" i="69"/>
  <c r="H418" i="69"/>
  <c r="G419" i="69"/>
  <c r="H419" i="69"/>
  <c r="G420" i="69"/>
  <c r="H420" i="69"/>
  <c r="G421" i="69"/>
  <c r="H421" i="69"/>
  <c r="G422" i="69"/>
  <c r="H422" i="69"/>
  <c r="G423" i="69"/>
  <c r="H423" i="69"/>
  <c r="G424" i="69"/>
  <c r="H424" i="69"/>
  <c r="G425" i="69"/>
  <c r="H425" i="69"/>
  <c r="G426" i="69"/>
  <c r="H426" i="69"/>
  <c r="G427" i="69"/>
  <c r="H427" i="69"/>
  <c r="G428" i="69"/>
  <c r="H428" i="69"/>
  <c r="G429" i="69"/>
  <c r="H429" i="69"/>
  <c r="G430" i="69"/>
  <c r="H430" i="69"/>
  <c r="G431" i="69"/>
  <c r="H431" i="69"/>
  <c r="G432" i="69"/>
  <c r="H432" i="69"/>
  <c r="G433" i="69"/>
  <c r="H433" i="69"/>
  <c r="G434" i="69"/>
  <c r="H434" i="69"/>
  <c r="G435" i="69"/>
  <c r="H435" i="69"/>
  <c r="G436" i="69"/>
  <c r="H436" i="69"/>
  <c r="G437" i="69"/>
  <c r="H437" i="69"/>
  <c r="G438" i="69"/>
  <c r="H438" i="69"/>
  <c r="G439" i="69"/>
  <c r="H439" i="69"/>
  <c r="G440" i="69"/>
  <c r="H440" i="69"/>
  <c r="G441" i="69"/>
  <c r="H441" i="69"/>
  <c r="G442" i="69"/>
  <c r="H442" i="69"/>
  <c r="G443" i="69"/>
  <c r="H443" i="69"/>
  <c r="G444" i="69"/>
  <c r="H444" i="69"/>
  <c r="G445" i="69"/>
  <c r="H445" i="69"/>
  <c r="G446" i="69"/>
  <c r="H446" i="69"/>
  <c r="G447" i="69"/>
  <c r="H447" i="69"/>
  <c r="G448" i="69"/>
  <c r="H448" i="69"/>
  <c r="G449" i="69"/>
  <c r="H449" i="69"/>
  <c r="G450" i="69"/>
  <c r="H450" i="69"/>
  <c r="G451" i="69"/>
  <c r="H451" i="69"/>
  <c r="G452" i="69"/>
  <c r="H452" i="69"/>
  <c r="G453" i="69"/>
  <c r="H453" i="69"/>
  <c r="G454" i="69"/>
  <c r="H454" i="69"/>
  <c r="G455" i="69"/>
  <c r="H455" i="69"/>
  <c r="G456" i="69"/>
  <c r="H456" i="69"/>
  <c r="G457" i="69"/>
  <c r="H457" i="69"/>
  <c r="G458" i="69"/>
  <c r="H458" i="69"/>
  <c r="G459" i="69"/>
  <c r="H459" i="69"/>
  <c r="G460" i="69"/>
  <c r="H460" i="69"/>
  <c r="G461" i="69"/>
  <c r="H461" i="69"/>
  <c r="G462" i="69"/>
  <c r="H462" i="69"/>
  <c r="G463" i="69"/>
  <c r="H463" i="69"/>
  <c r="G464" i="69"/>
  <c r="H464" i="69"/>
  <c r="G465" i="69"/>
  <c r="H465" i="69"/>
  <c r="G466" i="69"/>
  <c r="H466" i="69"/>
  <c r="G467" i="69"/>
  <c r="H467" i="69"/>
  <c r="G468" i="69"/>
  <c r="H468" i="69"/>
  <c r="G469" i="69"/>
  <c r="H469" i="69"/>
  <c r="G470" i="69"/>
  <c r="H470" i="69"/>
  <c r="G471" i="69"/>
  <c r="H471" i="69"/>
  <c r="G472" i="69"/>
  <c r="H472" i="69"/>
  <c r="G473" i="69"/>
  <c r="H473" i="69"/>
  <c r="G474" i="69"/>
  <c r="H474" i="69"/>
  <c r="G475" i="69"/>
  <c r="H475" i="69"/>
  <c r="G476" i="69"/>
  <c r="H476" i="69"/>
  <c r="G477" i="69"/>
  <c r="H477" i="69"/>
  <c r="G478" i="69"/>
  <c r="H478" i="69"/>
  <c r="G479" i="69"/>
  <c r="H479" i="69"/>
  <c r="G480" i="69"/>
  <c r="H480" i="69"/>
  <c r="G481" i="69"/>
  <c r="H481" i="69"/>
  <c r="G482" i="69"/>
  <c r="H482" i="69"/>
  <c r="G483" i="69"/>
  <c r="H483" i="69"/>
  <c r="G484" i="69"/>
  <c r="H484" i="69"/>
  <c r="G485" i="69"/>
  <c r="H485" i="69"/>
  <c r="G486" i="69"/>
  <c r="H486" i="69"/>
  <c r="G487" i="69"/>
  <c r="H487" i="69"/>
  <c r="G488" i="69"/>
  <c r="H488" i="69"/>
  <c r="G489" i="69"/>
  <c r="H489" i="69"/>
  <c r="G490" i="69"/>
  <c r="H490" i="69"/>
  <c r="G491" i="69"/>
  <c r="H491" i="69"/>
  <c r="G492" i="69"/>
  <c r="H492" i="69"/>
  <c r="G493" i="69"/>
  <c r="H493" i="69"/>
  <c r="G494" i="69"/>
  <c r="H494" i="69"/>
  <c r="G495" i="69"/>
  <c r="H495" i="69"/>
  <c r="G496" i="69"/>
  <c r="H496" i="69"/>
  <c r="G497" i="69"/>
  <c r="H497" i="69"/>
  <c r="G498" i="69"/>
  <c r="H498" i="69"/>
  <c r="G499" i="69"/>
  <c r="H499" i="69"/>
  <c r="G500" i="69"/>
  <c r="H500" i="69"/>
  <c r="G501" i="69"/>
  <c r="H501" i="69"/>
  <c r="G502" i="69"/>
  <c r="H502" i="69"/>
  <c r="G503" i="69"/>
  <c r="H503" i="69"/>
  <c r="G504" i="69"/>
  <c r="H504" i="69"/>
  <c r="G505" i="69"/>
  <c r="H505" i="69"/>
  <c r="G506" i="69"/>
  <c r="H506" i="69"/>
  <c r="G507" i="69"/>
  <c r="H507" i="69"/>
  <c r="G508" i="69"/>
  <c r="H508" i="69"/>
  <c r="G509" i="69"/>
  <c r="H509" i="69"/>
  <c r="G510" i="69"/>
  <c r="H510" i="69"/>
  <c r="G511" i="69"/>
  <c r="H511" i="69"/>
  <c r="G512" i="69"/>
  <c r="H512" i="69"/>
  <c r="G513" i="69"/>
  <c r="H513" i="69"/>
  <c r="G514" i="69"/>
  <c r="H514" i="69"/>
  <c r="G515" i="69"/>
  <c r="H515" i="69"/>
  <c r="G516" i="69"/>
  <c r="H516" i="69"/>
  <c r="G517" i="69"/>
  <c r="H517" i="69"/>
  <c r="G518" i="69"/>
  <c r="H518" i="69"/>
  <c r="G519" i="69"/>
  <c r="H519" i="69"/>
  <c r="G520" i="69"/>
  <c r="H520" i="69"/>
  <c r="G521" i="69"/>
  <c r="H521" i="69"/>
  <c r="G522" i="69"/>
  <c r="H522" i="69"/>
  <c r="G523" i="69"/>
  <c r="H523" i="69"/>
  <c r="G524" i="69"/>
  <c r="H524" i="69"/>
  <c r="G525" i="69"/>
  <c r="H525" i="69"/>
  <c r="G526" i="69"/>
  <c r="H526" i="69"/>
  <c r="G527" i="69"/>
  <c r="H527" i="69"/>
  <c r="G528" i="69"/>
  <c r="H528" i="69"/>
  <c r="G529" i="69"/>
  <c r="H529" i="69"/>
  <c r="G530" i="69"/>
  <c r="H530" i="69"/>
  <c r="G531" i="69"/>
  <c r="H531" i="69"/>
  <c r="G532" i="69"/>
  <c r="H532" i="69"/>
  <c r="G533" i="69"/>
  <c r="H533" i="69"/>
  <c r="G534" i="69"/>
  <c r="H534" i="69"/>
  <c r="G535" i="69"/>
  <c r="H535" i="69"/>
  <c r="G536" i="69"/>
  <c r="H536" i="69"/>
  <c r="G537" i="69"/>
  <c r="H537" i="69"/>
  <c r="G538" i="69"/>
  <c r="H538" i="69"/>
  <c r="G539" i="69"/>
  <c r="H539" i="69"/>
  <c r="G540" i="69"/>
  <c r="H540" i="69"/>
  <c r="G541" i="69"/>
  <c r="H541" i="69"/>
  <c r="G542" i="69"/>
  <c r="H542" i="69"/>
  <c r="G543" i="69"/>
  <c r="H543" i="69"/>
  <c r="G544" i="69"/>
  <c r="H544" i="69"/>
  <c r="G545" i="69"/>
  <c r="H545" i="69"/>
  <c r="G546" i="69"/>
  <c r="H546" i="69"/>
  <c r="G547" i="69"/>
  <c r="H547" i="69"/>
  <c r="G548" i="69"/>
  <c r="H548" i="69"/>
  <c r="G549" i="69"/>
  <c r="H549" i="69"/>
  <c r="G550" i="69"/>
  <c r="H550" i="69"/>
  <c r="G551" i="69"/>
  <c r="H551" i="69"/>
  <c r="G552" i="69"/>
  <c r="H552" i="69"/>
  <c r="G553" i="69"/>
  <c r="H553" i="69"/>
  <c r="G554" i="69"/>
  <c r="H554" i="69"/>
  <c r="G555" i="69"/>
  <c r="H555" i="69"/>
  <c r="G556" i="69"/>
  <c r="H556" i="69"/>
  <c r="G557" i="69"/>
  <c r="H557" i="69"/>
  <c r="G558" i="69"/>
  <c r="H558" i="69"/>
  <c r="G559" i="69"/>
  <c r="H559" i="69"/>
  <c r="G560" i="69"/>
  <c r="H560" i="69"/>
  <c r="G561" i="69"/>
  <c r="H561" i="69"/>
  <c r="G562" i="69"/>
  <c r="H562" i="69"/>
  <c r="G563" i="69"/>
  <c r="H563" i="69"/>
  <c r="G564" i="69"/>
  <c r="H564" i="69"/>
  <c r="G565" i="69"/>
  <c r="H565" i="69"/>
  <c r="G566" i="69"/>
  <c r="H566" i="69"/>
  <c r="G567" i="69"/>
  <c r="H567" i="69"/>
  <c r="G568" i="69"/>
  <c r="H568" i="69"/>
  <c r="G569" i="69"/>
  <c r="H569" i="69"/>
  <c r="G570" i="69"/>
  <c r="H570" i="69"/>
  <c r="G571" i="69"/>
  <c r="H571" i="69"/>
  <c r="G572" i="69"/>
  <c r="H572" i="69"/>
  <c r="G573" i="69"/>
  <c r="H573" i="69"/>
  <c r="G574" i="69"/>
  <c r="H574" i="69"/>
  <c r="G575" i="69"/>
  <c r="H575" i="69"/>
  <c r="G576" i="69"/>
  <c r="H576" i="69"/>
  <c r="G577" i="69"/>
  <c r="H577" i="69"/>
  <c r="G578" i="69"/>
  <c r="H578" i="69"/>
  <c r="G579" i="69"/>
  <c r="H579" i="69"/>
  <c r="G580" i="69"/>
  <c r="H580" i="69"/>
  <c r="G581" i="69"/>
  <c r="H581" i="69"/>
  <c r="G582" i="69"/>
  <c r="H582" i="69"/>
  <c r="G583" i="69"/>
  <c r="H583" i="69"/>
  <c r="G584" i="69"/>
  <c r="H584" i="69"/>
  <c r="G585" i="69"/>
  <c r="H585" i="69"/>
  <c r="G586" i="69"/>
  <c r="H586" i="69"/>
  <c r="G587" i="69"/>
  <c r="H587" i="69"/>
  <c r="G588" i="69"/>
  <c r="H588" i="69"/>
  <c r="G589" i="69"/>
  <c r="H589" i="69"/>
  <c r="G590" i="69"/>
  <c r="H590" i="69"/>
  <c r="G591" i="69"/>
  <c r="H591" i="69"/>
  <c r="G592" i="69"/>
  <c r="H592" i="69"/>
  <c r="G593" i="69"/>
  <c r="H593" i="69"/>
  <c r="G594" i="69"/>
  <c r="H594" i="69"/>
  <c r="G595" i="69"/>
  <c r="H595" i="69"/>
  <c r="G596" i="69"/>
  <c r="H596" i="69"/>
  <c r="G597" i="69"/>
  <c r="H597" i="69"/>
  <c r="G598" i="69"/>
  <c r="H598" i="69"/>
  <c r="G599" i="69"/>
  <c r="H599" i="69"/>
  <c r="G600" i="69"/>
  <c r="H600" i="69"/>
  <c r="G601" i="69"/>
  <c r="H601" i="69"/>
  <c r="G602" i="69"/>
  <c r="H602" i="69"/>
  <c r="G603" i="69"/>
  <c r="H603" i="69"/>
  <c r="G604" i="69"/>
  <c r="H604" i="69"/>
  <c r="G605" i="69"/>
  <c r="H605" i="69"/>
  <c r="G606" i="69"/>
  <c r="H606" i="69"/>
  <c r="G607" i="69"/>
  <c r="H607" i="69"/>
  <c r="G608" i="69"/>
  <c r="H608" i="69"/>
  <c r="G609" i="69"/>
  <c r="H609" i="69"/>
  <c r="G610" i="69"/>
  <c r="H610" i="69"/>
  <c r="G611" i="69"/>
  <c r="H611" i="69"/>
  <c r="G612" i="69"/>
  <c r="H612" i="69"/>
  <c r="G613" i="69"/>
  <c r="H613" i="69"/>
  <c r="G614" i="69"/>
  <c r="H614" i="69"/>
  <c r="G615" i="69"/>
  <c r="H615" i="69"/>
  <c r="G616" i="69"/>
  <c r="H616" i="69"/>
  <c r="G617" i="69"/>
  <c r="H617" i="69"/>
  <c r="G618" i="69"/>
  <c r="H618" i="69"/>
  <c r="G619" i="69"/>
  <c r="H619" i="69"/>
  <c r="G620" i="69"/>
  <c r="H620" i="69"/>
  <c r="G621" i="69"/>
  <c r="H621" i="69"/>
  <c r="G622" i="69"/>
  <c r="H622" i="69"/>
  <c r="G623" i="69"/>
  <c r="H623" i="69"/>
  <c r="G624" i="69"/>
  <c r="H624" i="69"/>
  <c r="G625" i="69"/>
  <c r="H625" i="69"/>
  <c r="G626" i="69"/>
  <c r="H626" i="69"/>
  <c r="G627" i="69"/>
  <c r="H627" i="69"/>
  <c r="G628" i="69"/>
  <c r="H628" i="69"/>
  <c r="G629" i="69"/>
  <c r="H629" i="69"/>
  <c r="G630" i="69"/>
  <c r="H630" i="69"/>
  <c r="G631" i="69"/>
  <c r="H631" i="69"/>
  <c r="G632" i="69"/>
  <c r="H632" i="69"/>
  <c r="G633" i="69"/>
  <c r="H633" i="69"/>
  <c r="G634" i="69"/>
  <c r="H634" i="69"/>
  <c r="G635" i="69"/>
  <c r="H635" i="69"/>
  <c r="G636" i="69"/>
  <c r="H636" i="69"/>
  <c r="G637" i="69"/>
  <c r="H637" i="69"/>
  <c r="G638" i="69"/>
  <c r="H638" i="69"/>
  <c r="G639" i="69"/>
  <c r="H639" i="69"/>
  <c r="G640" i="69"/>
  <c r="H640" i="69"/>
  <c r="G641" i="69"/>
  <c r="H641" i="69"/>
  <c r="G642" i="69"/>
  <c r="H642" i="69"/>
  <c r="G643" i="69"/>
  <c r="H643" i="69"/>
  <c r="G644" i="69"/>
  <c r="H644" i="69"/>
  <c r="G645" i="69"/>
  <c r="H645" i="69"/>
  <c r="G646" i="69"/>
  <c r="H646" i="69"/>
  <c r="G647" i="69"/>
  <c r="H647" i="69"/>
  <c r="G648" i="69"/>
  <c r="H648" i="69"/>
  <c r="G649" i="69"/>
  <c r="H649" i="69"/>
  <c r="G650" i="69"/>
  <c r="H650" i="69"/>
  <c r="G651" i="69"/>
  <c r="H651" i="69"/>
  <c r="G652" i="69"/>
  <c r="H652" i="69"/>
  <c r="G653" i="69"/>
  <c r="H653" i="69"/>
  <c r="G654" i="69"/>
  <c r="H654" i="69"/>
  <c r="G655" i="69"/>
  <c r="H655" i="69"/>
  <c r="G656" i="69"/>
  <c r="H656" i="69"/>
  <c r="G657" i="69"/>
  <c r="H657" i="69"/>
  <c r="G658" i="69"/>
  <c r="H658" i="69"/>
  <c r="G659" i="69"/>
  <c r="H659" i="69"/>
  <c r="G660" i="69"/>
  <c r="H660" i="69"/>
  <c r="G661" i="69"/>
  <c r="H661" i="69"/>
  <c r="G662" i="69"/>
  <c r="H662" i="69"/>
  <c r="G663" i="69"/>
  <c r="H663" i="69"/>
  <c r="G664" i="69"/>
  <c r="H664" i="69"/>
  <c r="G665" i="69"/>
  <c r="H665" i="69"/>
  <c r="G666" i="69"/>
  <c r="H666" i="69"/>
  <c r="G667" i="69"/>
  <c r="H667" i="69"/>
  <c r="G668" i="69"/>
  <c r="H668" i="69"/>
  <c r="G669" i="69"/>
  <c r="H669" i="69"/>
  <c r="G670" i="69"/>
  <c r="H670" i="69"/>
  <c r="G671" i="69"/>
  <c r="H671" i="69"/>
  <c r="G672" i="69"/>
  <c r="H672" i="69"/>
  <c r="G673" i="69"/>
  <c r="H673" i="69"/>
  <c r="G674" i="69"/>
  <c r="H674" i="69"/>
  <c r="G675" i="69"/>
  <c r="H675" i="69"/>
  <c r="G676" i="69"/>
  <c r="H676" i="69"/>
  <c r="G677" i="69"/>
  <c r="H677" i="69"/>
  <c r="G678" i="69"/>
  <c r="H678" i="69"/>
  <c r="G679" i="69"/>
  <c r="H679" i="69"/>
  <c r="G680" i="69"/>
  <c r="H680" i="69"/>
  <c r="G681" i="69"/>
  <c r="H681" i="69"/>
  <c r="G682" i="69"/>
  <c r="H682" i="69"/>
  <c r="G683" i="69"/>
  <c r="H683" i="69"/>
  <c r="G684" i="69"/>
  <c r="H684" i="69"/>
  <c r="G685" i="69"/>
  <c r="H685" i="69"/>
  <c r="G686" i="69"/>
  <c r="H686" i="69"/>
  <c r="G687" i="69"/>
  <c r="H687" i="69"/>
  <c r="G688" i="69"/>
  <c r="H688" i="69"/>
  <c r="G689" i="69"/>
  <c r="H689" i="69"/>
  <c r="G690" i="69"/>
  <c r="H690" i="69"/>
  <c r="G691" i="69"/>
  <c r="H691" i="69"/>
  <c r="G692" i="69"/>
  <c r="H692" i="69"/>
  <c r="G693" i="69"/>
  <c r="H693" i="69"/>
  <c r="G694" i="69"/>
  <c r="H694" i="69"/>
  <c r="G695" i="69"/>
  <c r="H695" i="69"/>
  <c r="G696" i="69"/>
  <c r="H696" i="69"/>
  <c r="G697" i="69"/>
  <c r="H697" i="69"/>
  <c r="G698" i="69"/>
  <c r="H698" i="69"/>
  <c r="G699" i="69"/>
  <c r="H699" i="69"/>
  <c r="G700" i="69"/>
  <c r="H700" i="69"/>
  <c r="G701" i="69"/>
  <c r="H701" i="69"/>
  <c r="G702" i="69"/>
  <c r="H702" i="69"/>
  <c r="G703" i="69"/>
  <c r="H703" i="69"/>
  <c r="G704" i="69"/>
  <c r="H704" i="69"/>
  <c r="G705" i="69"/>
  <c r="H705" i="69"/>
  <c r="G706" i="69"/>
  <c r="H706" i="69"/>
  <c r="G707" i="69"/>
  <c r="H707" i="69"/>
  <c r="G708" i="69"/>
  <c r="H708" i="69"/>
  <c r="G709" i="69"/>
  <c r="H709" i="69"/>
  <c r="G710" i="69"/>
  <c r="H710" i="69"/>
  <c r="G711" i="69"/>
  <c r="H711" i="69"/>
  <c r="G712" i="69"/>
  <c r="H712" i="69"/>
  <c r="G713" i="69"/>
  <c r="H713" i="69"/>
  <c r="G714" i="69"/>
  <c r="H714" i="69"/>
  <c r="G715" i="69"/>
  <c r="H715" i="69"/>
  <c r="G716" i="69"/>
  <c r="H716" i="69"/>
  <c r="G717" i="69"/>
  <c r="H717" i="69"/>
  <c r="G718" i="69"/>
  <c r="H718" i="69"/>
  <c r="G719" i="69"/>
  <c r="H719" i="69"/>
  <c r="G720" i="69"/>
  <c r="H720" i="69"/>
  <c r="G721" i="69"/>
  <c r="H721" i="69"/>
  <c r="G722" i="69"/>
  <c r="H722" i="69"/>
  <c r="G723" i="69"/>
  <c r="H723" i="69"/>
  <c r="G724" i="69"/>
  <c r="H724" i="69"/>
  <c r="G725" i="69"/>
  <c r="H725" i="69"/>
  <c r="G726" i="69"/>
  <c r="H726" i="69"/>
  <c r="G727" i="69"/>
  <c r="H727" i="69"/>
  <c r="G728" i="69"/>
  <c r="H728" i="69"/>
  <c r="G729" i="69"/>
  <c r="H729" i="69"/>
  <c r="G730" i="69"/>
  <c r="H730" i="69"/>
  <c r="G731" i="69"/>
  <c r="H731" i="69"/>
  <c r="G732" i="69"/>
  <c r="H732" i="69"/>
  <c r="G733" i="69"/>
  <c r="H733" i="69"/>
  <c r="G734" i="69"/>
  <c r="H734" i="69"/>
  <c r="G735" i="69"/>
  <c r="H735" i="69"/>
  <c r="G736" i="69"/>
  <c r="H736" i="69"/>
  <c r="G737" i="69"/>
  <c r="H737" i="69"/>
  <c r="G738" i="69"/>
  <c r="H738" i="69"/>
  <c r="G739" i="69"/>
  <c r="H739" i="69"/>
  <c r="G740" i="69"/>
  <c r="H740" i="69"/>
  <c r="G741" i="69"/>
  <c r="H741" i="69"/>
  <c r="G742" i="69"/>
  <c r="H742" i="69"/>
  <c r="G743" i="69"/>
  <c r="H743" i="69"/>
  <c r="G744" i="69"/>
  <c r="H744" i="69"/>
  <c r="G745" i="69"/>
  <c r="H745" i="69"/>
  <c r="G746" i="69"/>
  <c r="H746" i="69"/>
  <c r="G747" i="69"/>
  <c r="H747" i="69"/>
  <c r="G748" i="69"/>
  <c r="H748" i="69"/>
  <c r="G749" i="69"/>
  <c r="H749" i="69"/>
  <c r="G750" i="69"/>
  <c r="H750" i="69"/>
  <c r="G751" i="69"/>
  <c r="H751" i="69"/>
  <c r="G752" i="69"/>
  <c r="H752" i="69"/>
  <c r="G753" i="69"/>
  <c r="H753" i="69"/>
  <c r="G754" i="69"/>
  <c r="H754" i="69"/>
  <c r="G755" i="69"/>
  <c r="H755" i="69"/>
  <c r="G756" i="69"/>
  <c r="H756" i="69"/>
  <c r="G757" i="69"/>
  <c r="H757" i="69"/>
  <c r="G758" i="69"/>
  <c r="H758" i="69"/>
  <c r="G759" i="69"/>
  <c r="H759" i="69"/>
  <c r="G760" i="69"/>
  <c r="H760" i="69"/>
  <c r="G761" i="69"/>
  <c r="H761" i="69"/>
  <c r="G762" i="69"/>
  <c r="H762" i="69"/>
  <c r="G763" i="69"/>
  <c r="H763" i="69"/>
  <c r="G764" i="69"/>
  <c r="H764" i="69"/>
  <c r="G765" i="69"/>
  <c r="H765" i="69"/>
  <c r="G766" i="69"/>
  <c r="H766" i="69"/>
  <c r="G767" i="69"/>
  <c r="H767" i="69"/>
  <c r="G768" i="69"/>
  <c r="H768" i="69"/>
  <c r="G769" i="69"/>
  <c r="H769" i="69"/>
  <c r="G770" i="69"/>
  <c r="H770" i="69"/>
  <c r="G771" i="69"/>
  <c r="H771" i="69"/>
  <c r="G772" i="69"/>
  <c r="H772" i="69"/>
  <c r="G773" i="69"/>
  <c r="H773" i="69"/>
  <c r="G774" i="69"/>
  <c r="H774" i="69"/>
  <c r="G775" i="69"/>
  <c r="H775" i="69"/>
  <c r="G776" i="69"/>
  <c r="H776" i="69"/>
  <c r="G777" i="69"/>
  <c r="H777" i="69"/>
  <c r="G778" i="69"/>
  <c r="H778" i="69"/>
  <c r="G779" i="69"/>
  <c r="H779" i="69"/>
  <c r="G780" i="69"/>
  <c r="H780" i="69"/>
  <c r="G781" i="69"/>
  <c r="H781" i="69"/>
  <c r="G782" i="69"/>
  <c r="H782" i="69"/>
  <c r="G783" i="69"/>
  <c r="H783" i="69"/>
  <c r="G784" i="69"/>
  <c r="H784" i="69"/>
  <c r="G785" i="69"/>
  <c r="H785" i="69"/>
  <c r="G786" i="69"/>
  <c r="H786" i="69"/>
  <c r="G787" i="69"/>
  <c r="H787" i="69"/>
  <c r="G788" i="69"/>
  <c r="H788" i="69"/>
  <c r="G789" i="69"/>
  <c r="H789" i="69"/>
  <c r="G790" i="69"/>
  <c r="H790" i="69"/>
  <c r="G791" i="69"/>
  <c r="H791" i="69"/>
  <c r="G792" i="69"/>
  <c r="H792" i="69"/>
  <c r="G793" i="69"/>
  <c r="H793" i="69"/>
  <c r="G794" i="69"/>
  <c r="H794" i="69"/>
  <c r="G795" i="69"/>
  <c r="H795" i="69"/>
  <c r="G796" i="69"/>
  <c r="H796" i="69"/>
  <c r="G797" i="69"/>
  <c r="H797" i="69"/>
  <c r="G798" i="69"/>
  <c r="H798" i="69"/>
  <c r="G799" i="69"/>
  <c r="H799" i="69"/>
  <c r="G800" i="69"/>
  <c r="H800" i="69"/>
  <c r="G801" i="69"/>
  <c r="H801" i="69"/>
  <c r="G802" i="69"/>
  <c r="H802" i="69"/>
  <c r="G803" i="69"/>
  <c r="H803" i="69"/>
  <c r="G804" i="69"/>
  <c r="H804" i="69"/>
  <c r="G805" i="69"/>
  <c r="H805" i="69"/>
  <c r="G806" i="69"/>
  <c r="H806" i="69"/>
  <c r="G807" i="69"/>
  <c r="H807" i="69"/>
  <c r="G808" i="69"/>
  <c r="H808" i="69"/>
  <c r="G809" i="69"/>
  <c r="H809" i="69"/>
  <c r="G810" i="69"/>
  <c r="H810" i="69"/>
  <c r="G811" i="69"/>
  <c r="H811" i="69"/>
  <c r="G812" i="69"/>
  <c r="H812" i="69"/>
  <c r="G813" i="69"/>
  <c r="H813" i="69"/>
  <c r="G814" i="69"/>
  <c r="H814" i="69"/>
  <c r="G815" i="69"/>
  <c r="H815" i="69"/>
  <c r="G816" i="69"/>
  <c r="H816" i="69"/>
  <c r="G817" i="69"/>
  <c r="H817" i="69"/>
  <c r="G818" i="69"/>
  <c r="H818" i="69"/>
  <c r="G819" i="69"/>
  <c r="H819" i="69"/>
  <c r="G820" i="69"/>
  <c r="H820" i="69"/>
  <c r="G821" i="69"/>
  <c r="H821" i="69"/>
  <c r="G822" i="69"/>
  <c r="H822" i="69"/>
  <c r="G823" i="69"/>
  <c r="H823" i="69"/>
  <c r="G824" i="69"/>
  <c r="H824" i="69"/>
  <c r="G825" i="69"/>
  <c r="H825" i="69"/>
  <c r="G826" i="69"/>
  <c r="H826" i="69"/>
  <c r="G827" i="69"/>
  <c r="H827" i="69"/>
  <c r="G828" i="69"/>
  <c r="H828" i="69"/>
  <c r="G829" i="69"/>
  <c r="H829" i="69"/>
  <c r="G830" i="69"/>
  <c r="H830" i="69"/>
  <c r="G831" i="69"/>
  <c r="H831" i="69"/>
  <c r="G832" i="69"/>
  <c r="H832" i="69"/>
  <c r="G833" i="69"/>
  <c r="H833" i="69"/>
  <c r="G834" i="69"/>
  <c r="H834" i="69"/>
  <c r="G835" i="69"/>
  <c r="H835" i="69"/>
  <c r="G836" i="69"/>
  <c r="H836" i="69"/>
  <c r="G837" i="69"/>
  <c r="H837" i="69"/>
  <c r="G838" i="69"/>
  <c r="H838" i="69"/>
  <c r="G839" i="69"/>
  <c r="H839" i="69"/>
  <c r="G840" i="69"/>
  <c r="H840" i="69"/>
  <c r="G841" i="69"/>
  <c r="H841" i="69"/>
  <c r="G842" i="69"/>
  <c r="H842" i="69"/>
  <c r="G843" i="69"/>
  <c r="H843" i="69"/>
  <c r="G844" i="69"/>
  <c r="H844" i="69"/>
  <c r="G845" i="69"/>
  <c r="H845" i="69"/>
  <c r="G846" i="69"/>
  <c r="H846" i="69"/>
  <c r="G847" i="69"/>
  <c r="H847" i="69"/>
  <c r="G848" i="69"/>
  <c r="H848" i="69"/>
  <c r="G849" i="69"/>
  <c r="H849" i="69"/>
  <c r="G850" i="69"/>
  <c r="H850" i="69"/>
  <c r="G851" i="69"/>
  <c r="H851" i="69"/>
  <c r="G852" i="69"/>
  <c r="H852" i="69"/>
  <c r="G853" i="69"/>
  <c r="H853" i="69"/>
  <c r="G854" i="69"/>
  <c r="H854" i="69"/>
  <c r="G855" i="69"/>
  <c r="H855" i="69"/>
  <c r="G856" i="69"/>
  <c r="H856" i="69"/>
  <c r="G857" i="69"/>
  <c r="H857" i="69"/>
  <c r="G858" i="69"/>
  <c r="H858" i="69"/>
  <c r="G859" i="69"/>
  <c r="H859" i="69"/>
  <c r="G860" i="69"/>
  <c r="H860" i="69"/>
  <c r="G861" i="69"/>
  <c r="H861" i="69"/>
  <c r="G862" i="69"/>
  <c r="H862" i="69"/>
  <c r="G863" i="69"/>
  <c r="H863" i="69"/>
  <c r="G864" i="69"/>
  <c r="H864" i="69"/>
  <c r="G865" i="69"/>
  <c r="H865" i="69"/>
  <c r="G866" i="69"/>
  <c r="H866" i="69"/>
  <c r="G867" i="69"/>
  <c r="H867" i="69"/>
  <c r="G868" i="69"/>
  <c r="H868" i="69"/>
  <c r="G869" i="69"/>
  <c r="H869" i="69"/>
  <c r="G870" i="69"/>
  <c r="H870" i="69"/>
  <c r="G871" i="69"/>
  <c r="H871" i="69"/>
  <c r="G872" i="69"/>
  <c r="H872" i="69"/>
  <c r="G873" i="69"/>
  <c r="H873" i="69"/>
  <c r="G874" i="69"/>
  <c r="H874" i="69"/>
  <c r="G875" i="69"/>
  <c r="H875" i="69"/>
  <c r="G876" i="69"/>
  <c r="H876" i="69"/>
  <c r="G877" i="69"/>
  <c r="H877" i="69"/>
  <c r="G878" i="69"/>
  <c r="H878" i="69"/>
  <c r="G879" i="69"/>
  <c r="H879" i="69"/>
  <c r="G880" i="69"/>
  <c r="H880" i="69"/>
  <c r="G881" i="69"/>
  <c r="H881" i="69"/>
  <c r="G882" i="69"/>
  <c r="H882" i="69"/>
  <c r="G883" i="69"/>
  <c r="H883" i="69"/>
  <c r="G884" i="69"/>
  <c r="H884" i="69"/>
  <c r="G885" i="69"/>
  <c r="H885" i="69"/>
  <c r="G886" i="69"/>
  <c r="H886" i="69"/>
  <c r="G887" i="69"/>
  <c r="H887" i="69"/>
  <c r="G888" i="69"/>
  <c r="H888" i="69"/>
  <c r="G889" i="69"/>
  <c r="H889" i="69"/>
  <c r="G890" i="69"/>
  <c r="H890" i="69"/>
  <c r="G891" i="69"/>
  <c r="H891" i="69"/>
  <c r="G892" i="69"/>
  <c r="H892" i="69"/>
  <c r="G893" i="69"/>
  <c r="H893" i="69"/>
  <c r="G894" i="69"/>
  <c r="H894" i="69"/>
  <c r="G895" i="69"/>
  <c r="H895" i="69"/>
  <c r="G896" i="69"/>
  <c r="H896" i="69"/>
  <c r="G897" i="69"/>
  <c r="H897" i="69"/>
  <c r="G898" i="69"/>
  <c r="H898" i="69"/>
  <c r="G899" i="69"/>
  <c r="H899" i="69"/>
  <c r="G900" i="69"/>
  <c r="H900" i="69"/>
  <c r="G901" i="69"/>
  <c r="H901" i="69"/>
  <c r="G902" i="69"/>
  <c r="H902" i="69"/>
  <c r="G903" i="69"/>
  <c r="H903" i="69"/>
  <c r="G904" i="69"/>
  <c r="H904" i="69"/>
  <c r="G905" i="69"/>
  <c r="H905" i="69"/>
  <c r="G906" i="69"/>
  <c r="H906" i="69"/>
  <c r="G907" i="69"/>
  <c r="H907" i="69"/>
  <c r="G908" i="69"/>
  <c r="H908" i="69"/>
  <c r="G909" i="69"/>
  <c r="H909" i="69"/>
  <c r="G910" i="69"/>
  <c r="H910" i="69"/>
  <c r="G911" i="69"/>
  <c r="H911" i="69"/>
  <c r="G912" i="69"/>
  <c r="H912" i="69"/>
  <c r="G913" i="69"/>
  <c r="H913" i="69"/>
  <c r="G914" i="69"/>
  <c r="H914" i="69"/>
  <c r="G915" i="69"/>
  <c r="H915" i="69"/>
  <c r="G916" i="69"/>
  <c r="H916" i="69"/>
  <c r="G917" i="69"/>
  <c r="H917" i="69"/>
  <c r="G918" i="69"/>
  <c r="H918" i="69"/>
  <c r="G919" i="69"/>
  <c r="H919" i="69"/>
  <c r="G920" i="69"/>
  <c r="H920" i="69"/>
  <c r="G921" i="69"/>
  <c r="H921" i="69"/>
  <c r="G922" i="69"/>
  <c r="H922" i="69"/>
  <c r="G923" i="69"/>
  <c r="H923" i="69"/>
  <c r="G924" i="69"/>
  <c r="H924" i="69"/>
  <c r="G925" i="69"/>
  <c r="H925" i="69"/>
  <c r="G926" i="69"/>
  <c r="H926" i="69"/>
  <c r="G927" i="69"/>
  <c r="H927" i="69"/>
  <c r="G928" i="69"/>
  <c r="H928" i="69"/>
  <c r="G929" i="69"/>
  <c r="H929" i="69"/>
  <c r="G930" i="69"/>
  <c r="H930" i="69"/>
  <c r="G931" i="69"/>
  <c r="H931" i="69"/>
  <c r="G932" i="69"/>
  <c r="H932" i="69"/>
  <c r="G933" i="69"/>
  <c r="H933" i="69"/>
  <c r="G934" i="69"/>
  <c r="H934" i="69"/>
  <c r="G935" i="69"/>
  <c r="H935" i="69"/>
  <c r="G936" i="69"/>
  <c r="H936" i="69"/>
  <c r="G937" i="69"/>
  <c r="H937" i="69"/>
  <c r="G938" i="69"/>
  <c r="H938" i="69"/>
  <c r="G939" i="69"/>
  <c r="H939" i="69"/>
  <c r="G940" i="69"/>
  <c r="H940" i="69"/>
  <c r="G941" i="69"/>
  <c r="H941" i="69"/>
  <c r="G942" i="69"/>
  <c r="H942" i="69"/>
  <c r="G943" i="69"/>
  <c r="H943" i="69"/>
  <c r="G944" i="69"/>
  <c r="H944" i="69"/>
  <c r="G945" i="69"/>
  <c r="H945" i="69"/>
  <c r="G946" i="69"/>
  <c r="H946" i="69"/>
  <c r="G947" i="69"/>
  <c r="H947" i="69"/>
  <c r="G948" i="69"/>
  <c r="H948" i="69"/>
  <c r="G949" i="69"/>
  <c r="H949" i="69"/>
  <c r="G950" i="69"/>
  <c r="H950" i="69"/>
  <c r="G951" i="69"/>
  <c r="H951" i="69"/>
  <c r="G952" i="69"/>
  <c r="H952" i="69"/>
  <c r="G953" i="69"/>
  <c r="H953" i="69"/>
  <c r="G954" i="69"/>
  <c r="H954" i="69"/>
  <c r="G955" i="69"/>
  <c r="H955" i="69"/>
  <c r="G956" i="69"/>
  <c r="H956" i="69"/>
  <c r="G957" i="69"/>
  <c r="H957" i="69"/>
  <c r="G958" i="69"/>
  <c r="H958" i="69"/>
  <c r="G959" i="69"/>
  <c r="H959" i="69"/>
  <c r="G960" i="69"/>
  <c r="H960" i="69"/>
  <c r="G961" i="69"/>
  <c r="H961" i="69"/>
  <c r="G962" i="69"/>
  <c r="H962" i="69"/>
  <c r="G963" i="69"/>
  <c r="H963" i="69"/>
  <c r="G964" i="69"/>
  <c r="H964" i="69"/>
  <c r="G965" i="69"/>
  <c r="H965" i="69"/>
  <c r="G966" i="69"/>
  <c r="H966" i="69"/>
  <c r="G967" i="69"/>
  <c r="H967" i="69"/>
  <c r="G968" i="69"/>
  <c r="H968" i="69"/>
  <c r="G969" i="69"/>
  <c r="H969" i="69"/>
  <c r="G970" i="69"/>
  <c r="H970" i="69"/>
  <c r="G971" i="69"/>
  <c r="H971" i="69"/>
  <c r="G972" i="69"/>
  <c r="H972" i="69"/>
  <c r="G973" i="69"/>
  <c r="H973" i="69"/>
  <c r="G974" i="69"/>
  <c r="H974" i="69"/>
  <c r="G975" i="69"/>
  <c r="H975" i="69"/>
  <c r="G976" i="69"/>
  <c r="H976" i="69"/>
  <c r="G977" i="69"/>
  <c r="H977" i="69"/>
  <c r="G978" i="69"/>
  <c r="H978" i="69"/>
  <c r="G979" i="69"/>
  <c r="H979" i="69"/>
  <c r="G980" i="69"/>
  <c r="H980" i="69"/>
  <c r="G981" i="69"/>
  <c r="H981" i="69"/>
  <c r="G982" i="69"/>
  <c r="H982" i="69"/>
  <c r="G983" i="69"/>
  <c r="H983" i="69"/>
  <c r="G984" i="69"/>
  <c r="H984" i="69"/>
  <c r="G985" i="69"/>
  <c r="H985" i="69"/>
  <c r="G986" i="69"/>
  <c r="H986" i="69"/>
  <c r="G987" i="69"/>
  <c r="H987" i="69"/>
  <c r="G988" i="69"/>
  <c r="H988" i="69"/>
  <c r="G989" i="69"/>
  <c r="H989" i="69"/>
  <c r="G990" i="69"/>
  <c r="H990" i="69"/>
  <c r="G991" i="69"/>
  <c r="H991" i="69"/>
  <c r="G992" i="69"/>
  <c r="H992" i="69"/>
  <c r="G993" i="69"/>
  <c r="H993" i="69"/>
  <c r="G994" i="69"/>
  <c r="H994" i="69"/>
  <c r="G995" i="69"/>
  <c r="H995" i="69"/>
  <c r="G996" i="69"/>
  <c r="H996" i="69"/>
  <c r="G997" i="69"/>
  <c r="H997" i="69"/>
  <c r="G998" i="69"/>
  <c r="H998" i="69"/>
  <c r="G999" i="69"/>
  <c r="H999" i="69"/>
  <c r="G1000" i="69"/>
  <c r="H1000" i="69"/>
  <c r="G1001" i="69"/>
  <c r="H1001" i="69"/>
  <c r="G1002" i="69"/>
  <c r="H1002" i="69"/>
  <c r="G1003" i="69"/>
  <c r="H1003" i="69"/>
  <c r="G1004" i="69"/>
  <c r="H1004" i="69"/>
  <c r="G1005" i="69"/>
  <c r="H1005" i="69"/>
  <c r="G1006" i="69"/>
  <c r="H1006" i="69"/>
  <c r="G1007" i="69"/>
  <c r="H1007" i="69"/>
  <c r="G1008" i="69"/>
  <c r="H1008" i="69"/>
  <c r="G1009" i="69"/>
  <c r="H1009" i="69"/>
  <c r="G1010" i="69"/>
  <c r="H1010" i="69"/>
  <c r="G1011" i="69"/>
  <c r="H1011" i="69"/>
  <c r="G1012" i="69"/>
  <c r="H1012" i="69"/>
  <c r="G1013" i="69"/>
  <c r="H1013" i="69"/>
  <c r="G1014" i="69"/>
  <c r="H1014" i="69"/>
  <c r="G1015" i="69"/>
  <c r="H1015" i="69"/>
  <c r="G1016" i="69"/>
  <c r="H1016" i="69"/>
  <c r="G1017" i="69"/>
  <c r="H1017" i="69"/>
  <c r="G1018" i="69"/>
  <c r="H1018" i="69"/>
  <c r="G1019" i="69"/>
  <c r="H1019" i="69"/>
  <c r="G1020" i="69"/>
  <c r="H1020" i="69"/>
  <c r="G1021" i="69"/>
  <c r="H1021" i="69"/>
  <c r="G1022" i="69"/>
  <c r="H1022" i="69"/>
  <c r="G1023" i="69"/>
  <c r="H1023" i="69"/>
  <c r="G1024" i="69"/>
  <c r="H1024" i="69"/>
  <c r="G1025" i="69"/>
  <c r="H1025" i="69"/>
  <c r="G1026" i="69"/>
  <c r="H1026" i="69"/>
  <c r="G1027" i="69"/>
  <c r="H1027" i="69"/>
  <c r="G1028" i="69"/>
  <c r="H1028" i="69"/>
  <c r="G1029" i="69"/>
  <c r="H1029" i="69"/>
  <c r="G1030" i="69"/>
  <c r="H1030" i="69"/>
  <c r="G1031" i="69"/>
  <c r="H1031" i="69"/>
  <c r="G1032" i="69"/>
  <c r="H1032" i="69"/>
  <c r="G1033" i="69"/>
  <c r="H1033" i="69"/>
  <c r="G1034" i="69"/>
  <c r="H1034" i="69"/>
  <c r="G1035" i="69"/>
  <c r="H1035" i="69"/>
  <c r="G1036" i="69"/>
  <c r="H1036" i="69"/>
  <c r="G1037" i="69"/>
  <c r="H1037" i="69"/>
  <c r="G1038" i="69"/>
  <c r="H1038" i="69"/>
  <c r="G1039" i="69"/>
  <c r="H1039" i="69"/>
  <c r="G1040" i="69"/>
  <c r="H1040" i="69"/>
  <c r="G1041" i="69"/>
  <c r="H1041" i="69"/>
  <c r="G1042" i="69"/>
  <c r="H1042" i="69"/>
  <c r="G1043" i="69"/>
  <c r="H1043" i="69"/>
  <c r="G1044" i="69"/>
  <c r="H1044" i="69"/>
  <c r="G1045" i="69"/>
  <c r="H1045" i="69"/>
  <c r="G1046" i="69"/>
  <c r="H1046" i="69"/>
  <c r="G1047" i="69"/>
  <c r="H1047" i="69"/>
  <c r="G1048" i="69"/>
  <c r="H1048" i="69"/>
  <c r="G1049" i="69"/>
  <c r="H1049" i="69"/>
  <c r="G1050" i="69"/>
  <c r="H1050" i="69"/>
  <c r="G1051" i="69"/>
  <c r="H1051" i="69"/>
  <c r="G1052" i="69"/>
  <c r="H1052" i="69"/>
  <c r="G1053" i="69"/>
  <c r="H1053" i="69"/>
  <c r="G1054" i="69"/>
  <c r="H1054" i="69"/>
  <c r="G1055" i="69"/>
  <c r="H1055" i="69"/>
  <c r="G1056" i="69"/>
  <c r="H1056" i="69"/>
  <c r="G1057" i="69"/>
  <c r="H1057" i="69"/>
  <c r="G1058" i="69"/>
  <c r="H1058" i="69"/>
  <c r="G1059" i="69"/>
  <c r="H1059" i="69"/>
  <c r="G1060" i="69"/>
  <c r="H1060" i="69"/>
  <c r="G1061" i="69"/>
  <c r="H1061" i="69"/>
  <c r="G1062" i="69"/>
  <c r="H1062" i="69"/>
  <c r="G1063" i="69"/>
  <c r="H1063" i="69"/>
  <c r="G1064" i="69"/>
  <c r="H1064" i="69"/>
  <c r="G1065" i="69"/>
  <c r="H1065" i="69"/>
  <c r="G1066" i="69"/>
  <c r="H1066" i="69"/>
  <c r="G1067" i="69"/>
  <c r="H1067" i="69"/>
  <c r="G1068" i="69"/>
  <c r="H1068" i="69"/>
  <c r="G1069" i="69"/>
  <c r="H1069" i="69"/>
  <c r="G1070" i="69"/>
  <c r="H1070" i="69"/>
  <c r="G1071" i="69"/>
  <c r="H1071" i="69"/>
  <c r="G1072" i="69"/>
  <c r="H1072" i="69"/>
  <c r="G1073" i="69"/>
  <c r="H1073" i="69"/>
  <c r="G1074" i="69"/>
  <c r="H1074" i="69"/>
  <c r="G1075" i="69"/>
  <c r="H1075" i="69"/>
  <c r="G1076" i="69"/>
  <c r="H1076" i="69"/>
  <c r="G1077" i="69"/>
  <c r="H1077" i="69"/>
  <c r="G1078" i="69"/>
  <c r="H1078" i="69"/>
  <c r="G1079" i="69"/>
  <c r="H1079" i="69"/>
  <c r="G1080" i="69"/>
  <c r="H1080" i="69"/>
  <c r="G1081" i="69"/>
  <c r="H1081" i="69"/>
  <c r="G1082" i="69"/>
  <c r="H1082" i="69"/>
  <c r="G1083" i="69"/>
  <c r="H1083" i="69"/>
  <c r="G1084" i="69"/>
  <c r="H1084" i="69"/>
  <c r="G1085" i="69"/>
  <c r="H1085" i="69"/>
  <c r="G1086" i="69"/>
  <c r="H1086" i="69"/>
  <c r="G1087" i="69"/>
  <c r="H1087" i="69"/>
  <c r="G1088" i="69"/>
  <c r="H1088" i="69"/>
  <c r="G1089" i="69"/>
  <c r="H1089" i="69"/>
  <c r="G1090" i="69"/>
  <c r="H1090" i="69"/>
  <c r="G1091" i="69"/>
  <c r="H1091" i="69"/>
  <c r="G1092" i="69"/>
  <c r="H1092" i="69"/>
  <c r="G1093" i="69"/>
  <c r="H1093" i="69"/>
  <c r="G1094" i="69"/>
  <c r="H1094" i="69"/>
  <c r="G1095" i="69"/>
  <c r="H1095" i="69"/>
  <c r="G1096" i="69"/>
  <c r="H1096" i="69"/>
  <c r="G1097" i="69"/>
  <c r="H1097" i="69"/>
  <c r="G1098" i="69"/>
  <c r="H1098" i="69"/>
  <c r="G1099" i="69"/>
  <c r="H1099" i="69"/>
  <c r="G1100" i="69"/>
  <c r="H1100" i="69"/>
  <c r="G1101" i="69"/>
  <c r="H1101" i="69"/>
  <c r="G1102" i="69"/>
  <c r="H1102" i="69"/>
  <c r="G1103" i="69"/>
  <c r="H1103" i="69"/>
  <c r="G1104" i="69"/>
  <c r="H1104" i="69"/>
  <c r="G1105" i="69"/>
  <c r="H1105" i="69"/>
  <c r="G1106" i="69"/>
  <c r="H1106" i="69"/>
  <c r="G1107" i="69"/>
  <c r="H1107" i="69"/>
  <c r="G1108" i="69"/>
  <c r="H1108" i="69"/>
  <c r="G1109" i="69"/>
  <c r="H1109" i="69"/>
  <c r="G1110" i="69"/>
  <c r="H1110" i="69"/>
  <c r="G1111" i="69"/>
  <c r="H1111" i="69"/>
  <c r="G1112" i="69"/>
  <c r="H1112" i="69"/>
  <c r="G1113" i="69"/>
  <c r="H1113" i="69"/>
  <c r="G1114" i="69"/>
  <c r="H1114" i="69"/>
  <c r="G1115" i="69"/>
  <c r="H1115" i="69"/>
  <c r="G1116" i="69"/>
  <c r="H1116" i="69"/>
  <c r="G1117" i="69"/>
  <c r="H1117" i="69"/>
  <c r="G1118" i="69"/>
  <c r="H1118" i="69"/>
  <c r="G1119" i="69"/>
  <c r="H1119" i="69"/>
  <c r="G1120" i="69"/>
  <c r="H1120" i="69"/>
  <c r="G1121" i="69"/>
  <c r="H1121" i="69"/>
  <c r="G1122" i="69"/>
  <c r="H1122" i="69"/>
  <c r="G1123" i="69"/>
  <c r="H1123" i="69"/>
  <c r="G1124" i="69"/>
  <c r="H1124" i="69"/>
  <c r="G1125" i="69"/>
  <c r="H1125" i="69"/>
  <c r="G1126" i="69"/>
  <c r="H1126" i="69"/>
  <c r="G1127" i="69"/>
  <c r="H1127" i="69"/>
  <c r="G1128" i="69"/>
  <c r="H1128" i="69"/>
  <c r="G1129" i="69"/>
  <c r="H1129" i="69"/>
  <c r="G1130" i="69"/>
  <c r="H1130" i="69"/>
  <c r="G1131" i="69"/>
  <c r="H1131" i="69"/>
  <c r="G1132" i="69"/>
  <c r="H1132" i="69"/>
  <c r="G1133" i="69"/>
  <c r="H1133" i="69"/>
  <c r="G1134" i="69"/>
  <c r="H1134" i="69"/>
  <c r="G1135" i="69"/>
  <c r="H1135" i="69"/>
  <c r="G1136" i="69"/>
  <c r="H1136" i="69"/>
  <c r="G1137" i="69"/>
  <c r="H1137" i="69"/>
  <c r="G1138" i="69"/>
  <c r="H1138" i="69"/>
  <c r="G1139" i="69"/>
  <c r="H1139" i="69"/>
  <c r="G1140" i="69"/>
  <c r="H1140" i="69"/>
  <c r="G1141" i="69"/>
  <c r="H1141" i="69"/>
  <c r="G1142" i="69"/>
  <c r="H1142" i="69"/>
  <c r="G1143" i="69"/>
  <c r="H1143" i="69"/>
  <c r="G1144" i="69"/>
  <c r="H1144" i="69"/>
  <c r="G1145" i="69"/>
  <c r="H1145" i="69"/>
  <c r="G1146" i="69"/>
  <c r="H1146" i="69"/>
  <c r="G1147" i="69"/>
  <c r="H1147" i="69"/>
  <c r="G1148" i="69"/>
  <c r="H1148" i="69"/>
  <c r="G1149" i="69"/>
  <c r="H1149" i="69"/>
  <c r="G1150" i="69"/>
  <c r="H1150" i="69"/>
  <c r="G1151" i="69"/>
  <c r="H1151" i="69"/>
  <c r="G1152" i="69"/>
  <c r="H1152" i="69"/>
  <c r="G1153" i="69"/>
  <c r="H1153" i="69"/>
  <c r="G1154" i="69"/>
  <c r="H1154" i="69"/>
  <c r="G1155" i="69"/>
  <c r="H1155" i="69"/>
  <c r="G1156" i="69"/>
  <c r="H1156" i="69"/>
  <c r="G1157" i="69"/>
  <c r="H1157" i="69"/>
  <c r="G1158" i="69"/>
  <c r="H1158" i="69"/>
  <c r="G1159" i="69"/>
  <c r="H1159" i="69"/>
  <c r="G1160" i="69"/>
  <c r="H1160" i="69"/>
  <c r="G1161" i="69"/>
  <c r="H1161" i="69"/>
  <c r="G1162" i="69"/>
  <c r="H1162" i="69"/>
  <c r="G1163" i="69"/>
  <c r="H1163" i="69"/>
  <c r="G1164" i="69"/>
  <c r="H1164" i="69"/>
  <c r="G1165" i="69"/>
  <c r="H1165" i="69"/>
  <c r="G1166" i="69"/>
  <c r="H1166" i="69"/>
  <c r="G1167" i="69"/>
  <c r="H1167" i="69"/>
  <c r="G1168" i="69"/>
  <c r="H1168" i="69"/>
  <c r="G1169" i="69"/>
  <c r="H1169" i="69"/>
  <c r="G1170" i="69"/>
  <c r="H1170" i="69"/>
  <c r="G1171" i="69"/>
  <c r="H1171" i="69"/>
  <c r="G1172" i="69"/>
  <c r="H1172" i="69"/>
  <c r="G1173" i="69"/>
  <c r="H1173" i="69"/>
  <c r="G1174" i="69"/>
  <c r="H1174" i="69"/>
  <c r="G1175" i="69"/>
  <c r="H1175" i="69"/>
  <c r="G1176" i="69"/>
  <c r="H1176" i="69"/>
  <c r="G1177" i="69"/>
  <c r="H1177" i="69"/>
  <c r="G1178" i="69"/>
  <c r="H1178" i="69"/>
  <c r="G1179" i="69"/>
  <c r="H1179" i="69"/>
  <c r="G1180" i="69"/>
  <c r="H1180" i="69"/>
  <c r="G1181" i="69"/>
  <c r="H1181" i="69"/>
  <c r="G1182" i="69"/>
  <c r="H1182" i="69"/>
  <c r="G1183" i="69"/>
  <c r="H1183" i="69"/>
  <c r="G1184" i="69"/>
  <c r="H1184" i="69"/>
  <c r="G1185" i="69"/>
  <c r="H1185" i="69"/>
  <c r="G1186" i="69"/>
  <c r="H1186" i="69"/>
  <c r="G1187" i="69"/>
  <c r="H1187" i="69"/>
  <c r="G1188" i="69"/>
  <c r="H1188" i="69"/>
  <c r="G1189" i="69"/>
  <c r="H1189" i="69"/>
  <c r="G1190" i="69"/>
  <c r="H1190" i="69"/>
  <c r="G1191" i="69"/>
  <c r="H1191" i="69"/>
  <c r="G1192" i="69"/>
  <c r="H1192" i="69"/>
  <c r="G1193" i="69"/>
  <c r="H1193" i="69"/>
  <c r="G1194" i="69"/>
  <c r="H1194" i="69"/>
  <c r="G1195" i="69"/>
  <c r="H1195" i="69"/>
  <c r="G1196" i="69"/>
  <c r="H1196" i="69"/>
  <c r="G1197" i="69"/>
  <c r="H1197" i="69"/>
  <c r="G1198" i="69"/>
  <c r="H1198" i="69"/>
  <c r="G1199" i="69"/>
  <c r="H1199" i="69"/>
  <c r="G1200" i="69"/>
  <c r="H1200" i="69"/>
  <c r="G1201" i="69"/>
  <c r="H1201" i="69"/>
  <c r="G1202" i="69"/>
  <c r="H1202" i="69"/>
  <c r="G1203" i="69"/>
  <c r="H1203" i="69"/>
  <c r="G1204" i="69"/>
  <c r="H1204" i="69"/>
  <c r="G1205" i="69"/>
  <c r="H1205" i="69"/>
  <c r="G1206" i="69"/>
  <c r="H1206" i="69"/>
  <c r="G1207" i="69"/>
  <c r="H1207" i="69"/>
  <c r="G1208" i="69"/>
  <c r="H1208" i="69"/>
  <c r="G1209" i="69"/>
  <c r="H1209" i="69"/>
  <c r="G1210" i="69"/>
  <c r="H1210" i="69"/>
  <c r="G1211" i="69"/>
  <c r="H1211" i="69"/>
  <c r="G1212" i="69"/>
  <c r="H1212" i="69"/>
  <c r="G1213" i="69"/>
  <c r="H1213" i="69"/>
  <c r="G1214" i="69"/>
  <c r="H1214" i="69"/>
  <c r="G1215" i="69"/>
  <c r="H1215" i="69"/>
  <c r="G1216" i="69"/>
  <c r="H1216" i="69"/>
  <c r="G1217" i="69"/>
  <c r="H1217" i="69"/>
  <c r="G1218" i="69"/>
  <c r="H1218" i="69"/>
  <c r="G1219" i="69"/>
  <c r="H1219" i="69"/>
  <c r="G1220" i="69"/>
  <c r="H1220" i="69"/>
  <c r="G1221" i="69"/>
  <c r="H1221" i="69"/>
  <c r="G1222" i="69"/>
  <c r="H1222" i="69"/>
  <c r="G1223" i="69"/>
  <c r="H1223" i="69"/>
  <c r="G1224" i="69"/>
  <c r="H1224" i="69"/>
  <c r="G1225" i="69"/>
  <c r="H1225" i="69"/>
  <c r="G1226" i="69"/>
  <c r="H1226" i="69"/>
  <c r="G1227" i="69"/>
  <c r="H1227" i="69"/>
  <c r="G1228" i="69"/>
  <c r="H1228" i="69"/>
  <c r="G1229" i="69"/>
  <c r="H1229" i="69"/>
  <c r="G1230" i="69"/>
  <c r="H1230" i="69"/>
  <c r="G1231" i="69"/>
  <c r="H1231" i="69"/>
  <c r="G1232" i="69"/>
  <c r="H1232" i="69"/>
  <c r="G1233" i="69"/>
  <c r="H1233" i="69"/>
  <c r="G1234" i="69"/>
  <c r="H1234" i="69"/>
  <c r="G1235" i="69"/>
  <c r="H1235" i="69"/>
  <c r="G1236" i="69"/>
  <c r="H1236" i="69"/>
  <c r="G1237" i="69"/>
  <c r="H1237" i="69"/>
  <c r="G1238" i="69"/>
  <c r="H1238" i="69"/>
  <c r="G1239" i="69"/>
  <c r="H1239" i="69"/>
  <c r="G1240" i="69"/>
  <c r="H1240" i="69"/>
  <c r="G1241" i="69"/>
  <c r="H1241" i="69"/>
  <c r="G1242" i="69"/>
  <c r="H1242" i="69"/>
  <c r="G1243" i="69"/>
  <c r="H1243" i="69"/>
  <c r="G1244" i="69"/>
  <c r="H1244" i="69"/>
  <c r="G1245" i="69"/>
  <c r="H1245" i="69"/>
  <c r="G1246" i="69"/>
  <c r="H1246" i="69"/>
  <c r="G1247" i="69"/>
  <c r="H1247" i="69"/>
  <c r="G1248" i="69"/>
  <c r="H1248" i="69"/>
  <c r="G1249" i="69"/>
  <c r="H1249" i="69"/>
  <c r="G1250" i="69"/>
  <c r="H1250" i="69"/>
  <c r="G1251" i="69"/>
  <c r="H1251" i="69"/>
  <c r="G1252" i="69"/>
  <c r="H1252" i="69"/>
  <c r="G1253" i="69"/>
  <c r="H1253" i="69"/>
  <c r="G1254" i="69"/>
  <c r="H1254" i="69"/>
  <c r="G1255" i="69"/>
  <c r="H1255" i="69"/>
  <c r="G1256" i="69"/>
  <c r="H1256" i="69"/>
  <c r="G1257" i="69"/>
  <c r="H1257" i="69"/>
  <c r="G1258" i="69"/>
  <c r="H1258" i="69"/>
  <c r="G1259" i="69"/>
  <c r="H1259" i="69"/>
  <c r="G1260" i="69"/>
  <c r="H1260" i="69"/>
  <c r="G1261" i="69"/>
  <c r="H1261" i="69"/>
  <c r="G1262" i="69"/>
  <c r="H1262" i="69"/>
  <c r="G1263" i="69"/>
  <c r="H1263" i="69"/>
  <c r="G1264" i="69"/>
  <c r="H1264" i="69"/>
  <c r="G1265" i="69"/>
  <c r="H1265" i="69"/>
  <c r="G1266" i="69"/>
  <c r="H1266" i="69"/>
  <c r="G1267" i="69"/>
  <c r="H1267" i="69"/>
  <c r="G1268" i="69"/>
  <c r="H1268" i="69"/>
  <c r="G1269" i="69"/>
  <c r="H1269" i="69"/>
  <c r="G1270" i="69"/>
  <c r="H1270" i="69"/>
  <c r="G1271" i="69"/>
  <c r="H1271" i="69"/>
  <c r="G1272" i="69"/>
  <c r="H1272" i="69"/>
  <c r="G1273" i="69"/>
  <c r="H1273" i="69"/>
  <c r="G1274" i="69"/>
  <c r="H1274" i="69"/>
  <c r="G1275" i="69"/>
  <c r="H1275" i="69"/>
  <c r="G1276" i="69"/>
  <c r="H1276" i="69"/>
  <c r="G1277" i="69"/>
  <c r="H1277" i="69"/>
  <c r="G1278" i="69"/>
  <c r="H1278" i="69"/>
  <c r="G1279" i="69"/>
  <c r="H1279" i="69"/>
  <c r="G1280" i="69"/>
  <c r="H1280" i="69"/>
  <c r="G1281" i="69"/>
  <c r="H1281" i="69"/>
  <c r="G1282" i="69"/>
  <c r="H1282" i="69"/>
  <c r="G1283" i="69"/>
  <c r="H1283" i="69"/>
  <c r="G1284" i="69"/>
  <c r="H1284" i="69"/>
  <c r="G1285" i="69"/>
  <c r="H1285" i="69"/>
  <c r="G1286" i="69"/>
  <c r="H1286" i="69"/>
  <c r="G1287" i="69"/>
  <c r="H1287" i="69"/>
  <c r="G1288" i="69"/>
  <c r="H1288" i="69"/>
  <c r="G1289" i="69"/>
  <c r="H1289" i="69"/>
  <c r="G1290" i="69"/>
  <c r="H1290" i="69"/>
  <c r="G1291" i="69"/>
  <c r="H1291" i="69"/>
  <c r="G1292" i="69"/>
  <c r="H1292" i="69"/>
  <c r="G1293" i="69"/>
  <c r="H1293" i="69"/>
  <c r="G1294" i="69"/>
  <c r="H1294" i="69"/>
  <c r="G1295" i="69"/>
  <c r="H1295" i="69"/>
  <c r="G1296" i="69"/>
  <c r="H1296" i="69"/>
  <c r="G1297" i="69"/>
  <c r="H1297" i="69"/>
  <c r="G1298" i="69"/>
  <c r="H1298" i="69"/>
  <c r="G1299" i="69"/>
  <c r="H1299" i="69"/>
  <c r="G1300" i="69"/>
  <c r="H1300" i="69"/>
  <c r="G1301" i="69"/>
  <c r="H1301" i="69"/>
  <c r="G1302" i="69"/>
  <c r="H1302" i="69"/>
  <c r="G1303" i="69"/>
  <c r="H1303" i="69"/>
  <c r="G1304" i="69"/>
  <c r="H1304" i="69"/>
  <c r="G1305" i="69"/>
  <c r="H1305" i="69"/>
  <c r="G1306" i="69"/>
  <c r="H1306" i="69"/>
  <c r="G1307" i="69"/>
  <c r="H1307" i="69"/>
  <c r="G1308" i="69"/>
  <c r="H1308" i="69"/>
  <c r="G1309" i="69"/>
  <c r="H1309" i="69"/>
  <c r="G1310" i="69"/>
  <c r="H1310" i="69"/>
  <c r="G1311" i="69"/>
  <c r="H1311" i="69"/>
  <c r="G1312" i="69"/>
  <c r="H1312" i="69"/>
  <c r="G1313" i="69"/>
  <c r="H1313" i="69"/>
  <c r="G1314" i="69"/>
  <c r="H1314" i="69"/>
  <c r="G1315" i="69"/>
  <c r="H1315" i="69"/>
  <c r="G1316" i="69"/>
  <c r="H1316" i="69"/>
  <c r="G1317" i="69"/>
  <c r="H1317" i="69"/>
  <c r="G1318" i="69"/>
  <c r="H1318" i="69"/>
  <c r="G1319" i="69"/>
  <c r="H1319" i="69"/>
  <c r="G1320" i="69"/>
  <c r="H1320" i="69"/>
  <c r="G1321" i="69"/>
  <c r="H1321" i="69"/>
  <c r="G1322" i="69"/>
  <c r="H1322" i="69"/>
  <c r="G1323" i="69"/>
  <c r="H1323" i="69"/>
  <c r="G1324" i="69"/>
  <c r="H1324" i="69"/>
  <c r="G1325" i="69"/>
  <c r="H1325" i="69"/>
  <c r="G1326" i="69"/>
  <c r="H1326" i="69"/>
  <c r="G1327" i="69"/>
  <c r="H1327" i="69"/>
  <c r="G1328" i="69"/>
  <c r="H1328" i="69"/>
  <c r="G1329" i="69"/>
  <c r="H1329" i="69"/>
  <c r="G1330" i="69"/>
  <c r="H1330" i="69"/>
  <c r="G1331" i="69"/>
  <c r="H1331" i="69"/>
  <c r="G1332" i="69"/>
  <c r="H1332" i="69"/>
  <c r="G1333" i="69"/>
  <c r="H1333" i="69"/>
  <c r="G1334" i="69"/>
  <c r="H1334" i="69"/>
  <c r="G1335" i="69"/>
  <c r="H1335" i="69"/>
  <c r="G1336" i="69"/>
  <c r="H1336" i="69"/>
  <c r="G1337" i="69"/>
  <c r="H1337" i="69"/>
  <c r="G1338" i="69"/>
  <c r="H1338" i="69"/>
  <c r="G1339" i="69"/>
  <c r="H1339" i="69"/>
  <c r="G1340" i="69"/>
  <c r="H1340" i="69"/>
  <c r="G1341" i="69"/>
  <c r="H1341" i="69"/>
  <c r="G1342" i="69"/>
  <c r="H1342" i="69"/>
  <c r="G1343" i="69"/>
  <c r="H1343" i="69"/>
  <c r="G1344" i="69"/>
  <c r="H1344" i="69"/>
  <c r="G1345" i="69"/>
  <c r="H1345" i="69"/>
  <c r="G1346" i="69"/>
  <c r="H1346" i="69"/>
  <c r="G1347" i="69"/>
  <c r="H1347" i="69"/>
  <c r="G1348" i="69"/>
  <c r="H1348" i="69"/>
  <c r="G1349" i="69"/>
  <c r="H1349" i="69"/>
  <c r="G1350" i="69"/>
  <c r="H1350" i="69"/>
  <c r="G1351" i="69"/>
  <c r="H1351" i="69"/>
  <c r="G1352" i="69"/>
  <c r="H1352" i="69"/>
  <c r="G1353" i="69"/>
  <c r="H1353" i="69"/>
  <c r="G1354" i="69"/>
  <c r="H1354" i="69"/>
  <c r="G1355" i="69"/>
  <c r="H1355" i="69"/>
  <c r="G1356" i="69"/>
  <c r="H1356" i="69"/>
  <c r="G1357" i="69"/>
  <c r="H1357" i="69"/>
  <c r="G1358" i="69"/>
  <c r="H1358" i="69"/>
  <c r="G1359" i="69"/>
  <c r="H1359" i="69"/>
  <c r="G1360" i="69"/>
  <c r="H1360" i="69"/>
  <c r="G1361" i="69"/>
  <c r="H1361" i="69"/>
  <c r="G1362" i="69"/>
  <c r="H1362" i="69"/>
  <c r="G1363" i="69"/>
  <c r="H1363" i="69"/>
  <c r="G1364" i="69"/>
  <c r="H1364" i="69"/>
  <c r="G1365" i="69"/>
  <c r="H1365" i="69"/>
  <c r="G1366" i="69"/>
  <c r="H1366" i="69"/>
  <c r="G1367" i="69"/>
  <c r="H1367" i="69"/>
  <c r="G1368" i="69"/>
  <c r="H1368" i="69"/>
  <c r="G1369" i="69"/>
  <c r="H1369" i="69"/>
  <c r="G1370" i="69"/>
  <c r="H1370" i="69"/>
  <c r="G1371" i="69"/>
  <c r="H1371" i="69"/>
  <c r="G1372" i="69"/>
  <c r="H1372" i="69"/>
  <c r="G1373" i="69"/>
  <c r="H1373" i="69"/>
  <c r="G1374" i="69"/>
  <c r="H1374" i="69"/>
  <c r="G1375" i="69"/>
  <c r="H1375" i="69"/>
  <c r="G1376" i="69"/>
  <c r="H1376" i="69"/>
  <c r="G1377" i="69"/>
  <c r="H1377" i="69"/>
  <c r="G1378" i="69"/>
  <c r="H1378" i="69"/>
  <c r="G1379" i="69"/>
  <c r="H1379" i="69"/>
  <c r="G1380" i="69"/>
  <c r="H1380" i="69"/>
  <c r="G1381" i="69"/>
  <c r="H1381" i="69"/>
  <c r="G1382" i="69"/>
  <c r="H1382" i="69"/>
  <c r="G1383" i="69"/>
  <c r="H1383" i="69"/>
  <c r="G1384" i="69"/>
  <c r="H1384" i="69"/>
  <c r="G1385" i="69"/>
  <c r="H1385" i="69"/>
  <c r="G1386" i="69"/>
  <c r="H1386" i="69"/>
  <c r="G1387" i="69"/>
  <c r="H1387" i="69"/>
  <c r="G1388" i="69"/>
  <c r="H1388" i="69"/>
  <c r="G1389" i="69"/>
  <c r="H1389" i="69"/>
  <c r="G1390" i="69"/>
  <c r="H1390" i="69"/>
  <c r="G1391" i="69"/>
  <c r="H1391" i="69"/>
  <c r="G1392" i="69"/>
  <c r="H1392" i="69"/>
  <c r="G1393" i="69"/>
  <c r="H1393" i="69"/>
  <c r="G1394" i="69"/>
  <c r="H1394" i="69"/>
  <c r="G1395" i="69"/>
  <c r="H1395" i="69"/>
  <c r="G1396" i="69"/>
  <c r="H1396" i="69"/>
  <c r="G1397" i="69"/>
  <c r="H1397" i="69"/>
  <c r="G1398" i="69"/>
  <c r="H1398" i="69"/>
  <c r="G1399" i="69"/>
  <c r="H1399" i="69"/>
  <c r="G1400" i="69"/>
  <c r="H1400" i="69"/>
  <c r="G1401" i="69"/>
  <c r="H1401" i="69"/>
  <c r="G1402" i="69"/>
  <c r="H1402" i="69"/>
  <c r="G1403" i="69"/>
  <c r="H1403" i="69"/>
  <c r="G1404" i="69"/>
  <c r="H1404" i="69"/>
  <c r="G1405" i="69"/>
  <c r="H1405" i="69"/>
  <c r="G1406" i="69"/>
  <c r="H1406" i="69"/>
  <c r="G1407" i="69"/>
  <c r="H1407" i="69"/>
  <c r="G1408" i="69"/>
  <c r="H1408" i="69"/>
  <c r="G1409" i="69"/>
  <c r="H1409" i="69"/>
  <c r="G1410" i="69"/>
  <c r="H1410" i="69"/>
  <c r="G1411" i="69"/>
  <c r="H1411" i="69"/>
  <c r="G1412" i="69"/>
  <c r="H1412" i="69"/>
  <c r="G1413" i="69"/>
  <c r="H1413" i="69"/>
  <c r="G1414" i="69"/>
  <c r="H1414" i="69"/>
  <c r="G1415" i="69"/>
  <c r="H1415" i="69"/>
  <c r="G1416" i="69"/>
  <c r="H1416" i="69"/>
  <c r="G1417" i="69"/>
  <c r="H1417" i="69"/>
  <c r="G1418" i="69"/>
  <c r="H1418" i="69"/>
  <c r="G1419" i="69"/>
  <c r="H1419" i="69"/>
  <c r="G1420" i="69"/>
  <c r="H1420" i="69"/>
  <c r="G1421" i="69"/>
  <c r="H1421" i="69"/>
  <c r="G1422" i="69"/>
  <c r="H1422" i="69"/>
  <c r="G1423" i="69"/>
  <c r="H1423" i="69"/>
  <c r="G1424" i="69"/>
  <c r="H1424" i="69"/>
  <c r="G1425" i="69"/>
  <c r="H1425" i="69"/>
  <c r="G1426" i="69"/>
  <c r="H1426" i="69"/>
  <c r="G1427" i="69"/>
  <c r="H1427" i="69"/>
  <c r="G1428" i="69"/>
  <c r="H1428" i="69"/>
  <c r="G1429" i="69"/>
  <c r="H1429" i="69"/>
  <c r="G1430" i="69"/>
  <c r="H1430" i="69"/>
  <c r="G1431" i="69"/>
  <c r="H1431" i="69"/>
  <c r="G1432" i="69"/>
  <c r="H1432" i="69"/>
  <c r="G1433" i="69"/>
  <c r="H1433" i="69"/>
  <c r="G1434" i="69"/>
  <c r="H1434" i="69"/>
  <c r="G1435" i="69"/>
  <c r="H1435" i="69"/>
  <c r="G1436" i="69"/>
  <c r="H1436" i="69"/>
  <c r="G1437" i="69"/>
  <c r="H1437" i="69"/>
  <c r="G1438" i="69"/>
  <c r="H1438" i="69"/>
  <c r="G1439" i="69"/>
  <c r="H1439" i="69"/>
  <c r="G1440" i="69"/>
  <c r="H1440" i="69"/>
  <c r="G1441" i="69"/>
  <c r="H1441" i="69"/>
  <c r="G1442" i="69"/>
  <c r="H1442" i="69"/>
  <c r="G1443" i="69"/>
  <c r="H1443" i="69"/>
  <c r="G1444" i="69"/>
  <c r="H1444" i="69"/>
  <c r="G1445" i="69"/>
  <c r="H1445" i="69"/>
  <c r="G1446" i="69"/>
  <c r="H1446" i="69"/>
  <c r="G1447" i="69"/>
  <c r="H1447" i="69"/>
  <c r="G1448" i="69"/>
  <c r="H1448" i="69"/>
  <c r="G1449" i="69"/>
  <c r="H1449" i="69"/>
  <c r="G1450" i="69"/>
  <c r="H1450" i="69"/>
  <c r="G1451" i="69"/>
  <c r="H1451" i="69"/>
  <c r="G1452" i="69"/>
  <c r="H1452" i="69"/>
  <c r="G1453" i="69"/>
  <c r="H1453" i="69"/>
  <c r="G1454" i="69"/>
  <c r="H1454" i="69"/>
  <c r="G1455" i="69"/>
  <c r="H1455" i="69"/>
  <c r="G1456" i="69"/>
  <c r="H1456" i="69"/>
  <c r="G1457" i="69"/>
  <c r="H1457" i="69"/>
  <c r="G1458" i="69"/>
  <c r="H1458" i="69"/>
  <c r="G1459" i="69"/>
  <c r="H1459" i="69"/>
  <c r="G1460" i="69"/>
  <c r="H1460" i="69"/>
  <c r="G1461" i="69"/>
  <c r="H1461" i="69"/>
  <c r="G1462" i="69"/>
  <c r="H1462" i="69"/>
  <c r="G1463" i="69"/>
  <c r="H1463" i="69"/>
  <c r="G1464" i="69"/>
  <c r="H1464" i="69"/>
  <c r="G1465" i="69"/>
  <c r="H1465" i="69"/>
  <c r="G1466" i="69"/>
  <c r="H1466" i="69"/>
  <c r="G1467" i="69"/>
  <c r="H1467" i="69"/>
  <c r="G1468" i="69"/>
  <c r="H1468" i="69"/>
  <c r="G1469" i="69"/>
  <c r="H1469" i="69"/>
  <c r="G1470" i="69"/>
  <c r="H1470" i="69"/>
  <c r="G1471" i="69"/>
  <c r="H1471" i="69"/>
  <c r="G1472" i="69"/>
  <c r="H1472" i="69"/>
  <c r="G1473" i="69"/>
  <c r="H1473" i="69"/>
  <c r="G1474" i="69"/>
  <c r="H1474" i="69"/>
  <c r="G1475" i="69"/>
  <c r="H1475" i="69"/>
  <c r="G1476" i="69"/>
  <c r="H1476" i="69"/>
  <c r="G1477" i="69"/>
  <c r="H1477" i="69"/>
  <c r="G1478" i="69"/>
  <c r="H1478" i="69"/>
  <c r="G1479" i="69"/>
  <c r="H1479" i="69"/>
  <c r="G1480" i="69"/>
  <c r="H1480" i="69"/>
  <c r="G1481" i="69"/>
  <c r="H1481" i="69"/>
  <c r="G1482" i="69"/>
  <c r="H1482" i="69"/>
  <c r="G1483" i="69"/>
  <c r="H1483" i="69"/>
  <c r="G1484" i="69"/>
  <c r="H1484" i="69"/>
  <c r="G1485" i="69"/>
  <c r="H1485" i="69"/>
  <c r="G1486" i="69"/>
  <c r="H1486" i="69"/>
  <c r="G1487" i="69"/>
  <c r="H1487" i="69"/>
  <c r="G1488" i="69"/>
  <c r="H1488" i="69"/>
  <c r="G1489" i="69"/>
  <c r="H1489" i="69"/>
  <c r="G1490" i="69"/>
  <c r="H1490" i="69"/>
  <c r="G1491" i="69"/>
  <c r="H1491" i="69"/>
  <c r="G1492" i="69"/>
  <c r="H1492" i="69"/>
  <c r="G1493" i="69"/>
  <c r="H1493" i="69"/>
  <c r="G1494" i="69"/>
  <c r="H1494" i="69"/>
  <c r="G1495" i="69"/>
  <c r="H1495" i="69"/>
  <c r="G1496" i="69"/>
  <c r="H1496" i="69"/>
  <c r="G1497" i="69"/>
  <c r="H1497" i="69"/>
  <c r="G1498" i="69"/>
  <c r="H1498" i="69"/>
  <c r="G1499" i="69"/>
  <c r="H1499" i="69"/>
  <c r="G1500" i="69"/>
  <c r="H1500" i="69"/>
  <c r="G1501" i="69"/>
  <c r="H1501" i="69"/>
  <c r="G1502" i="69"/>
  <c r="H1502" i="69"/>
  <c r="G1503" i="69"/>
  <c r="H1503" i="69"/>
  <c r="G1504" i="69"/>
  <c r="H1504" i="69"/>
  <c r="G1505" i="69"/>
  <c r="H1505" i="69"/>
  <c r="G1506" i="69"/>
  <c r="H1506" i="69"/>
  <c r="G1507" i="69"/>
  <c r="H1507" i="69"/>
  <c r="G1508" i="69"/>
  <c r="H1508" i="69"/>
  <c r="G1509" i="69"/>
  <c r="H1509" i="69"/>
  <c r="G1510" i="69"/>
  <c r="H1510" i="69"/>
  <c r="G1511" i="69"/>
  <c r="H1511" i="69"/>
  <c r="G1512" i="69"/>
  <c r="H1512" i="69"/>
  <c r="G1513" i="69"/>
  <c r="H1513" i="69"/>
  <c r="G1514" i="69"/>
  <c r="H1514" i="69"/>
  <c r="G1515" i="69"/>
  <c r="H1515" i="69"/>
  <c r="G1516" i="69"/>
  <c r="H1516" i="69"/>
  <c r="G1517" i="69"/>
  <c r="H1517" i="69"/>
  <c r="G1518" i="69"/>
  <c r="H1518" i="69"/>
  <c r="G1519" i="69"/>
  <c r="H1519" i="69"/>
  <c r="G1520" i="69"/>
  <c r="H1520" i="69"/>
  <c r="G1521" i="69"/>
  <c r="H1521" i="69"/>
  <c r="G1522" i="69"/>
  <c r="H1522" i="69"/>
  <c r="G1523" i="69"/>
  <c r="H1523" i="69"/>
  <c r="G1524" i="69"/>
  <c r="H1524" i="69"/>
  <c r="G1525" i="69"/>
  <c r="H1525" i="69"/>
  <c r="G1526" i="69"/>
  <c r="H1526" i="69"/>
  <c r="G1527" i="69"/>
  <c r="H1527" i="69"/>
  <c r="G1528" i="69"/>
  <c r="H1528" i="69"/>
  <c r="G1529" i="69"/>
  <c r="H1529" i="69"/>
  <c r="G1530" i="69"/>
  <c r="H1530" i="69"/>
  <c r="G1531" i="69"/>
  <c r="H1531" i="69"/>
  <c r="G1532" i="69"/>
  <c r="H1532" i="69"/>
  <c r="G1533" i="69"/>
  <c r="H1533" i="69"/>
  <c r="G1534" i="69"/>
  <c r="H1534" i="69"/>
  <c r="G1535" i="69"/>
  <c r="H1535" i="69"/>
  <c r="G1536" i="69"/>
  <c r="H1536" i="69"/>
  <c r="G1537" i="69"/>
  <c r="H1537" i="69"/>
  <c r="G1538" i="69"/>
  <c r="H1538" i="69"/>
  <c r="G1539" i="69"/>
  <c r="H1539" i="69"/>
  <c r="G1540" i="69"/>
  <c r="H1540" i="69"/>
  <c r="G1541" i="69"/>
  <c r="H1541" i="69"/>
  <c r="G1542" i="69"/>
  <c r="H1542" i="69"/>
  <c r="G1543" i="69"/>
  <c r="H1543" i="69"/>
  <c r="G1544" i="69"/>
  <c r="H1544" i="69"/>
  <c r="G1545" i="69"/>
  <c r="H1545" i="69"/>
  <c r="G1546" i="69"/>
  <c r="H1546" i="69"/>
  <c r="G1547" i="69"/>
  <c r="H1547" i="69"/>
  <c r="G1548" i="69"/>
  <c r="H1548" i="69"/>
  <c r="G1549" i="69"/>
  <c r="H1549" i="69"/>
  <c r="G1550" i="69"/>
  <c r="H1550" i="69"/>
  <c r="G1551" i="69"/>
  <c r="H1551" i="69"/>
  <c r="G1552" i="69"/>
  <c r="H1552" i="69"/>
  <c r="G1553" i="69"/>
  <c r="H1553" i="69"/>
  <c r="G1554" i="69"/>
  <c r="H1554" i="69"/>
  <c r="G1555" i="69"/>
  <c r="H1555" i="69"/>
  <c r="G1556" i="69"/>
  <c r="H1556" i="69"/>
  <c r="G1557" i="69"/>
  <c r="H1557" i="69"/>
  <c r="G1558" i="69"/>
  <c r="H1558" i="69"/>
  <c r="G1559" i="69"/>
  <c r="H1559" i="69"/>
  <c r="G1560" i="69"/>
  <c r="H1560" i="69"/>
  <c r="G1561" i="69"/>
  <c r="H1561" i="69"/>
  <c r="G1562" i="69"/>
  <c r="H1562" i="69"/>
  <c r="G1563" i="69"/>
  <c r="H1563" i="69"/>
  <c r="G1564" i="69"/>
  <c r="H1564" i="69"/>
  <c r="G1565" i="69"/>
  <c r="H1565" i="69"/>
  <c r="G1566" i="69"/>
  <c r="H1566" i="69"/>
  <c r="G1567" i="69"/>
  <c r="H1567" i="69"/>
  <c r="G1568" i="69"/>
  <c r="H1568" i="69"/>
  <c r="G1569" i="69"/>
  <c r="H1569" i="69"/>
  <c r="G1570" i="69"/>
  <c r="H1570" i="69"/>
  <c r="G1571" i="69"/>
  <c r="H1571" i="69"/>
  <c r="G1572" i="69"/>
  <c r="H1572" i="69"/>
  <c r="G1573" i="69"/>
  <c r="H1573" i="69"/>
  <c r="G1574" i="69"/>
  <c r="H1574" i="69"/>
  <c r="G1575" i="69"/>
  <c r="H1575" i="69"/>
  <c r="G1576" i="69"/>
  <c r="H1576" i="69"/>
  <c r="G1577" i="69"/>
  <c r="H1577" i="69"/>
  <c r="G1578" i="69"/>
  <c r="H1578" i="69"/>
  <c r="G1579" i="69"/>
  <c r="H1579" i="69"/>
  <c r="G1580" i="69"/>
  <c r="H1580" i="69"/>
  <c r="G1581" i="69"/>
  <c r="H1581" i="69"/>
  <c r="G1582" i="69"/>
  <c r="H1582" i="69"/>
  <c r="G1583" i="69"/>
  <c r="H1583" i="69"/>
  <c r="G1584" i="69"/>
  <c r="H1584" i="69"/>
  <c r="G1585" i="69"/>
  <c r="H1585" i="69"/>
  <c r="G1586" i="69"/>
  <c r="H1586" i="69"/>
  <c r="G1587" i="69"/>
  <c r="H1587" i="69"/>
  <c r="G1588" i="69"/>
  <c r="H1588" i="69"/>
  <c r="G1589" i="69"/>
  <c r="H1589" i="69"/>
  <c r="G1590" i="69"/>
  <c r="H1590" i="69"/>
  <c r="G1591" i="69"/>
  <c r="H1591" i="69"/>
  <c r="G1592" i="69"/>
  <c r="H1592" i="69"/>
  <c r="G1593" i="69"/>
  <c r="H1593" i="69"/>
  <c r="G1594" i="69"/>
  <c r="H1594" i="69"/>
  <c r="G1595" i="69"/>
  <c r="H1595" i="69"/>
  <c r="G1596" i="69"/>
  <c r="H1596" i="69"/>
  <c r="G1597" i="69"/>
  <c r="H1597" i="69"/>
  <c r="G1598" i="69"/>
  <c r="H1598" i="69"/>
  <c r="G1599" i="69"/>
  <c r="H1599" i="69"/>
  <c r="G1600" i="69"/>
  <c r="H1600" i="69"/>
  <c r="G1601" i="69"/>
  <c r="H1601" i="69"/>
  <c r="G1602" i="69"/>
  <c r="H1602" i="69"/>
  <c r="G1603" i="69"/>
  <c r="H1603" i="69"/>
  <c r="G1604" i="69"/>
  <c r="H1604" i="69"/>
  <c r="G1605" i="69"/>
  <c r="H1605" i="69"/>
  <c r="G1606" i="69"/>
  <c r="H1606" i="69"/>
  <c r="G1607" i="69"/>
  <c r="H1607" i="69"/>
  <c r="G1608" i="69"/>
  <c r="H1608" i="69"/>
  <c r="G1609" i="69"/>
  <c r="H1609" i="69"/>
  <c r="G1610" i="69"/>
  <c r="H1610" i="69"/>
  <c r="G1611" i="69"/>
  <c r="H1611" i="69"/>
  <c r="G1612" i="69"/>
  <c r="H1612" i="69"/>
  <c r="G1613" i="69"/>
  <c r="H1613" i="69"/>
  <c r="G1614" i="69"/>
  <c r="H1614" i="69"/>
  <c r="G1615" i="69"/>
  <c r="H1615" i="69"/>
  <c r="G1616" i="69"/>
  <c r="H1616" i="69"/>
  <c r="G1617" i="69"/>
  <c r="H1617" i="69"/>
  <c r="G1618" i="69"/>
  <c r="H1618" i="69"/>
  <c r="G1619" i="69"/>
  <c r="H1619" i="69"/>
  <c r="G1620" i="69"/>
  <c r="H1620" i="69"/>
  <c r="G1621" i="69"/>
  <c r="H1621" i="69"/>
  <c r="G1622" i="69"/>
  <c r="H1622" i="69"/>
  <c r="G1623" i="69"/>
  <c r="H1623" i="69"/>
  <c r="G1624" i="69"/>
  <c r="H1624" i="69"/>
  <c r="G1625" i="69"/>
  <c r="H1625" i="69"/>
  <c r="G1626" i="69"/>
  <c r="H1626" i="69"/>
  <c r="G1627" i="69"/>
  <c r="H1627" i="69"/>
  <c r="G1628" i="69"/>
  <c r="H1628" i="69"/>
  <c r="G1629" i="69"/>
  <c r="H1629" i="69"/>
  <c r="G1630" i="69"/>
  <c r="H1630" i="69"/>
  <c r="G1631" i="69"/>
  <c r="H1631" i="69"/>
  <c r="G1632" i="69"/>
  <c r="H1632" i="69"/>
  <c r="G1633" i="69"/>
  <c r="H1633" i="69"/>
  <c r="G1634" i="69"/>
  <c r="H1634" i="69"/>
  <c r="G1635" i="69"/>
  <c r="H1635" i="69"/>
  <c r="G1636" i="69"/>
  <c r="H1636" i="69"/>
  <c r="G1637" i="69"/>
  <c r="H1637" i="69"/>
  <c r="G1638" i="69"/>
  <c r="H1638" i="69"/>
  <c r="G1639" i="69"/>
  <c r="H1639" i="69"/>
  <c r="G1640" i="69"/>
  <c r="H1640" i="69"/>
  <c r="G1641" i="69"/>
  <c r="H1641" i="69"/>
  <c r="G1642" i="69"/>
  <c r="H1642" i="69"/>
  <c r="G1643" i="69"/>
  <c r="H1643" i="69"/>
  <c r="G1644" i="69"/>
  <c r="H1644" i="69"/>
  <c r="G1645" i="69"/>
  <c r="H1645" i="69"/>
  <c r="G1646" i="69"/>
  <c r="H1646" i="69"/>
  <c r="G1647" i="69"/>
  <c r="H1647" i="69"/>
  <c r="G1648" i="69"/>
  <c r="H1648" i="69"/>
  <c r="G1649" i="69"/>
  <c r="H1649" i="69"/>
  <c r="G1650" i="69"/>
  <c r="H1650" i="69"/>
  <c r="G1651" i="69"/>
  <c r="H1651" i="69"/>
  <c r="G1652" i="69"/>
  <c r="H1652" i="69"/>
  <c r="G1653" i="69"/>
  <c r="H1653" i="69"/>
  <c r="G1654" i="69"/>
  <c r="H1654" i="69"/>
  <c r="G1655" i="69"/>
  <c r="H1655" i="69"/>
  <c r="G1656" i="69"/>
  <c r="H1656" i="69"/>
  <c r="G1657" i="69"/>
  <c r="H1657" i="69"/>
  <c r="G1658" i="69"/>
  <c r="H1658" i="69"/>
  <c r="G1659" i="69"/>
  <c r="H1659" i="69"/>
  <c r="G1660" i="69"/>
  <c r="H1660" i="69"/>
  <c r="G1661" i="69"/>
  <c r="H1661" i="69"/>
  <c r="G1662" i="69"/>
  <c r="H1662" i="69"/>
  <c r="G1663" i="69"/>
  <c r="H1663" i="69"/>
  <c r="G1664" i="69"/>
  <c r="H1664" i="69"/>
  <c r="G1665" i="69"/>
  <c r="H1665" i="69"/>
  <c r="G1666" i="69"/>
  <c r="H1666" i="69"/>
  <c r="G1667" i="69"/>
  <c r="H1667" i="69"/>
  <c r="G1668" i="69"/>
  <c r="H1668" i="69"/>
  <c r="G1669" i="69"/>
  <c r="H1669" i="69"/>
  <c r="G1670" i="69"/>
  <c r="H1670" i="69"/>
  <c r="G1671" i="69"/>
  <c r="H1671" i="69"/>
  <c r="G1672" i="69"/>
  <c r="H1672" i="69"/>
  <c r="G1673" i="69"/>
  <c r="H1673" i="69"/>
  <c r="G1674" i="69"/>
  <c r="H1674" i="69"/>
  <c r="G1675" i="69"/>
  <c r="H1675" i="69"/>
  <c r="G1676" i="69"/>
  <c r="H1676" i="69"/>
  <c r="G1677" i="69"/>
  <c r="H1677" i="69"/>
  <c r="G1678" i="69"/>
  <c r="H1678" i="69"/>
  <c r="G1679" i="69"/>
  <c r="H1679" i="69"/>
  <c r="G1680" i="69"/>
  <c r="H1680" i="69"/>
  <c r="G1681" i="69"/>
  <c r="H1681" i="69"/>
  <c r="G1682" i="69"/>
  <c r="H1682" i="69"/>
  <c r="G1683" i="69"/>
  <c r="H1683" i="69"/>
  <c r="G1684" i="69"/>
  <c r="H1684" i="69"/>
  <c r="G1685" i="69"/>
  <c r="H1685" i="69"/>
  <c r="G1686" i="69"/>
  <c r="H1686" i="69"/>
  <c r="G1687" i="69"/>
  <c r="H1687" i="69"/>
  <c r="G1688" i="69"/>
  <c r="H1688" i="69"/>
  <c r="G1689" i="69"/>
  <c r="H1689" i="69"/>
  <c r="G1690" i="69"/>
  <c r="H1690" i="69"/>
  <c r="G1691" i="69"/>
  <c r="H1691" i="69"/>
  <c r="G1692" i="69"/>
  <c r="H1692" i="69"/>
  <c r="G1693" i="69"/>
  <c r="H1693" i="69"/>
  <c r="G1694" i="69"/>
  <c r="H1694" i="69"/>
  <c r="G1695" i="69"/>
  <c r="H1695" i="69"/>
  <c r="G1696" i="69"/>
  <c r="H1696" i="69"/>
  <c r="G1697" i="69"/>
  <c r="H1697" i="69"/>
  <c r="G1698" i="69"/>
  <c r="H1698" i="69"/>
  <c r="G1699" i="69"/>
  <c r="H1699" i="69"/>
  <c r="G1700" i="69"/>
  <c r="H1700" i="69"/>
  <c r="G1701" i="69"/>
  <c r="H1701" i="69"/>
  <c r="G1702" i="69"/>
  <c r="H1702" i="69"/>
  <c r="G1703" i="69"/>
  <c r="H1703" i="69"/>
  <c r="G1704" i="69"/>
  <c r="H1704" i="69"/>
  <c r="G1705" i="69"/>
  <c r="H1705" i="69"/>
  <c r="G1706" i="69"/>
  <c r="H1706" i="69"/>
  <c r="G1707" i="69"/>
  <c r="H1707" i="69"/>
  <c r="G1708" i="69"/>
  <c r="H1708" i="69"/>
  <c r="G1709" i="69"/>
  <c r="H1709" i="69"/>
  <c r="G1710" i="69"/>
  <c r="H1710" i="69"/>
  <c r="G1711" i="69"/>
  <c r="H1711" i="69"/>
  <c r="G1712" i="69"/>
  <c r="H1712" i="69"/>
  <c r="G1713" i="69"/>
  <c r="H1713" i="69"/>
  <c r="G1714" i="69"/>
  <c r="H1714" i="69"/>
  <c r="G1715" i="69"/>
  <c r="H1715" i="69"/>
  <c r="G1716" i="69"/>
  <c r="H1716" i="69"/>
  <c r="G1717" i="69"/>
  <c r="H1717" i="69"/>
  <c r="G1718" i="69"/>
  <c r="H1718" i="69"/>
  <c r="G1719" i="69"/>
  <c r="H1719" i="69"/>
  <c r="G1720" i="69"/>
  <c r="H1720" i="69"/>
  <c r="G1721" i="69"/>
  <c r="H1721" i="69"/>
  <c r="G1722" i="69"/>
  <c r="H1722" i="69"/>
  <c r="G1723" i="69"/>
  <c r="H1723" i="69"/>
  <c r="G1724" i="69"/>
  <c r="H1724" i="69"/>
  <c r="G1725" i="69"/>
  <c r="H1725" i="69"/>
  <c r="G1726" i="69"/>
  <c r="H1726" i="69"/>
  <c r="G1727" i="69"/>
  <c r="H1727" i="69"/>
  <c r="G1728" i="69"/>
  <c r="H1728" i="69"/>
  <c r="G1729" i="69"/>
  <c r="H1729" i="69"/>
  <c r="G1730" i="69"/>
  <c r="H1730" i="69"/>
  <c r="G1731" i="69"/>
  <c r="H1731" i="69"/>
  <c r="G1732" i="69"/>
  <c r="H1732" i="69"/>
  <c r="G1733" i="69"/>
  <c r="H1733" i="69"/>
  <c r="G1734" i="69"/>
  <c r="H1734" i="69"/>
  <c r="G1735" i="69"/>
  <c r="H1735" i="69"/>
  <c r="G1736" i="69"/>
  <c r="H1736" i="69"/>
  <c r="G1737" i="69"/>
  <c r="H1737" i="69"/>
  <c r="G1738" i="69"/>
  <c r="H1738" i="69"/>
  <c r="G1739" i="69"/>
  <c r="H1739" i="69"/>
  <c r="G1740" i="69"/>
  <c r="H1740" i="69"/>
  <c r="G1741" i="69"/>
  <c r="H1741" i="69"/>
  <c r="G1742" i="69"/>
  <c r="H1742" i="69"/>
  <c r="G1743" i="69"/>
  <c r="H1743" i="69"/>
  <c r="G1744" i="69"/>
  <c r="H1744" i="69"/>
  <c r="G1745" i="69"/>
  <c r="H1745" i="69"/>
  <c r="G1746" i="69"/>
  <c r="H1746" i="69"/>
  <c r="G1747" i="69"/>
  <c r="H1747" i="69"/>
  <c r="G1748" i="69"/>
  <c r="H1748" i="69"/>
  <c r="G1749" i="69"/>
  <c r="H1749" i="69"/>
  <c r="G1750" i="69"/>
  <c r="H1750" i="69"/>
  <c r="G1751" i="69"/>
  <c r="H1751" i="69"/>
  <c r="G1752" i="69"/>
  <c r="H1752" i="69"/>
  <c r="G1753" i="69"/>
  <c r="H1753" i="69"/>
  <c r="G1754" i="69"/>
  <c r="H1754" i="69"/>
  <c r="G1755" i="69"/>
  <c r="H1755" i="69"/>
  <c r="G1756" i="69"/>
  <c r="H1756" i="69"/>
  <c r="G1757" i="69"/>
  <c r="H1757" i="69"/>
  <c r="G1758" i="69"/>
  <c r="H1758" i="69"/>
  <c r="G1759" i="69"/>
  <c r="H1759" i="69"/>
  <c r="G1760" i="69"/>
  <c r="H1760" i="69"/>
  <c r="G1761" i="69"/>
  <c r="H1761" i="69"/>
  <c r="G1762" i="69"/>
  <c r="H1762" i="69"/>
  <c r="G1763" i="69"/>
  <c r="H1763" i="69"/>
  <c r="G1764" i="69"/>
  <c r="H1764" i="69"/>
  <c r="G1765" i="69"/>
  <c r="H1765" i="69"/>
  <c r="G1766" i="69"/>
  <c r="H1766" i="69"/>
  <c r="G1767" i="69"/>
  <c r="H1767" i="69"/>
  <c r="G1768" i="69"/>
  <c r="H1768" i="69"/>
  <c r="G1769" i="69"/>
  <c r="H1769" i="69"/>
  <c r="G1770" i="69"/>
  <c r="H1770" i="69"/>
  <c r="G1771" i="69"/>
  <c r="H1771" i="69"/>
  <c r="G1772" i="69"/>
  <c r="H1772" i="69"/>
  <c r="G1773" i="69"/>
  <c r="H1773" i="69"/>
  <c r="G1774" i="69"/>
  <c r="H1774" i="69"/>
  <c r="G1775" i="69"/>
  <c r="H1775" i="69"/>
  <c r="G1776" i="69"/>
  <c r="H1776" i="69"/>
  <c r="G1777" i="69"/>
  <c r="H1777" i="69"/>
  <c r="G1778" i="69"/>
  <c r="H1778" i="69"/>
  <c r="G1779" i="69"/>
  <c r="H1779" i="69"/>
  <c r="G1780" i="69"/>
  <c r="H1780" i="69"/>
  <c r="G1781" i="69"/>
  <c r="H1781" i="69"/>
  <c r="G1782" i="69"/>
  <c r="H1782" i="69"/>
  <c r="G1783" i="69"/>
  <c r="H1783" i="69"/>
  <c r="G1784" i="69"/>
  <c r="H1784" i="69"/>
  <c r="G1785" i="69"/>
  <c r="H1785" i="69"/>
  <c r="G1786" i="69"/>
  <c r="H1786" i="69"/>
  <c r="G1787" i="69"/>
  <c r="H1787" i="69"/>
  <c r="G1788" i="69"/>
  <c r="H1788" i="69"/>
  <c r="G1789" i="69"/>
  <c r="H1789" i="69"/>
  <c r="G1790" i="69"/>
  <c r="H1790" i="69"/>
  <c r="G1791" i="69"/>
  <c r="H1791" i="69"/>
  <c r="G1792" i="69"/>
  <c r="H1792" i="69"/>
  <c r="G1793" i="69"/>
  <c r="H1793" i="69"/>
  <c r="G1794" i="69"/>
  <c r="H1794" i="69"/>
  <c r="G1795" i="69"/>
  <c r="H1795" i="69"/>
  <c r="G1796" i="69"/>
  <c r="H1796" i="69"/>
  <c r="G1797" i="69"/>
  <c r="H1797" i="69"/>
  <c r="G1798" i="69"/>
  <c r="H1798" i="69"/>
  <c r="G1799" i="69"/>
  <c r="H1799" i="69"/>
  <c r="G1800" i="69"/>
  <c r="H1800" i="69"/>
  <c r="G1801" i="69"/>
  <c r="H1801" i="69"/>
  <c r="G1802" i="69"/>
  <c r="H1802" i="69"/>
  <c r="G1803" i="69"/>
  <c r="H1803" i="69"/>
  <c r="G1804" i="69"/>
  <c r="H1804" i="69"/>
  <c r="G1805" i="69"/>
  <c r="H1805" i="69"/>
  <c r="G1806" i="69"/>
  <c r="H1806" i="69"/>
  <c r="G1807" i="69"/>
  <c r="H1807" i="69"/>
  <c r="G1808" i="69"/>
  <c r="H1808" i="69"/>
  <c r="G1809" i="69"/>
  <c r="H1809" i="69"/>
  <c r="G1810" i="69"/>
  <c r="H1810" i="69"/>
  <c r="G1811" i="69"/>
  <c r="H1811" i="69"/>
  <c r="G1812" i="69"/>
  <c r="H1812" i="69"/>
  <c r="G1813" i="69"/>
  <c r="H1813" i="69"/>
  <c r="G1814" i="69"/>
  <c r="H1814" i="69"/>
  <c r="G1815" i="69"/>
  <c r="H1815" i="69"/>
  <c r="G1816" i="69"/>
  <c r="H1816" i="69"/>
  <c r="G1817" i="69"/>
  <c r="H1817" i="69"/>
  <c r="G1818" i="69"/>
  <c r="H1818" i="69"/>
  <c r="G1819" i="69"/>
  <c r="H1819" i="69"/>
  <c r="G1820" i="69"/>
  <c r="H1820" i="69"/>
  <c r="G1821" i="69"/>
  <c r="H1821" i="69"/>
  <c r="G1822" i="69"/>
  <c r="H1822" i="69"/>
  <c r="G1823" i="69"/>
  <c r="H1823" i="69"/>
  <c r="G1824" i="69"/>
  <c r="H1824" i="69"/>
  <c r="G1825" i="69"/>
  <c r="H1825" i="69"/>
  <c r="G1826" i="69"/>
  <c r="H1826" i="69"/>
  <c r="G1827" i="69"/>
  <c r="H1827" i="69"/>
  <c r="G1828" i="69"/>
  <c r="H1828" i="69"/>
  <c r="G1829" i="69"/>
  <c r="H1829" i="69"/>
  <c r="G1830" i="69"/>
  <c r="H1830" i="69"/>
  <c r="G1831" i="69"/>
  <c r="H1831" i="69"/>
  <c r="G1832" i="69"/>
  <c r="H1832" i="69"/>
  <c r="G1833" i="69"/>
  <c r="H1833" i="69"/>
  <c r="G1834" i="69"/>
  <c r="H1834" i="69"/>
  <c r="G1835" i="69"/>
  <c r="H1835" i="69"/>
  <c r="G1836" i="69"/>
  <c r="H1836" i="69"/>
  <c r="G1837" i="69"/>
  <c r="H1837" i="69"/>
  <c r="G1838" i="69"/>
  <c r="H1838" i="69"/>
  <c r="G1839" i="69"/>
  <c r="H1839" i="69"/>
  <c r="G1840" i="69"/>
  <c r="H1840" i="69"/>
  <c r="G1841" i="69"/>
  <c r="H1841" i="69"/>
  <c r="G1842" i="69"/>
  <c r="H1842" i="69"/>
  <c r="G1843" i="69"/>
  <c r="H1843" i="69"/>
  <c r="G1844" i="69"/>
  <c r="H1844" i="69"/>
  <c r="G1845" i="69"/>
  <c r="H1845" i="69"/>
  <c r="G1846" i="69"/>
  <c r="H1846" i="69"/>
  <c r="G1847" i="69"/>
  <c r="H1847" i="69"/>
  <c r="G1848" i="69"/>
  <c r="H1848" i="69"/>
  <c r="G1849" i="69"/>
  <c r="H1849" i="69"/>
  <c r="G1850" i="69"/>
  <c r="H1850" i="69"/>
  <c r="G1851" i="69"/>
  <c r="H1851" i="69"/>
  <c r="G1852" i="69"/>
  <c r="H1852" i="69"/>
  <c r="G1853" i="69"/>
  <c r="H1853" i="69"/>
  <c r="G1854" i="69"/>
  <c r="H1854" i="69"/>
  <c r="G1855" i="69"/>
  <c r="H1855" i="69"/>
  <c r="G1856" i="69"/>
  <c r="H1856" i="69"/>
  <c r="G1857" i="69"/>
  <c r="H1857" i="69"/>
  <c r="G1858" i="69"/>
  <c r="H1858" i="69"/>
  <c r="G1859" i="69"/>
  <c r="H1859" i="69"/>
  <c r="G1860" i="69"/>
  <c r="H1860" i="69"/>
  <c r="G1861" i="69"/>
  <c r="H1861" i="69"/>
  <c r="G1862" i="69"/>
  <c r="H1862" i="69"/>
  <c r="G1863" i="69"/>
  <c r="H1863" i="69"/>
  <c r="G1864" i="69"/>
  <c r="H1864" i="69"/>
  <c r="G1865" i="69"/>
  <c r="H1865" i="69"/>
  <c r="G1866" i="69"/>
  <c r="H1866" i="69"/>
  <c r="G1867" i="69"/>
  <c r="H1867" i="69"/>
  <c r="G1868" i="69"/>
  <c r="H1868" i="69"/>
  <c r="G1869" i="69"/>
  <c r="H1869" i="69"/>
  <c r="G1870" i="69"/>
  <c r="H1870" i="69"/>
  <c r="G1871" i="69"/>
  <c r="H1871" i="69"/>
  <c r="G1872" i="69"/>
  <c r="H1872" i="69"/>
  <c r="G1873" i="69"/>
  <c r="H1873" i="69"/>
  <c r="G1874" i="69"/>
  <c r="H1874" i="69"/>
  <c r="G1875" i="69"/>
  <c r="H1875" i="69"/>
  <c r="G1876" i="69"/>
  <c r="H1876" i="69"/>
  <c r="G1877" i="69"/>
  <c r="H1877" i="69"/>
  <c r="G1878" i="69"/>
  <c r="H1878" i="69"/>
  <c r="G1879" i="69"/>
  <c r="H1879" i="69"/>
  <c r="G1880" i="69"/>
  <c r="H1880" i="69"/>
  <c r="G1881" i="69"/>
  <c r="H1881" i="69"/>
  <c r="G1882" i="69"/>
  <c r="H1882" i="69"/>
  <c r="G1883" i="69"/>
  <c r="H1883" i="69"/>
  <c r="G1884" i="69"/>
  <c r="H1884" i="69"/>
  <c r="G1885" i="69"/>
  <c r="H1885" i="69"/>
  <c r="G1886" i="69"/>
  <c r="H1886" i="69"/>
  <c r="G1887" i="69"/>
  <c r="H1887" i="69"/>
  <c r="G1888" i="69"/>
  <c r="H1888" i="69"/>
  <c r="G1889" i="69"/>
  <c r="H1889" i="69"/>
  <c r="G1890" i="69"/>
  <c r="H1890" i="69"/>
  <c r="G1891" i="69"/>
  <c r="H1891" i="69"/>
  <c r="G1892" i="69"/>
  <c r="H1892" i="69"/>
  <c r="G1893" i="69"/>
  <c r="H1893" i="69"/>
  <c r="G1894" i="69"/>
  <c r="H1894" i="69"/>
  <c r="G1895" i="69"/>
  <c r="H1895" i="69"/>
  <c r="G1896" i="69"/>
  <c r="H1896" i="69"/>
  <c r="G1897" i="69"/>
  <c r="H1897" i="69"/>
  <c r="G1898" i="69"/>
  <c r="H1898" i="69"/>
  <c r="G1899" i="69"/>
  <c r="H1899" i="69"/>
  <c r="G1900" i="69"/>
  <c r="H1900" i="69"/>
  <c r="G1901" i="69"/>
  <c r="H1901" i="69"/>
  <c r="G1902" i="69"/>
  <c r="H1902" i="69"/>
  <c r="G1903" i="69"/>
  <c r="H1903" i="69"/>
  <c r="G1904" i="69"/>
  <c r="H1904" i="69"/>
  <c r="G1905" i="69"/>
  <c r="H1905" i="69"/>
  <c r="G1906" i="69"/>
  <c r="H1906" i="69"/>
  <c r="G1907" i="69"/>
  <c r="H1907" i="69"/>
  <c r="G1908" i="69"/>
  <c r="H1908" i="69"/>
  <c r="G1909" i="69"/>
  <c r="H1909" i="69"/>
  <c r="G1910" i="69"/>
  <c r="H1910" i="69"/>
  <c r="G1911" i="69"/>
  <c r="H1911" i="69"/>
  <c r="G1912" i="69"/>
  <c r="H1912" i="69"/>
  <c r="G1913" i="69"/>
  <c r="H1913" i="69"/>
  <c r="G1914" i="69"/>
  <c r="H1914" i="69"/>
  <c r="G1915" i="69"/>
  <c r="H1915" i="69"/>
  <c r="G1916" i="69"/>
  <c r="H1916" i="69"/>
  <c r="G1917" i="69"/>
  <c r="H1917" i="69"/>
  <c r="G1918" i="69"/>
  <c r="H1918" i="69"/>
  <c r="G1919" i="69"/>
  <c r="H1919" i="69"/>
  <c r="G1920" i="69"/>
  <c r="H1920" i="69"/>
  <c r="G1921" i="69"/>
  <c r="H1921" i="69"/>
  <c r="G1922" i="69"/>
  <c r="H1922" i="69"/>
  <c r="G1923" i="69"/>
  <c r="H1923" i="69"/>
  <c r="G1924" i="69"/>
  <c r="H1924" i="69"/>
  <c r="G1925" i="69"/>
  <c r="H1925" i="69"/>
  <c r="G1926" i="69"/>
  <c r="H1926" i="69"/>
  <c r="G1927" i="69"/>
  <c r="H1927" i="69"/>
  <c r="G1928" i="69"/>
  <c r="H1928" i="69"/>
  <c r="G1929" i="69"/>
  <c r="H1929" i="69"/>
  <c r="G1930" i="69"/>
  <c r="H1930" i="69"/>
  <c r="G1931" i="69"/>
  <c r="H1931" i="69"/>
  <c r="G1932" i="69"/>
  <c r="H1932" i="69"/>
  <c r="G1933" i="69"/>
  <c r="H1933" i="69"/>
  <c r="G1934" i="69"/>
  <c r="H1934" i="69"/>
  <c r="G1935" i="69"/>
  <c r="H1935" i="69"/>
  <c r="G1936" i="69"/>
  <c r="H1936" i="69"/>
  <c r="G1937" i="69"/>
  <c r="H1937" i="69"/>
  <c r="G1938" i="69"/>
  <c r="H1938" i="69"/>
  <c r="G1939" i="69"/>
  <c r="H1939" i="69"/>
  <c r="G1940" i="69"/>
  <c r="H1940" i="69"/>
  <c r="G1941" i="69"/>
  <c r="H1941" i="69"/>
  <c r="G1942" i="69"/>
  <c r="H1942" i="69"/>
  <c r="G1943" i="69"/>
  <c r="H1943" i="69"/>
  <c r="G1944" i="69"/>
  <c r="H1944" i="69"/>
  <c r="G1945" i="69"/>
  <c r="H1945" i="69"/>
  <c r="G1946" i="69"/>
  <c r="H1946" i="69"/>
  <c r="G1947" i="69"/>
  <c r="H1947" i="69"/>
  <c r="G1948" i="69"/>
  <c r="H1948" i="69"/>
  <c r="G1949" i="69"/>
  <c r="H1949" i="69"/>
  <c r="G1950" i="69"/>
  <c r="H1950" i="69"/>
  <c r="G1951" i="69"/>
  <c r="H1951" i="69"/>
  <c r="G1952" i="69"/>
  <c r="H1952" i="69"/>
  <c r="G1953" i="69"/>
  <c r="H1953" i="69"/>
  <c r="G1954" i="69"/>
  <c r="H1954" i="69"/>
  <c r="G1955" i="69"/>
  <c r="H1955" i="69"/>
  <c r="G1956" i="69"/>
  <c r="H1956" i="69"/>
  <c r="G1957" i="69"/>
  <c r="H1957" i="69"/>
  <c r="G1958" i="69"/>
  <c r="H1958" i="69"/>
  <c r="G1959" i="69"/>
  <c r="H1959" i="69"/>
  <c r="G1960" i="69"/>
  <c r="H1960" i="69"/>
  <c r="G1961" i="69"/>
  <c r="H1961" i="69"/>
  <c r="G1962" i="69"/>
  <c r="H1962" i="69"/>
  <c r="G1963" i="69"/>
  <c r="H1963" i="69"/>
  <c r="G1964" i="69"/>
  <c r="H1964" i="69"/>
  <c r="G1965" i="69"/>
  <c r="H1965" i="69"/>
  <c r="G1966" i="69"/>
  <c r="H1966" i="69"/>
  <c r="G1967" i="69"/>
  <c r="H1967" i="69"/>
  <c r="G1968" i="69"/>
  <c r="H1968" i="69"/>
  <c r="G1969" i="69"/>
  <c r="H1969" i="69"/>
  <c r="G1970" i="69"/>
  <c r="H1970" i="69"/>
  <c r="G1971" i="69"/>
  <c r="H1971" i="69"/>
  <c r="G1972" i="69"/>
  <c r="H1972" i="69"/>
  <c r="G1973" i="69"/>
  <c r="H1973" i="69"/>
  <c r="G1974" i="69"/>
  <c r="H1974" i="69"/>
  <c r="G1975" i="69"/>
  <c r="H1975" i="69"/>
  <c r="G1976" i="69"/>
  <c r="H1976" i="69"/>
  <c r="G1977" i="69"/>
  <c r="H1977" i="69"/>
  <c r="G1978" i="69"/>
  <c r="H1978" i="69"/>
  <c r="G1979" i="69"/>
  <c r="H1979" i="69"/>
  <c r="G1980" i="69"/>
  <c r="H1980" i="69"/>
  <c r="G1981" i="69"/>
  <c r="H1981" i="69"/>
  <c r="G1982" i="69"/>
  <c r="H1982" i="69"/>
  <c r="G1983" i="69"/>
  <c r="H1983" i="69"/>
  <c r="G1984" i="69"/>
  <c r="H1984" i="69"/>
  <c r="G1985" i="69"/>
  <c r="H1985" i="69"/>
  <c r="G1986" i="69"/>
  <c r="H1986" i="69"/>
  <c r="G1987" i="69"/>
  <c r="H1987" i="69"/>
  <c r="G1988" i="69"/>
  <c r="H1988" i="69"/>
  <c r="G1989" i="69"/>
  <c r="H1989" i="69"/>
  <c r="G1990" i="69"/>
  <c r="H1990" i="69"/>
  <c r="G1991" i="69"/>
  <c r="H1991" i="69"/>
  <c r="G1992" i="69"/>
  <c r="H1992" i="69"/>
  <c r="G1993" i="69"/>
  <c r="H1993" i="69"/>
  <c r="G1994" i="69"/>
  <c r="H1994" i="69"/>
  <c r="G1995" i="69"/>
  <c r="H1995" i="69"/>
  <c r="G1996" i="69"/>
  <c r="H1996" i="69"/>
  <c r="G1997" i="69"/>
  <c r="H1997" i="69"/>
  <c r="G1998" i="69"/>
  <c r="H1998" i="69"/>
  <c r="G1999" i="69"/>
  <c r="H1999" i="69"/>
  <c r="G2000" i="69"/>
  <c r="H2000" i="69"/>
  <c r="H2" i="69"/>
  <c r="G2" i="69"/>
  <c r="J45" i="57"/>
  <c r="K45" i="57"/>
  <c r="J46" i="57"/>
  <c r="K46" i="57"/>
  <c r="J47" i="57"/>
  <c r="K47" i="57"/>
  <c r="J48" i="57"/>
  <c r="K48" i="57"/>
  <c r="J49" i="57"/>
  <c r="K49" i="57"/>
  <c r="K50" i="57"/>
  <c r="C16" i="57"/>
  <c r="E16" i="57"/>
  <c r="J117" i="57"/>
  <c r="K117" i="57"/>
  <c r="J118" i="57"/>
  <c r="K118" i="57"/>
  <c r="J119" i="57"/>
  <c r="K119" i="57"/>
  <c r="J120" i="57"/>
  <c r="K120" i="57"/>
  <c r="J121" i="57"/>
  <c r="K121" i="57"/>
  <c r="K122" i="57"/>
  <c r="J111" i="57"/>
  <c r="K111" i="57"/>
  <c r="J112" i="57"/>
  <c r="K112" i="57"/>
  <c r="J113" i="57"/>
  <c r="K113" i="57"/>
  <c r="J114" i="57"/>
  <c r="K114" i="57"/>
  <c r="J115" i="57"/>
  <c r="K115" i="57"/>
  <c r="K116" i="57"/>
  <c r="J105" i="57"/>
  <c r="K105" i="57"/>
  <c r="J106" i="57"/>
  <c r="K106" i="57"/>
  <c r="J107" i="57"/>
  <c r="K107" i="57"/>
  <c r="J108" i="57"/>
  <c r="K108" i="57"/>
  <c r="J109" i="57"/>
  <c r="K109" i="57"/>
  <c r="K110" i="57"/>
  <c r="J99" i="57"/>
  <c r="K99" i="57"/>
  <c r="J100" i="57"/>
  <c r="K100" i="57"/>
  <c r="J101" i="57"/>
  <c r="K101" i="57"/>
  <c r="J102" i="57"/>
  <c r="K102" i="57"/>
  <c r="J103" i="57"/>
  <c r="K103" i="57"/>
  <c r="K104" i="57"/>
  <c r="J93" i="57"/>
  <c r="K93" i="57"/>
  <c r="J94" i="57"/>
  <c r="K94" i="57"/>
  <c r="J95" i="57"/>
  <c r="K95" i="57"/>
  <c r="J96" i="57"/>
  <c r="K96" i="57"/>
  <c r="J97" i="57"/>
  <c r="K97" i="57"/>
  <c r="K98" i="57"/>
  <c r="J87" i="57"/>
  <c r="K87" i="57"/>
  <c r="J88" i="57"/>
  <c r="K88" i="57"/>
  <c r="J89" i="57"/>
  <c r="K89" i="57"/>
  <c r="J90" i="57"/>
  <c r="K90" i="57"/>
  <c r="J91" i="57"/>
  <c r="K91" i="57"/>
  <c r="K92" i="57"/>
  <c r="J81" i="57"/>
  <c r="K81" i="57"/>
  <c r="J82" i="57"/>
  <c r="K82" i="57"/>
  <c r="J83" i="57"/>
  <c r="K83" i="57"/>
  <c r="J84" i="57"/>
  <c r="K84" i="57"/>
  <c r="J85" i="57"/>
  <c r="K85" i="57"/>
  <c r="K86" i="57"/>
  <c r="J75" i="57"/>
  <c r="K75" i="57"/>
  <c r="J76" i="57"/>
  <c r="K76" i="57"/>
  <c r="J77" i="57"/>
  <c r="K77" i="57"/>
  <c r="J78" i="57"/>
  <c r="K78" i="57"/>
  <c r="J79" i="57"/>
  <c r="K79" i="57"/>
  <c r="K80" i="57"/>
  <c r="J69" i="57"/>
  <c r="K69" i="57"/>
  <c r="J70" i="57"/>
  <c r="K70" i="57"/>
  <c r="J71" i="57"/>
  <c r="K71" i="57"/>
  <c r="J72" i="57"/>
  <c r="K72" i="57"/>
  <c r="J73" i="57"/>
  <c r="K73" i="57"/>
  <c r="K74" i="57"/>
  <c r="J63" i="57"/>
  <c r="K63" i="57"/>
  <c r="J64" i="57"/>
  <c r="K64" i="57"/>
  <c r="J65" i="57"/>
  <c r="K65" i="57"/>
  <c r="J66" i="57"/>
  <c r="K66" i="57"/>
  <c r="J67" i="57"/>
  <c r="K67" i="57"/>
  <c r="K68" i="57"/>
  <c r="J57" i="57"/>
  <c r="K57" i="57"/>
  <c r="J58" i="57"/>
  <c r="K58" i="57"/>
  <c r="J59" i="57"/>
  <c r="K59" i="57"/>
  <c r="J60" i="57"/>
  <c r="K60" i="57"/>
  <c r="J61" i="57"/>
  <c r="K61" i="57"/>
  <c r="K62" i="57"/>
  <c r="J51" i="57"/>
  <c r="K51" i="57"/>
  <c r="J52" i="57"/>
  <c r="K52" i="57"/>
  <c r="J53" i="57"/>
  <c r="K53" i="57"/>
  <c r="J54" i="57"/>
  <c r="K54" i="57"/>
  <c r="J55" i="57"/>
  <c r="K55" i="57"/>
  <c r="K56" i="57"/>
  <c r="J39" i="57"/>
  <c r="K39" i="57"/>
  <c r="J40" i="57"/>
  <c r="K40" i="57"/>
  <c r="J41" i="57"/>
  <c r="K41" i="57"/>
  <c r="J42" i="57"/>
  <c r="K42" i="57"/>
  <c r="J43" i="57"/>
  <c r="K43" i="57"/>
  <c r="K44" i="57"/>
  <c r="J33" i="57"/>
  <c r="K33" i="57"/>
  <c r="J34" i="57"/>
  <c r="K34" i="57"/>
  <c r="J35" i="57"/>
  <c r="K35" i="57"/>
  <c r="J36" i="57"/>
  <c r="K36" i="57"/>
  <c r="J37" i="57"/>
  <c r="K37" i="57"/>
  <c r="K38" i="57"/>
  <c r="M31" i="57"/>
  <c r="N31" i="57"/>
  <c r="A3" i="57"/>
  <c r="E3" i="57"/>
  <c r="F3" i="57"/>
  <c r="G3" i="57"/>
  <c r="H3" i="57"/>
  <c r="I3" i="57"/>
  <c r="J3" i="57"/>
  <c r="K3" i="57"/>
  <c r="L3" i="57"/>
  <c r="M3" i="57"/>
  <c r="N3" i="57"/>
  <c r="O3" i="57"/>
  <c r="P3" i="57"/>
  <c r="A4" i="57"/>
  <c r="E4" i="57"/>
  <c r="F4" i="57"/>
  <c r="G4" i="57"/>
  <c r="H4" i="57"/>
  <c r="I4" i="57"/>
  <c r="J4" i="57"/>
  <c r="K4" i="57"/>
  <c r="L4" i="57"/>
  <c r="M4" i="57"/>
  <c r="N4" i="57"/>
  <c r="O4" i="57"/>
  <c r="P4" i="57"/>
  <c r="A5" i="57"/>
  <c r="E5" i="57"/>
  <c r="F5" i="57"/>
  <c r="G5" i="57"/>
  <c r="H5" i="57"/>
  <c r="I5" i="57"/>
  <c r="J5" i="57"/>
  <c r="K5" i="57"/>
  <c r="L5" i="57"/>
  <c r="M5" i="57"/>
  <c r="N5" i="57"/>
  <c r="O5" i="57"/>
  <c r="P5" i="57"/>
  <c r="A6" i="57"/>
  <c r="E6" i="57"/>
  <c r="F6" i="57"/>
  <c r="G6" i="57"/>
  <c r="H6" i="57"/>
  <c r="I6" i="57"/>
  <c r="J6" i="57"/>
  <c r="K6" i="57"/>
  <c r="L6" i="57"/>
  <c r="M6" i="57"/>
  <c r="N6" i="57"/>
  <c r="O6" i="57"/>
  <c r="P6" i="57"/>
  <c r="A7" i="57"/>
  <c r="E7" i="57"/>
  <c r="F7" i="57"/>
  <c r="G7" i="57"/>
  <c r="H7" i="57"/>
  <c r="I7" i="57"/>
  <c r="J7" i="57"/>
  <c r="K7" i="57"/>
  <c r="L7" i="57"/>
  <c r="M7" i="57"/>
  <c r="N7" i="57"/>
  <c r="O7" i="57"/>
  <c r="P7" i="57"/>
  <c r="A8" i="57"/>
  <c r="E8" i="57"/>
  <c r="F8" i="57"/>
  <c r="G8" i="57"/>
  <c r="H8" i="57"/>
  <c r="I8" i="57"/>
  <c r="J8" i="57"/>
  <c r="K8" i="57"/>
  <c r="L8" i="57"/>
  <c r="M8" i="57"/>
  <c r="N8" i="57"/>
  <c r="O8" i="57"/>
  <c r="P8" i="57"/>
  <c r="A2" i="57"/>
  <c r="P2" i="57"/>
  <c r="O2" i="57"/>
  <c r="N2" i="57"/>
  <c r="M2" i="57"/>
  <c r="L2" i="57"/>
  <c r="K2" i="57"/>
  <c r="J2" i="57"/>
  <c r="I2" i="57"/>
  <c r="H2" i="57"/>
  <c r="G2" i="57"/>
  <c r="F2" i="57"/>
  <c r="E2" i="57"/>
  <c r="D3" i="57"/>
  <c r="D4" i="57"/>
  <c r="D5" i="57"/>
  <c r="D6" i="57"/>
  <c r="D7" i="57"/>
  <c r="D8" i="57"/>
  <c r="D2" i="57"/>
  <c r="C3" i="57"/>
  <c r="C4" i="57"/>
  <c r="C5" i="57"/>
  <c r="C6" i="57"/>
  <c r="C7" i="57"/>
  <c r="C8" i="57"/>
  <c r="C2" i="57"/>
  <c r="B2" i="57"/>
  <c r="C14" i="57"/>
  <c r="C15" i="57"/>
  <c r="E15" i="57"/>
  <c r="C17" i="57"/>
  <c r="E17" i="57"/>
  <c r="C18" i="57"/>
  <c r="E18" i="57"/>
  <c r="C19" i="57"/>
  <c r="E19" i="57"/>
  <c r="C20" i="57"/>
  <c r="E20" i="57"/>
  <c r="C21" i="57"/>
  <c r="E21" i="57"/>
  <c r="C22" i="57"/>
  <c r="E22" i="57"/>
  <c r="C23" i="57"/>
  <c r="E23" i="57"/>
  <c r="C24" i="57"/>
  <c r="E24" i="57"/>
  <c r="C25" i="57"/>
  <c r="E25" i="57"/>
  <c r="C26" i="57"/>
  <c r="E26" i="57"/>
  <c r="C27" i="57"/>
  <c r="E27" i="57"/>
  <c r="C28" i="57"/>
  <c r="E28" i="57"/>
  <c r="E14" i="57"/>
  <c r="B8" i="57"/>
  <c r="B7" i="57"/>
  <c r="B6" i="57"/>
  <c r="B5" i="57"/>
  <c r="B4" i="57"/>
  <c r="B3" i="57"/>
  <c r="B9" i="57"/>
  <c r="C9" i="57"/>
  <c r="D9" i="57"/>
  <c r="E9" i="57"/>
  <c r="F9" i="57"/>
  <c r="G9" i="57"/>
  <c r="H9" i="57"/>
  <c r="I9" i="57"/>
  <c r="J9" i="57"/>
  <c r="K9" i="57"/>
  <c r="L9" i="57"/>
  <c r="M9" i="57"/>
  <c r="N9" i="57"/>
  <c r="O9" i="57"/>
  <c r="P9" i="57"/>
  <c r="K123" i="57"/>
  <c r="B1" i="57"/>
  <c r="P1" i="57"/>
  <c r="O1" i="57"/>
  <c r="N1" i="57"/>
  <c r="M1" i="57"/>
  <c r="L1" i="57"/>
  <c r="K1" i="57"/>
  <c r="J1" i="57"/>
  <c r="I1" i="57"/>
  <c r="H1" i="57"/>
  <c r="G1" i="57"/>
  <c r="F1" i="57"/>
  <c r="E1" i="57"/>
  <c r="D1" i="57"/>
  <c r="C1" i="57"/>
  <c r="D35" i="5"/>
  <c r="D36" i="5"/>
  <c r="D37" i="5"/>
  <c r="D38" i="5"/>
  <c r="D39" i="5"/>
  <c r="D40" i="5"/>
  <c r="D41" i="5"/>
  <c r="D42" i="5"/>
  <c r="D43" i="5"/>
  <c r="D44" i="5"/>
  <c r="D45" i="5"/>
  <c r="D46" i="5"/>
  <c r="D47" i="5"/>
  <c r="D48" i="5"/>
  <c r="D49" i="5"/>
  <c r="D50" i="5"/>
  <c r="D51" i="5"/>
  <c r="D52" i="5"/>
  <c r="D53" i="5"/>
  <c r="D54" i="5"/>
  <c r="D55" i="5"/>
  <c r="D34" i="5"/>
  <c r="D28" i="5"/>
  <c r="E39" i="5"/>
  <c r="H1" i="5"/>
  <c r="M32" i="57"/>
  <c r="D67" i="5"/>
  <c r="D68" i="5"/>
  <c r="D69" i="5"/>
  <c r="D70" i="5"/>
  <c r="D71" i="5"/>
  <c r="D72" i="5"/>
  <c r="D73" i="5"/>
  <c r="D74" i="5"/>
  <c r="D75" i="5"/>
  <c r="D76" i="5"/>
  <c r="D77" i="5"/>
  <c r="D78" i="5"/>
  <c r="D79" i="5"/>
  <c r="D80" i="5"/>
  <c r="D81" i="5"/>
  <c r="D82" i="5"/>
  <c r="D83" i="5"/>
  <c r="D84" i="5"/>
  <c r="D85" i="5"/>
  <c r="D86" i="5"/>
  <c r="D87" i="5"/>
  <c r="D66" i="5"/>
  <c r="D29" i="5"/>
  <c r="D30" i="5"/>
  <c r="D31" i="5"/>
  <c r="D32" i="5"/>
  <c r="D33" i="5"/>
  <c r="D56" i="5"/>
  <c r="D57" i="5"/>
  <c r="D58" i="5"/>
  <c r="D59" i="5"/>
  <c r="D60" i="5"/>
  <c r="D61" i="5"/>
  <c r="D62" i="5"/>
  <c r="D63" i="5"/>
  <c r="D64" i="5"/>
  <c r="D65"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C122" i="57"/>
  <c r="C116" i="57"/>
  <c r="C110" i="57"/>
  <c r="C104" i="57"/>
  <c r="C98" i="57"/>
  <c r="C92" i="57"/>
  <c r="C86" i="57"/>
  <c r="C80" i="57"/>
  <c r="C74" i="57"/>
  <c r="C68" i="57"/>
  <c r="C62" i="57"/>
  <c r="C56" i="57"/>
  <c r="C50" i="57"/>
  <c r="C44" i="57"/>
  <c r="C38" i="57"/>
  <c r="L122" i="57"/>
  <c r="L116" i="57"/>
  <c r="L110" i="57"/>
  <c r="L104" i="57"/>
  <c r="L98" i="57"/>
  <c r="L92" i="57"/>
  <c r="L86" i="57"/>
  <c r="L80" i="57"/>
  <c r="L74" i="57"/>
  <c r="L68" i="57"/>
  <c r="L62" i="57"/>
  <c r="L56" i="57"/>
  <c r="L50" i="57"/>
  <c r="L44" i="57"/>
  <c r="L38" i="57"/>
  <c r="C14" i="6"/>
  <c r="P4" i="33"/>
  <c r="H10" i="6"/>
  <c r="H11" i="6"/>
  <c r="H12" i="6"/>
  <c r="H13" i="6"/>
  <c r="H14" i="6"/>
  <c r="H15" i="6"/>
  <c r="H8" i="6"/>
  <c r="H9" i="6"/>
  <c r="G9" i="6"/>
  <c r="G10" i="6"/>
  <c r="G11" i="6"/>
  <c r="G12" i="6"/>
  <c r="G13" i="6"/>
  <c r="G14" i="6"/>
  <c r="G15" i="6"/>
  <c r="G8" i="6"/>
  <c r="C12" i="6"/>
  <c r="F12" i="6"/>
  <c r="C13" i="6"/>
  <c r="F13" i="6"/>
  <c r="F14" i="6"/>
  <c r="C15" i="6"/>
  <c r="F15" i="6"/>
  <c r="C16" i="6"/>
  <c r="F16" i="6"/>
  <c r="C17" i="6"/>
  <c r="F17" i="6"/>
  <c r="C18" i="6"/>
  <c r="F18" i="6"/>
  <c r="C7" i="6"/>
  <c r="F7" i="6"/>
  <c r="C8" i="6"/>
  <c r="F8" i="6"/>
  <c r="C9" i="6"/>
  <c r="F9" i="6"/>
  <c r="C10" i="6"/>
  <c r="F10" i="6"/>
  <c r="C11" i="6"/>
  <c r="F11" i="6"/>
  <c r="C19" i="6"/>
  <c r="F19" i="6"/>
  <c r="C20" i="6"/>
  <c r="F20" i="6"/>
  <c r="C21" i="6"/>
  <c r="F21" i="6"/>
  <c r="C22" i="6"/>
  <c r="F22" i="6"/>
  <c r="C23" i="6"/>
  <c r="F23" i="6"/>
  <c r="C24" i="6"/>
  <c r="F24" i="6"/>
  <c r="C25" i="6"/>
  <c r="F25" i="6"/>
  <c r="C26" i="6"/>
  <c r="F26" i="6"/>
  <c r="C27" i="6"/>
  <c r="F27" i="6"/>
  <c r="C28" i="6"/>
  <c r="F28" i="6"/>
  <c r="C29" i="6"/>
  <c r="F29" i="6"/>
  <c r="C30" i="6"/>
  <c r="F30" i="6"/>
  <c r="C31" i="6"/>
  <c r="F31" i="6"/>
  <c r="C32" i="6"/>
  <c r="F32" i="6"/>
  <c r="C33" i="6"/>
  <c r="F33" i="6"/>
  <c r="C34" i="6"/>
  <c r="F34" i="6"/>
  <c r="C35" i="6"/>
  <c r="F35" i="6"/>
  <c r="C36" i="6"/>
  <c r="F36" i="6"/>
  <c r="C37" i="6"/>
  <c r="F37" i="6"/>
  <c r="C38" i="6"/>
  <c r="F38" i="6"/>
  <c r="C39" i="6"/>
  <c r="F39" i="6"/>
  <c r="C40" i="6"/>
  <c r="F40" i="6"/>
  <c r="C41" i="6"/>
  <c r="F41" i="6"/>
  <c r="C42" i="6"/>
  <c r="F42" i="6"/>
  <c r="C43" i="6"/>
  <c r="F43" i="6"/>
  <c r="C44" i="6"/>
  <c r="F44" i="6"/>
  <c r="C45" i="6"/>
  <c r="F45" i="6"/>
  <c r="C46" i="6"/>
  <c r="F46" i="6"/>
  <c r="C47" i="6"/>
  <c r="F47" i="6"/>
  <c r="C48" i="6"/>
  <c r="F48" i="6"/>
  <c r="C49" i="6"/>
  <c r="F49" i="6"/>
  <c r="C50" i="6"/>
  <c r="F50" i="6"/>
  <c r="C51" i="6"/>
  <c r="F51" i="6"/>
  <c r="C52" i="6"/>
  <c r="F52" i="6"/>
  <c r="C53" i="6"/>
  <c r="F53" i="6"/>
  <c r="C54" i="6"/>
  <c r="F54" i="6"/>
  <c r="C55" i="6"/>
  <c r="F55" i="6"/>
  <c r="C56" i="6"/>
  <c r="F56" i="6"/>
  <c r="C57" i="6"/>
  <c r="F57" i="6"/>
  <c r="C58" i="6"/>
  <c r="F58" i="6"/>
  <c r="C59" i="6"/>
  <c r="F59" i="6"/>
  <c r="C60" i="6"/>
  <c r="F60" i="6"/>
  <c r="C61" i="6"/>
  <c r="F61" i="6"/>
  <c r="C62" i="6"/>
  <c r="F62" i="6"/>
  <c r="C63" i="6"/>
  <c r="F63" i="6"/>
  <c r="C64" i="6"/>
  <c r="F64" i="6"/>
  <c r="C65" i="6"/>
  <c r="F65" i="6"/>
  <c r="C66" i="6"/>
  <c r="F66" i="6"/>
  <c r="C67" i="6"/>
  <c r="F67" i="6"/>
  <c r="C68" i="6"/>
  <c r="F68" i="6"/>
  <c r="C69" i="6"/>
  <c r="F69" i="6"/>
  <c r="C70" i="6"/>
  <c r="F70" i="6"/>
  <c r="C71" i="6"/>
  <c r="F71" i="6"/>
  <c r="C72" i="6"/>
  <c r="F72" i="6"/>
  <c r="C73" i="6"/>
  <c r="F73" i="6"/>
  <c r="C74" i="6"/>
  <c r="F74" i="6"/>
  <c r="C75" i="6"/>
  <c r="F75" i="6"/>
  <c r="C76" i="6"/>
  <c r="F76" i="6"/>
  <c r="C77" i="6"/>
  <c r="F77" i="6"/>
  <c r="C78" i="6"/>
  <c r="F78" i="6"/>
  <c r="C79" i="6"/>
  <c r="F79" i="6"/>
  <c r="C80" i="6"/>
  <c r="F80" i="6"/>
  <c r="C81" i="6"/>
  <c r="F81" i="6"/>
  <c r="C82" i="6"/>
  <c r="F82" i="6"/>
  <c r="C83" i="6"/>
  <c r="F83" i="6"/>
  <c r="C84" i="6"/>
  <c r="F84" i="6"/>
  <c r="C85" i="6"/>
  <c r="F85" i="6"/>
  <c r="C86" i="6"/>
  <c r="F86" i="6"/>
  <c r="C87" i="6"/>
  <c r="F87" i="6"/>
  <c r="C88" i="6"/>
  <c r="F88" i="6"/>
  <c r="C89" i="6"/>
  <c r="F89" i="6"/>
  <c r="C90" i="6"/>
  <c r="F90" i="6"/>
  <c r="C91" i="6"/>
  <c r="F91" i="6"/>
  <c r="C92" i="6"/>
  <c r="F92" i="6"/>
  <c r="C93" i="6"/>
  <c r="F93" i="6"/>
  <c r="C94" i="6"/>
  <c r="F94" i="6"/>
  <c r="C95" i="6"/>
  <c r="F95" i="6"/>
  <c r="C96" i="6"/>
  <c r="F96" i="6"/>
  <c r="C97" i="6"/>
  <c r="F97" i="6"/>
  <c r="C98" i="6"/>
  <c r="F98" i="6"/>
  <c r="C99" i="6"/>
  <c r="F99" i="6"/>
  <c r="C100" i="6"/>
  <c r="F100" i="6"/>
  <c r="C101" i="6"/>
  <c r="F101" i="6"/>
  <c r="C102" i="6"/>
  <c r="F102" i="6"/>
  <c r="F6" i="6"/>
  <c r="C2" i="6"/>
  <c r="C103" i="6"/>
  <c r="F103" i="6"/>
  <c r="C104" i="6"/>
  <c r="F104" i="6"/>
  <c r="C105" i="6"/>
  <c r="F105" i="6"/>
  <c r="C106" i="6"/>
  <c r="F106" i="6"/>
  <c r="C107" i="6"/>
  <c r="F107" i="6"/>
  <c r="C108" i="6"/>
  <c r="F108" i="6"/>
  <c r="C109" i="6"/>
  <c r="F109" i="6"/>
  <c r="C110" i="6"/>
  <c r="F110" i="6"/>
  <c r="C111" i="6"/>
  <c r="F111" i="6"/>
  <c r="C112" i="6"/>
  <c r="F112" i="6"/>
  <c r="C113" i="6"/>
  <c r="F113" i="6"/>
  <c r="C114" i="6"/>
  <c r="F114" i="6"/>
  <c r="C115" i="6"/>
  <c r="F115" i="6"/>
  <c r="C116" i="6"/>
  <c r="F116" i="6"/>
  <c r="C117" i="6"/>
  <c r="F117" i="6"/>
  <c r="C118" i="6"/>
  <c r="F118" i="6"/>
  <c r="B8" i="6"/>
  <c r="B9" i="6"/>
  <c r="B7" i="6"/>
  <c r="W1" i="33"/>
  <c r="X1" i="33" s="1"/>
  <c r="D14" i="57" a="1"/>
  <c r="D14" i="57"/>
  <c r="D15" i="57"/>
  <c r="D16" i="57"/>
  <c r="D17" i="57"/>
  <c r="D18" i="57"/>
  <c r="D19" i="57"/>
  <c r="D20" i="57"/>
  <c r="D21" i="57"/>
  <c r="D22" i="57"/>
  <c r="D23" i="57"/>
  <c r="D24" i="57"/>
  <c r="D25" i="57"/>
  <c r="D26" i="57"/>
  <c r="D27" i="57"/>
  <c r="D28" i="57"/>
  <c r="B14" i="57" a="1"/>
  <c r="B14" i="57"/>
  <c r="B15" i="57"/>
  <c r="B16" i="57"/>
  <c r="B17" i="57"/>
  <c r="B18" i="57"/>
  <c r="B19" i="57"/>
  <c r="B20" i="57"/>
  <c r="B21" i="57"/>
  <c r="B22" i="57"/>
  <c r="B23" i="57"/>
  <c r="B24" i="57"/>
  <c r="B25" i="57"/>
  <c r="B26" i="57"/>
  <c r="B27" i="57"/>
  <c r="B28" i="57"/>
  <c r="J9" i="122" l="1"/>
  <c r="N9" i="122"/>
  <c r="L62" i="122"/>
  <c r="C18" i="122"/>
  <c r="E18" i="122" s="1"/>
  <c r="C16" i="122"/>
  <c r="E16" i="122" s="1"/>
  <c r="L50" i="122"/>
  <c r="C14" i="122"/>
  <c r="E14" i="122" s="1"/>
  <c r="N31" i="122"/>
  <c r="L38" i="122"/>
  <c r="D9" i="122"/>
  <c r="C9" i="122"/>
  <c r="D14" i="122" s="1" a="1"/>
  <c r="G9" i="122"/>
  <c r="P9" i="122"/>
  <c r="L110" i="122"/>
  <c r="C26" i="122"/>
  <c r="E26" i="122" s="1"/>
  <c r="H9" i="122"/>
  <c r="M31" i="122"/>
  <c r="K123" i="122" s="1"/>
  <c r="C24" i="122"/>
  <c r="E24" i="122" s="1"/>
  <c r="L98" i="122"/>
  <c r="I9" i="122"/>
  <c r="C22" i="122"/>
  <c r="E22" i="122" s="1"/>
  <c r="L86" i="122"/>
  <c r="D14" i="120" a="1"/>
  <c r="K9" i="120"/>
  <c r="C14" i="120"/>
  <c r="E14" i="120" s="1"/>
  <c r="N31" i="120"/>
  <c r="L38" i="120"/>
  <c r="M31" i="120"/>
  <c r="K123" i="120" s="1"/>
  <c r="L104" i="120"/>
  <c r="C25" i="120"/>
  <c r="E25" i="120" s="1"/>
  <c r="C20" i="120"/>
  <c r="E20" i="120" s="1"/>
  <c r="L74" i="120"/>
  <c r="C19" i="120"/>
  <c r="E19" i="120" s="1"/>
  <c r="L68" i="120"/>
  <c r="M9" i="120"/>
  <c r="L62" i="120"/>
  <c r="C18" i="120"/>
  <c r="E18" i="120" s="1"/>
  <c r="L92" i="120"/>
  <c r="C23" i="120"/>
  <c r="E23" i="120" s="1"/>
  <c r="I9" i="120"/>
  <c r="E9" i="120"/>
  <c r="L56" i="120"/>
  <c r="C17" i="120"/>
  <c r="E17" i="120" s="1"/>
  <c r="L80" i="120"/>
  <c r="C21" i="120"/>
  <c r="E21" i="120" s="1"/>
  <c r="C16" i="120"/>
  <c r="E16" i="120" s="1"/>
  <c r="L50" i="120"/>
  <c r="C22" i="120"/>
  <c r="E22" i="120" s="1"/>
  <c r="L86" i="120"/>
  <c r="E9" i="118"/>
  <c r="C14" i="118"/>
  <c r="E14" i="118" s="1"/>
  <c r="N31" i="118"/>
  <c r="L38" i="118"/>
  <c r="L104" i="118"/>
  <c r="C25" i="118"/>
  <c r="E25" i="118" s="1"/>
  <c r="L92" i="118"/>
  <c r="C23" i="118"/>
  <c r="E23" i="118" s="1"/>
  <c r="J9" i="118"/>
  <c r="L80" i="118"/>
  <c r="C21" i="118"/>
  <c r="E21" i="118" s="1"/>
  <c r="C20" i="118"/>
  <c r="E20" i="118" s="1"/>
  <c r="L74" i="118"/>
  <c r="B9" i="118"/>
  <c r="C19" i="118"/>
  <c r="E19" i="118" s="1"/>
  <c r="L68" i="118"/>
  <c r="L56" i="118"/>
  <c r="C17" i="118"/>
  <c r="E17" i="118" s="1"/>
  <c r="D9" i="118"/>
  <c r="L44" i="118"/>
  <c r="C15" i="118"/>
  <c r="E15" i="118" s="1"/>
  <c r="C22" i="118"/>
  <c r="E22" i="118" s="1"/>
  <c r="L86" i="118"/>
  <c r="I9" i="118"/>
  <c r="M9" i="118"/>
  <c r="C16" i="118"/>
  <c r="E16" i="118" s="1"/>
  <c r="L50" i="118"/>
  <c r="L62" i="116"/>
  <c r="C18" i="116"/>
  <c r="E18" i="116" s="1"/>
  <c r="D9" i="116"/>
  <c r="K9" i="116"/>
  <c r="J9" i="116"/>
  <c r="L44" i="116"/>
  <c r="C15" i="116"/>
  <c r="E15" i="116" s="1"/>
  <c r="C14" i="116"/>
  <c r="E14" i="116" s="1"/>
  <c r="N31" i="116"/>
  <c r="L38" i="116"/>
  <c r="C20" i="116"/>
  <c r="E20" i="116" s="1"/>
  <c r="L74" i="116"/>
  <c r="B9" i="116"/>
  <c r="D14" i="116" s="1" a="1"/>
  <c r="C9" i="116"/>
  <c r="C22" i="116"/>
  <c r="E22" i="116" s="1"/>
  <c r="L86" i="116"/>
  <c r="M9" i="116"/>
  <c r="E9" i="116"/>
  <c r="C27" i="116"/>
  <c r="E27" i="116" s="1"/>
  <c r="L116" i="116"/>
  <c r="D24" i="122" l="1"/>
  <c r="D16" i="122"/>
  <c r="D23" i="122"/>
  <c r="D15" i="122"/>
  <c r="D22" i="122"/>
  <c r="D14" i="122"/>
  <c r="D21" i="122"/>
  <c r="D28" i="122"/>
  <c r="D20" i="122"/>
  <c r="D27" i="122"/>
  <c r="D19" i="122"/>
  <c r="D26" i="122"/>
  <c r="D18" i="122"/>
  <c r="D25" i="122"/>
  <c r="D17" i="122"/>
  <c r="D24" i="120"/>
  <c r="D16" i="120"/>
  <c r="D23" i="120"/>
  <c r="D15" i="120"/>
  <c r="D22" i="120"/>
  <c r="D14" i="120"/>
  <c r="D21" i="120"/>
  <c r="D28" i="120"/>
  <c r="D20" i="120"/>
  <c r="D27" i="120"/>
  <c r="D19" i="120"/>
  <c r="D26" i="120"/>
  <c r="D18" i="120"/>
  <c r="D25" i="120"/>
  <c r="D17" i="120"/>
  <c r="D14" i="118" a="1"/>
  <c r="D24" i="116"/>
  <c r="D16" i="116"/>
  <c r="D22" i="116"/>
  <c r="D20" i="116"/>
  <c r="D28" i="116"/>
  <c r="D21" i="116"/>
  <c r="D27" i="116"/>
  <c r="D19" i="116"/>
  <c r="D26" i="116"/>
  <c r="D18" i="116"/>
  <c r="D25" i="116"/>
  <c r="D17" i="116"/>
  <c r="D23" i="116"/>
  <c r="D15" i="116"/>
  <c r="D14" i="116"/>
  <c r="D24" i="118" l="1"/>
  <c r="D16" i="118"/>
  <c r="D22" i="118"/>
  <c r="D14" i="118"/>
  <c r="D21" i="118"/>
  <c r="D28" i="118"/>
  <c r="D20" i="118"/>
  <c r="D27" i="118"/>
  <c r="D19" i="118"/>
  <c r="D26" i="118"/>
  <c r="D18" i="118"/>
  <c r="D25" i="118"/>
  <c r="D17" i="118"/>
  <c r="D23" i="118"/>
  <c r="D15" i="118"/>
</calcChain>
</file>

<file path=xl/comments1.xml><?xml version="1.0" encoding="utf-8"?>
<comments xmlns="http://schemas.openxmlformats.org/spreadsheetml/2006/main">
  <authors>
    <author>Ronny Schwab</author>
  </authors>
  <commentList>
    <comment ref="D6" authorId="0">
      <text>
        <r>
          <rPr>
            <b/>
            <sz val="9"/>
            <color indexed="81"/>
            <rFont val="Tahoma"/>
            <family val="2"/>
          </rPr>
          <t xml:space="preserve">Wie schätzen Sie den Zielerreichungsgrad der Unternehmensziele durch das Projektes ein? --&gt; Heiraus leitet sich der Nutzen ab!!
z. B. Grad der Wirtschaftlichkeit sehr niedrig --&gt; niedriger Scoringwert
z. B. Ist der Kunde für uns von hoher Bedeutung? --&gt; hoher Scoringwert
z.B. Strategische Bedeutung sehr hoch --&gt; hoher Scoringwert
Versuchen Sie sich immer die RICHTIGEN Fragen zu stellen und dann den Scoringwert zu setzen.
</t>
        </r>
      </text>
    </comment>
    <comment ref="E6" authorId="0">
      <text>
        <r>
          <rPr>
            <b/>
            <sz val="9"/>
            <color indexed="81"/>
            <rFont val="Tahoma"/>
            <family val="2"/>
          </rPr>
          <t>Was ist der Grund für Ihre (gute/schlechte) Bewertung? So wissen Sie und andere Mitarbeiter, auch später noch, warum sie sich gerade so und nicht anders gescored haben.</t>
        </r>
      </text>
    </comment>
  </commentList>
</comments>
</file>

<file path=xl/comments2.xml><?xml version="1.0" encoding="utf-8"?>
<comments xmlns="http://schemas.openxmlformats.org/spreadsheetml/2006/main">
  <authors>
    <author>Ronny Schwab</author>
    <author>Benutzer</author>
  </authors>
  <commentList>
    <comment ref="G32" authorId="0">
      <text>
        <r>
          <rPr>
            <b/>
            <sz val="20"/>
            <color indexed="81"/>
            <rFont val="Tahoma"/>
            <family val="2"/>
          </rPr>
          <t>Wie stark ist das Projekt gefährdet bei Eintritt des Ereignisses?
Die Einschätzung bezieht sich nur auf dieses Ereignis, d.h. alle anderen bleiben gleich</t>
        </r>
        <r>
          <rPr>
            <sz val="9"/>
            <color indexed="81"/>
            <rFont val="Tahoma"/>
            <family val="2"/>
          </rPr>
          <t xml:space="preserve">
</t>
        </r>
      </text>
    </comment>
    <comment ref="H32" authorId="0">
      <text>
        <r>
          <rPr>
            <b/>
            <sz val="16"/>
            <color indexed="81"/>
            <rFont val="Tahoma"/>
            <family val="2"/>
          </rPr>
          <t>Wie hoch schätzen Sie die Wahrscheinlichkeit, dass das Ereignis eintrifft?</t>
        </r>
      </text>
    </comment>
    <comment ref="K32" authorId="0">
      <text>
        <r>
          <rPr>
            <sz val="18"/>
            <color indexed="81"/>
            <rFont val="Tahoma"/>
            <family val="2"/>
          </rPr>
          <t>=(</t>
        </r>
        <r>
          <rPr>
            <sz val="16"/>
            <color indexed="81"/>
            <rFont val="Tahoma"/>
            <family val="2"/>
          </rPr>
          <t>Risiko beim Eintreffen*Eintrittswahrscheinlichkeit)+(Risiko bei Nichteintreffen*(1-Eintrittswahrscheinlichkeit))
Das heisst, die Risikomaßzahl in diesem Modell ist Erwartungswert der Risikoschätzungen.</t>
        </r>
      </text>
    </comment>
    <comment ref="B33" authorId="0">
      <text>
        <r>
          <rPr>
            <b/>
            <sz val="20"/>
            <color indexed="81"/>
            <rFont val="Tahoma"/>
            <family val="2"/>
          </rPr>
          <t>- Neue Gesetze stellen Unternehmen vor die Aufgabe, Strukturen, Arbeitsweisen etc. gesetzeskonform zu gestalten.                                     - Die Gesetzgebung hat Auswirkungen auf Unternehmensprozesse und -ressourcen (personell/ materiell)</t>
        </r>
        <r>
          <rPr>
            <sz val="20"/>
            <color indexed="81"/>
            <rFont val="Tahoma"/>
            <family val="2"/>
          </rPr>
          <t xml:space="preserve">
</t>
        </r>
      </text>
    </comment>
    <comment ref="K38" authorId="1">
      <text>
        <r>
          <rPr>
            <b/>
            <sz val="14"/>
            <color indexed="81"/>
            <rFont val="Tahoma"/>
            <family val="2"/>
          </rPr>
          <t>Diese Zahl ist das aufsummierte Risiko der einzelnen Einflussfaktoren auf das Projekt. Sie gibt an, wieviel Risiko im einzelnen Einflussfaktor steckt.</t>
        </r>
      </text>
    </comment>
    <comment ref="B39" authorId="0">
      <text>
        <r>
          <rPr>
            <b/>
            <sz val="22"/>
            <color indexed="81"/>
            <rFont val="Tahoma"/>
            <family val="2"/>
          </rPr>
          <t xml:space="preserve">- Politische Instabilität gefährdet die Tätigkeit international agierender Unternehmungen                   - Sie erhöht das Risiko, die Unternehmensziele nicht oder nicht angemessen zu erreichen                          </t>
        </r>
      </text>
    </comment>
    <comment ref="B45" authorId="0">
      <text>
        <r>
          <rPr>
            <b/>
            <sz val="18"/>
            <color indexed="81"/>
            <rFont val="Tahoma"/>
            <family val="2"/>
          </rPr>
          <t>- Handelshemmnisse könnten zu Ressourcenknappheit führen und somit den strategischen Zielerreichungsprozess von Unternehmen gefährden</t>
        </r>
      </text>
    </comment>
    <comment ref="B51" authorId="0">
      <text>
        <r>
          <rPr>
            <b/>
            <sz val="22"/>
            <color indexed="81"/>
            <rFont val="Tahoma"/>
            <family val="2"/>
          </rPr>
          <t>- Anhaltendes Wirtschaftswachstum gibt Unternehmen die Chance zu wachsen. Prozesse und Management müssen adäquat zur Unternehmensgröße gestaltet werden</t>
        </r>
      </text>
    </comment>
    <comment ref="B57" authorId="0">
      <text>
        <r>
          <rPr>
            <b/>
            <sz val="26"/>
            <color indexed="81"/>
            <rFont val="Tahoma"/>
            <family val="2"/>
          </rPr>
          <t>- Diese Faktoren gehören zu den Länderrisiken und sind besonders für Finanzinstitute und Exportunternehmungen wichtig und zu beachten</t>
        </r>
      </text>
    </comment>
    <comment ref="B63" authorId="0">
      <text>
        <r>
          <rPr>
            <b/>
            <sz val="24"/>
            <color indexed="81"/>
            <rFont val="Tahoma"/>
            <family val="2"/>
          </rPr>
          <t>- Die Art und Beschaffenheit des Arbeitsmarktes gibt Aussage darüber, inwiefern es möglich ist geeignetes Personal zu rekrutieren oder ob es notwendig ist, vorhandenes entsprechend zu schulen.</t>
        </r>
        <r>
          <rPr>
            <sz val="24"/>
            <color indexed="81"/>
            <rFont val="Tahoma"/>
            <family val="2"/>
          </rPr>
          <t xml:space="preserve">
</t>
        </r>
      </text>
    </comment>
    <comment ref="B69" authorId="0">
      <text>
        <r>
          <rPr>
            <b/>
            <sz val="18"/>
            <color indexed="81"/>
            <rFont val="Tahoma"/>
            <family val="2"/>
          </rPr>
          <t>- International und global agierende Unternehmungen müssen ihre Strategien an dieses Umfeld anpassen                                           - Unternehmen, die in ein internationales oder supranationales Umfeld (Bsp. Europäischer Binnenmarkt) gedrängt  werden sind gezwungen sich einem grösseren Wettbewerb zu stellen und durch effizientere und angepasste Prozesse und Strukturen ihre Marktanteile zu verteidigen oder zu erweitern                                                                                     -große Unternehmensprojekte werden international an verschiedenen Standorten durchgeführt</t>
        </r>
      </text>
    </comment>
    <comment ref="B75" authorId="0">
      <text>
        <r>
          <rPr>
            <b/>
            <sz val="20"/>
            <color indexed="81"/>
            <rFont val="Tahoma"/>
            <family val="2"/>
          </rPr>
          <t>- Unternehmen müssen die Ressourcenverfügbarkeit sicherstellen, um ihre Wertschöpfungskette nicht zu unterbrechen                             - Die Planung der Verfügbarkeit von Produktionsfaktoren muss an die Unternehmensumwelt angepasst werden</t>
        </r>
      </text>
    </comment>
    <comment ref="B81" authorId="0">
      <text>
        <r>
          <rPr>
            <b/>
            <sz val="18"/>
            <color indexed="81"/>
            <rFont val="Tahoma"/>
            <family val="2"/>
          </rPr>
          <t>- Das Wertgefüge einer Gesellschaft bestimmt wichtige Faktoren wie z.B. unternehmensinterne (Mitarbeiterkommunikation) und unternehmensexterne                                                 (Kundenkommunikation) Kommunikation.                                  -Besonders international agierende Unternehmungen müssen diese Werte länderspezifisch beachten, um Mitarbeiter und Kunden zu halten</t>
        </r>
        <r>
          <rPr>
            <sz val="18"/>
            <color indexed="81"/>
            <rFont val="Tahoma"/>
            <family val="2"/>
          </rPr>
          <t xml:space="preserve">
</t>
        </r>
      </text>
    </comment>
    <comment ref="B87" authorId="0">
      <text>
        <r>
          <rPr>
            <b/>
            <sz val="24"/>
            <color indexed="81"/>
            <rFont val="Tahoma"/>
            <family val="2"/>
          </rPr>
          <t>- bestimmte Lifestyletrends haben Einfluss auf kulturelle Umgangsformen und Arbeitsweisen der Mitarbeiter                                                                    - siehe Faktor Werte</t>
        </r>
      </text>
    </comment>
    <comment ref="B93" authorId="0">
      <text>
        <r>
          <rPr>
            <b/>
            <sz val="22"/>
            <color indexed="81"/>
            <rFont val="Tahoma"/>
            <family val="2"/>
          </rPr>
          <t>- mangelnde Kenntnisse können zu risikobehafteten, falschen Entscheidungen führen</t>
        </r>
        <r>
          <rPr>
            <sz val="22"/>
            <color indexed="81"/>
            <rFont val="Tahoma"/>
            <family val="2"/>
          </rPr>
          <t xml:space="preserve">
</t>
        </r>
      </text>
    </comment>
    <comment ref="B99" authorId="0">
      <text>
        <r>
          <rPr>
            <b/>
            <sz val="22"/>
            <color indexed="81"/>
            <rFont val="Tahoma"/>
            <family val="2"/>
          </rPr>
          <t>- Forschung birgt große Chancen, allerdings auch große Risiken, da sie zumeist mit hohen Kosten verbunden ist.</t>
        </r>
        <r>
          <rPr>
            <sz val="22"/>
            <color indexed="81"/>
            <rFont val="Tahoma"/>
            <family val="2"/>
          </rPr>
          <t xml:space="preserve">
</t>
        </r>
      </text>
    </comment>
    <comment ref="B105" authorId="0">
      <text>
        <r>
          <rPr>
            <b/>
            <sz val="18"/>
            <color indexed="81"/>
            <rFont val="Tahoma"/>
            <family val="2"/>
          </rPr>
          <t xml:space="preserve">- Unternehmen müssen auf neue Technologien, Methoden etc. reagieren, und deren Potenziale erkennen </t>
        </r>
        <r>
          <rPr>
            <sz val="18"/>
            <color indexed="81"/>
            <rFont val="Tahoma"/>
            <family val="2"/>
          </rPr>
          <t xml:space="preserve">
</t>
        </r>
      </text>
    </comment>
    <comment ref="B111" authorId="0">
      <text>
        <r>
          <rPr>
            <b/>
            <sz val="18"/>
            <color indexed="81"/>
            <rFont val="Tahoma"/>
            <family val="2"/>
          </rPr>
          <t>- Um ihre Wettbewerbsfähigkeit zu erhalten, müssen Unternehmen ihre Prozesse ständig gemäss des Effektivitäts und Effizienzgedankens weiterentwickeln.                                                         -Zudem müssen sie auf Neuerungen in ihrer Branche angemessen reagieren hierzu gehört auch das Einführen neuer Prozesse</t>
        </r>
        <r>
          <rPr>
            <sz val="18"/>
            <color indexed="81"/>
            <rFont val="Tahoma"/>
            <family val="2"/>
          </rPr>
          <t xml:space="preserve">
</t>
        </r>
      </text>
    </comment>
    <comment ref="B117" authorId="0">
      <text>
        <r>
          <rPr>
            <b/>
            <sz val="18"/>
            <color indexed="81"/>
            <rFont val="Tahoma"/>
            <family val="2"/>
          </rPr>
          <t>- kürzere Produktlebenszyklen der Wettbewerber  zwingen die Unternehmen dazu diesem Trend zu folgen.                                                                       - Produkte müssen schneller entwickelt und an den Markt gebracht werden.                                           - Dies erfordert direkte Eingriffe in die Wertschöpfungskette durch effektivere und effizientere Prozesse und neue Ansätze in den Managementstrategien.                                               - erhöhter Wettbewerb führt zu kürzeren Produktlebenszyklen</t>
        </r>
      </text>
    </comment>
  </commentList>
</comments>
</file>

<file path=xl/comments3.xml><?xml version="1.0" encoding="utf-8"?>
<comments xmlns="http://schemas.openxmlformats.org/spreadsheetml/2006/main">
  <authors>
    <author>Ronny Schwab</author>
  </authors>
  <commentList>
    <comment ref="B1" authorId="0">
      <text>
        <r>
          <rPr>
            <b/>
            <sz val="9"/>
            <color indexed="81"/>
            <rFont val="Tahoma"/>
            <family val="2"/>
          </rPr>
          <t>zur Kalibrierung der Risiko-Schwellenwerte in der STEP-Analyse</t>
        </r>
      </text>
    </comment>
    <comment ref="B15" authorId="0">
      <text>
        <r>
          <rPr>
            <b/>
            <sz val="9"/>
            <color indexed="81"/>
            <rFont val="Tahoma"/>
            <family val="2"/>
          </rPr>
          <t xml:space="preserve">Bewertungstableau für das Projektrisiko, welches dem Ereignis innewohnt  </t>
        </r>
      </text>
    </comment>
  </commentList>
</comments>
</file>

<file path=xl/comments4.xml><?xml version="1.0" encoding="utf-8"?>
<comments xmlns="http://schemas.openxmlformats.org/spreadsheetml/2006/main">
  <authors>
    <author>Benutzer</author>
  </authors>
  <commentList>
    <comment ref="B1" authorId="0">
      <text>
        <r>
          <rPr>
            <b/>
            <sz val="9"/>
            <color indexed="81"/>
            <rFont val="Tahoma"/>
            <family val="2"/>
          </rPr>
          <t>Ist der Wert in roter Schrift dargestellt, bedeutet dies, dass das Risiko des Projektes über Ihrer selbst festgelegten Maximalrisikogrenze liegt.</t>
        </r>
      </text>
    </comment>
    <comment ref="C1" authorId="0">
      <text>
        <r>
          <rPr>
            <b/>
            <sz val="9"/>
            <color indexed="81"/>
            <rFont val="Tahoma"/>
            <family val="2"/>
          </rPr>
          <t>Ist der Wert in roter Schrift dargestellt, bedeutet dies, dass der Nutzen des Projektes unter Ihrer selbst festgelegten Minimalnutzengrenze liegt.</t>
        </r>
      </text>
    </comment>
    <comment ref="E1" authorId="0">
      <text>
        <r>
          <rPr>
            <sz val="9"/>
            <color indexed="81"/>
            <rFont val="Tahoma"/>
            <family val="2"/>
          </rPr>
          <t>Die Riskratio  1 stellt das Einzelprojektrisiko ins Verhältnis zum arithmetischen Mittel.
D.h. RR1&gt;1 das Risiko des Einzelprojektes ist größer als das durchschnittliche Projektrisiko.</t>
        </r>
      </text>
    </comment>
    <comment ref="F1" authorId="0">
      <text>
        <r>
          <rPr>
            <sz val="9"/>
            <color indexed="81"/>
            <rFont val="Tahoma"/>
            <family val="2"/>
          </rPr>
          <t>Die Riskratio 2 stellt das Einzelprojektrisiko ins Verhältnis zum Median aller Einzelprojektrisiken.
Falls Sie sehr hohe Ausreisser in ihren Projekrisiken haben, könnte der Median ein verlässlicherer Wert sein</t>
        </r>
        <r>
          <rPr>
            <b/>
            <sz val="9"/>
            <color indexed="81"/>
            <rFont val="Tahoma"/>
            <family val="2"/>
          </rPr>
          <t>.</t>
        </r>
      </text>
    </comment>
  </commentList>
</comments>
</file>

<file path=xl/comments5.xml><?xml version="1.0" encoding="utf-8"?>
<comments xmlns="http://schemas.openxmlformats.org/spreadsheetml/2006/main">
  <authors>
    <author>Ronny Schwab</author>
    <author>Benutzer</author>
  </authors>
  <commentList>
    <comment ref="G32" authorId="0">
      <text>
        <r>
          <rPr>
            <b/>
            <sz val="20"/>
            <color indexed="81"/>
            <rFont val="Tahoma"/>
            <family val="2"/>
          </rPr>
          <t>Wie stark ist das Projekt gefährdet bei Eintritt des Ereignisses?
Die Einschätzung bezieht sich nur auf dieses Ereignis, d.h. alle anderen bleiben gleich</t>
        </r>
        <r>
          <rPr>
            <sz val="9"/>
            <color indexed="81"/>
            <rFont val="Tahoma"/>
            <family val="2"/>
          </rPr>
          <t xml:space="preserve">
</t>
        </r>
      </text>
    </comment>
    <comment ref="H32" authorId="0">
      <text>
        <r>
          <rPr>
            <b/>
            <sz val="16"/>
            <color indexed="81"/>
            <rFont val="Tahoma"/>
            <family val="2"/>
          </rPr>
          <t>Wie hoch schätzen Sie die Wahrscheinlichkeit, dass das Ereignis eintrifft?</t>
        </r>
      </text>
    </comment>
    <comment ref="K32" authorId="0">
      <text>
        <r>
          <rPr>
            <sz val="18"/>
            <color indexed="81"/>
            <rFont val="Tahoma"/>
            <family val="2"/>
          </rPr>
          <t>=(</t>
        </r>
        <r>
          <rPr>
            <sz val="16"/>
            <color indexed="81"/>
            <rFont val="Tahoma"/>
            <family val="2"/>
          </rPr>
          <t>Risiko beim Eintreffen*Eintrittswahrscheinlichkeit)+(Risiko bei Nichteintreffen*(1-Eintrittswahrscheinlichkeit))
Das heisst, die Risikomaßzahl in diesem Modell ist Erwartungswert der Risikoschätzungen.</t>
        </r>
      </text>
    </comment>
    <comment ref="B33" authorId="0">
      <text>
        <r>
          <rPr>
            <b/>
            <sz val="20"/>
            <color indexed="81"/>
            <rFont val="Tahoma"/>
            <family val="2"/>
          </rPr>
          <t>- Neue Gesetze stellen Unternehmen vor die Aufgabe, Strukturen, Arbeitsweisen etc. gesetzeskonform zu gestalten.                                     - Die Gesetzgebung hat Auswirkungen auf Unternehmensprozesse und -ressourcen (personell/ materiell)</t>
        </r>
        <r>
          <rPr>
            <sz val="20"/>
            <color indexed="81"/>
            <rFont val="Tahoma"/>
            <family val="2"/>
          </rPr>
          <t xml:space="preserve">
</t>
        </r>
      </text>
    </comment>
    <comment ref="K38" authorId="1">
      <text>
        <r>
          <rPr>
            <b/>
            <sz val="14"/>
            <color indexed="81"/>
            <rFont val="Tahoma"/>
            <family val="2"/>
          </rPr>
          <t>Diese Zahl ist das aufsummierte Risiko der einzelnen Einflussfaktoren auf das Projekt. Sie gibt an, wieviel Risiko im einzelnen Einflussfaktor steckt.</t>
        </r>
      </text>
    </comment>
    <comment ref="B39" authorId="0">
      <text>
        <r>
          <rPr>
            <b/>
            <sz val="22"/>
            <color indexed="81"/>
            <rFont val="Tahoma"/>
            <family val="2"/>
          </rPr>
          <t xml:space="preserve">- Politische Instabilität gefährdet die Tätigkeit international agierender Unternehmungen                   - Sie erhöht das Risiko, die Unternehmensziele nicht oder nicht angemessen zu erreichen                          </t>
        </r>
      </text>
    </comment>
    <comment ref="B45" authorId="0">
      <text>
        <r>
          <rPr>
            <b/>
            <sz val="18"/>
            <color indexed="81"/>
            <rFont val="Tahoma"/>
            <family val="2"/>
          </rPr>
          <t>- Handelshemmnisse könnten zu Ressourcenknappheit führen und somit den strategischen Zielerreichungsprozess von Unternehmen gefährden</t>
        </r>
      </text>
    </comment>
    <comment ref="B51" authorId="0">
      <text>
        <r>
          <rPr>
            <b/>
            <sz val="22"/>
            <color indexed="81"/>
            <rFont val="Tahoma"/>
            <family val="2"/>
          </rPr>
          <t>- Anhaltendes Wirtschaftswachstum gibt Unternehmen die Chance zu wachsen. Prozesse und Management müssen adäquat zur Unternehmensgröße gestaltet werden</t>
        </r>
      </text>
    </comment>
    <comment ref="B57" authorId="0">
      <text>
        <r>
          <rPr>
            <b/>
            <sz val="26"/>
            <color indexed="81"/>
            <rFont val="Tahoma"/>
            <family val="2"/>
          </rPr>
          <t>- Diese Faktoren gehören zu den Länderrisiken und sind besonders für Finanzinstitute und Exportunternehmungen wichtig und zu beachten</t>
        </r>
      </text>
    </comment>
    <comment ref="B63" authorId="0">
      <text>
        <r>
          <rPr>
            <b/>
            <sz val="24"/>
            <color indexed="81"/>
            <rFont val="Tahoma"/>
            <family val="2"/>
          </rPr>
          <t>- Die Art und Beschaffenheit des Arbeitsmarktes gibt Aussage darüber, inwiefern es möglich ist geeignetes Personal zu rekrutieren oder ob es notwendig ist, vorhandenes entsprechend zu schulen.</t>
        </r>
        <r>
          <rPr>
            <sz val="24"/>
            <color indexed="81"/>
            <rFont val="Tahoma"/>
            <family val="2"/>
          </rPr>
          <t xml:space="preserve">
</t>
        </r>
      </text>
    </comment>
    <comment ref="B69" authorId="0">
      <text>
        <r>
          <rPr>
            <b/>
            <sz val="18"/>
            <color indexed="81"/>
            <rFont val="Tahoma"/>
            <family val="2"/>
          </rPr>
          <t>- International und global agierende Unternehmungen müssen ihre Strategien an dieses Umfeld anpassen                                           - Unternehmen, die in ein internationales oder supranationales Umfeld (Bsp. Europäischer Binnenmarkt) gedrängt  werden sind gezwungen sich einem grösseren Wettbewerb zu stellen und durch effizientere und angepasste Prozesse und Strukturen ihre Marktanteile zu verteidigen oder zu erweitern                                                                                     -große Unternehmensprojekte werden international an verschiedenen Standorten durchgeführt</t>
        </r>
      </text>
    </comment>
    <comment ref="B75" authorId="0">
      <text>
        <r>
          <rPr>
            <b/>
            <sz val="20"/>
            <color indexed="81"/>
            <rFont val="Tahoma"/>
            <family val="2"/>
          </rPr>
          <t>- Unternehmen müssen die Ressourcenverfügbarkeit sicherstellen, um ihre Wertschöpfungskette nicht zu unterbrechen                             - Die Planung der Verfügbarkeit von Produktionsfaktoren muss an die Unternehmensumwelt angepasst werden</t>
        </r>
      </text>
    </comment>
    <comment ref="B81" authorId="0">
      <text>
        <r>
          <rPr>
            <b/>
            <sz val="18"/>
            <color indexed="81"/>
            <rFont val="Tahoma"/>
            <family val="2"/>
          </rPr>
          <t>- Das Wertgefüge einer Gesellschaft bestimmt wichtige Faktoren wie z.B. unternehmensinterne (Mitarbeiterkommunikation) und unternehmensexterne                                                 (Kundenkommunikation) Kommunikation.                                  -Besonders international agierende Unternehmungen müssen diese Werte länderspezifisch beachten, um Mitarbeiter und Kunden zu halten</t>
        </r>
        <r>
          <rPr>
            <sz val="18"/>
            <color indexed="81"/>
            <rFont val="Tahoma"/>
            <family val="2"/>
          </rPr>
          <t xml:space="preserve">
</t>
        </r>
      </text>
    </comment>
    <comment ref="B87" authorId="0">
      <text>
        <r>
          <rPr>
            <b/>
            <sz val="24"/>
            <color indexed="81"/>
            <rFont val="Tahoma"/>
            <family val="2"/>
          </rPr>
          <t>- bestimmte Lifestyletrends haben Einfluss auf kulturelle Umgangsformen und Arbeitsweisen der Mitarbeiter                                                                    - siehe Faktor Werte</t>
        </r>
      </text>
    </comment>
    <comment ref="B93" authorId="0">
      <text>
        <r>
          <rPr>
            <b/>
            <sz val="22"/>
            <color indexed="81"/>
            <rFont val="Tahoma"/>
            <family val="2"/>
          </rPr>
          <t>- mangelnde Kenntnisse können zu risikobehafteten, falschen Entscheidungen führen</t>
        </r>
        <r>
          <rPr>
            <sz val="22"/>
            <color indexed="81"/>
            <rFont val="Tahoma"/>
            <family val="2"/>
          </rPr>
          <t xml:space="preserve">
</t>
        </r>
      </text>
    </comment>
    <comment ref="B99" authorId="0">
      <text>
        <r>
          <rPr>
            <b/>
            <sz val="22"/>
            <color indexed="81"/>
            <rFont val="Tahoma"/>
            <family val="2"/>
          </rPr>
          <t>- Forschung birgt große Chancen, allerdings auch große Risiken, da sie zumeist mit hohen Kosten verbunden ist.</t>
        </r>
        <r>
          <rPr>
            <sz val="22"/>
            <color indexed="81"/>
            <rFont val="Tahoma"/>
            <family val="2"/>
          </rPr>
          <t xml:space="preserve">
</t>
        </r>
      </text>
    </comment>
    <comment ref="B105" authorId="0">
      <text>
        <r>
          <rPr>
            <b/>
            <sz val="18"/>
            <color indexed="81"/>
            <rFont val="Tahoma"/>
            <family val="2"/>
          </rPr>
          <t xml:space="preserve">- Unternehmen müssen auf neue Technologien, Methoden etc. reagieren, und deren Potenziale erkennen </t>
        </r>
        <r>
          <rPr>
            <sz val="18"/>
            <color indexed="81"/>
            <rFont val="Tahoma"/>
            <family val="2"/>
          </rPr>
          <t xml:space="preserve">
</t>
        </r>
      </text>
    </comment>
    <comment ref="B111" authorId="0">
      <text>
        <r>
          <rPr>
            <b/>
            <sz val="18"/>
            <color indexed="81"/>
            <rFont val="Tahoma"/>
            <family val="2"/>
          </rPr>
          <t>- Um ihre Wettbewerbsfähigkeit zu erhalten, müssen Unternehmen ihre Prozesse ständig gemäss des Effektivitäts und Effizienzgedankens weiterentwickeln.                                                         -Zudem müssen sie auf Neuerungen in ihrer Branche angemessen reagieren hierzu gehört auch das Einführen neuer Prozesse</t>
        </r>
        <r>
          <rPr>
            <sz val="18"/>
            <color indexed="81"/>
            <rFont val="Tahoma"/>
            <family val="2"/>
          </rPr>
          <t xml:space="preserve">
</t>
        </r>
      </text>
    </comment>
    <comment ref="B117" authorId="0">
      <text>
        <r>
          <rPr>
            <b/>
            <sz val="18"/>
            <color indexed="81"/>
            <rFont val="Tahoma"/>
            <family val="2"/>
          </rPr>
          <t>- kürzere Produktlebenszyklen der Wettbewerber  zwingen die Unternehmen dazu diesem Trend zu folgen.                                                                       - Produkte müssen schneller entwickelt und an den Markt gebracht werden.                                           - Dies erfordert direkte Eingriffe in die Wertschöpfungskette durch effektivere und effizientere Prozesse und neue Ansätze in den Managementstrategien.                                               - erhöhter Wettbewerb führt zu kürzeren Produktlebenszyklen</t>
        </r>
      </text>
    </comment>
  </commentList>
</comments>
</file>

<file path=xl/comments6.xml><?xml version="1.0" encoding="utf-8"?>
<comments xmlns="http://schemas.openxmlformats.org/spreadsheetml/2006/main">
  <authors>
    <author>Ronny Schwab</author>
  </authors>
  <commentList>
    <comment ref="D6" authorId="0">
      <text>
        <r>
          <rPr>
            <b/>
            <sz val="9"/>
            <color indexed="81"/>
            <rFont val="Tahoma"/>
            <family val="2"/>
          </rPr>
          <t xml:space="preserve">Wie schätzen Sie den Zielerreichungsgrad der Unternehmensziele durch das Projektes ein? --&gt; Heiraus leitet sich der Nutzen ab!!
z. B. Grad der Wirtschaftlichkeit sehr niedrig --&gt; niedriger Scoringwert
z. B. Ist der Kunde für uns von hoher Bedeutung? --&gt; hoher Scoringwert
z.B. Strategische Bedeutung sehr hoch --&gt; hoher Scoringwert
Versuchen Sie sich immer die RICHTIGEN Fragen zu stellen und dann den Scoringwert zu setzen.
</t>
        </r>
      </text>
    </comment>
    <comment ref="E6" authorId="0">
      <text>
        <r>
          <rPr>
            <b/>
            <sz val="9"/>
            <color indexed="81"/>
            <rFont val="Tahoma"/>
            <family val="2"/>
          </rPr>
          <t>Was ist der Grund für Ihre (gute/schlechte) Bewertung? So wissen Sie und andere Mitarbeiter, auch später noch, warum sie sich gerade so und nicht anders gescored haben.</t>
        </r>
      </text>
    </comment>
  </commentList>
</comments>
</file>

<file path=xl/comments7.xml><?xml version="1.0" encoding="utf-8"?>
<comments xmlns="http://schemas.openxmlformats.org/spreadsheetml/2006/main">
  <authors>
    <author>Ronny Schwab</author>
    <author>Benutzer</author>
  </authors>
  <commentList>
    <comment ref="G32" authorId="0">
      <text>
        <r>
          <rPr>
            <b/>
            <sz val="20"/>
            <color indexed="81"/>
            <rFont val="Tahoma"/>
            <family val="2"/>
          </rPr>
          <t>Wie stark ist das Projekt gefährdet bei Eintritt des Ereignisses?
Die Einschätzung bezieht sich nur auf dieses Ereignis, d.h. alle anderen bleiben gleich</t>
        </r>
        <r>
          <rPr>
            <sz val="9"/>
            <color indexed="81"/>
            <rFont val="Tahoma"/>
            <family val="2"/>
          </rPr>
          <t xml:space="preserve">
</t>
        </r>
      </text>
    </comment>
    <comment ref="H32" authorId="0">
      <text>
        <r>
          <rPr>
            <b/>
            <sz val="16"/>
            <color indexed="81"/>
            <rFont val="Tahoma"/>
            <family val="2"/>
          </rPr>
          <t>Wie hoch schätzen Sie die Wahrscheinlichkeit, dass das Ereignis eintrifft?</t>
        </r>
      </text>
    </comment>
    <comment ref="K32" authorId="0">
      <text>
        <r>
          <rPr>
            <sz val="18"/>
            <color indexed="81"/>
            <rFont val="Tahoma"/>
            <family val="2"/>
          </rPr>
          <t>=(</t>
        </r>
        <r>
          <rPr>
            <sz val="16"/>
            <color indexed="81"/>
            <rFont val="Tahoma"/>
            <family val="2"/>
          </rPr>
          <t>Risiko beim Eintreffen*Eintrittswahrscheinlichkeit)+(Risiko bei Nichteintreffen*(1-Eintrittswahrscheinlichkeit))
Das heisst, die Risikomaßzahl in diesem Modell ist Erwartungswert der Risikoschätzungen.</t>
        </r>
      </text>
    </comment>
    <comment ref="B33" authorId="0">
      <text>
        <r>
          <rPr>
            <b/>
            <sz val="20"/>
            <color indexed="81"/>
            <rFont val="Tahoma"/>
            <family val="2"/>
          </rPr>
          <t>- Neue Gesetze stellen Unternehmen vor die Aufgabe, Strukturen, Arbeitsweisen etc. gesetzeskonform zu gestalten.                                     - Die Gesetzgebung hat Auswirkungen auf Unternehmensprozesse und -ressourcen (personell/ materiell)</t>
        </r>
        <r>
          <rPr>
            <sz val="20"/>
            <color indexed="81"/>
            <rFont val="Tahoma"/>
            <family val="2"/>
          </rPr>
          <t xml:space="preserve">
</t>
        </r>
      </text>
    </comment>
    <comment ref="K38" authorId="1">
      <text>
        <r>
          <rPr>
            <b/>
            <sz val="14"/>
            <color indexed="81"/>
            <rFont val="Tahoma"/>
            <family val="2"/>
          </rPr>
          <t>Diese Zahl ist das aufsummierte Risiko der einzelnen Einflussfaktoren auf das Projekt. Sie gibt an, wieviel Risiko im einzelnen Einflussfaktor steckt.</t>
        </r>
      </text>
    </comment>
    <comment ref="B39" authorId="0">
      <text>
        <r>
          <rPr>
            <b/>
            <sz val="22"/>
            <color indexed="81"/>
            <rFont val="Tahoma"/>
            <family val="2"/>
          </rPr>
          <t xml:space="preserve">- Politische Instabilität gefährdet die Tätigkeit international agierender Unternehmungen                   - Sie erhöht das Risiko, die Unternehmensziele nicht oder nicht angemessen zu erreichen                          </t>
        </r>
      </text>
    </comment>
    <comment ref="B45" authorId="0">
      <text>
        <r>
          <rPr>
            <b/>
            <sz val="18"/>
            <color indexed="81"/>
            <rFont val="Tahoma"/>
            <family val="2"/>
          </rPr>
          <t>- Handelshemmnisse könnten zu Ressourcenknappheit führen und somit den strategischen Zielerreichungsprozess von Unternehmen gefährden</t>
        </r>
      </text>
    </comment>
    <comment ref="B51" authorId="0">
      <text>
        <r>
          <rPr>
            <b/>
            <sz val="22"/>
            <color indexed="81"/>
            <rFont val="Tahoma"/>
            <family val="2"/>
          </rPr>
          <t>- Anhaltendes Wirtschaftswachstum gibt Unternehmen die Chance zu wachsen. Prozesse und Management müssen adäquat zur Unternehmensgröße gestaltet werden</t>
        </r>
      </text>
    </comment>
    <comment ref="B57" authorId="0">
      <text>
        <r>
          <rPr>
            <b/>
            <sz val="26"/>
            <color indexed="81"/>
            <rFont val="Tahoma"/>
            <family val="2"/>
          </rPr>
          <t>- Diese Faktoren gehören zu den Länderrisiken und sind besonders für Finanzinstitute und Exportunternehmungen wichtig und zu beachten</t>
        </r>
      </text>
    </comment>
    <comment ref="B63" authorId="0">
      <text>
        <r>
          <rPr>
            <b/>
            <sz val="24"/>
            <color indexed="81"/>
            <rFont val="Tahoma"/>
            <family val="2"/>
          </rPr>
          <t>- Die Art und Beschaffenheit des Arbeitsmarktes gibt Aussage darüber, inwiefern es möglich ist geeignetes Personal zu rekrutieren oder ob es notwendig ist, vorhandenes entsprechend zu schulen.</t>
        </r>
        <r>
          <rPr>
            <sz val="24"/>
            <color indexed="81"/>
            <rFont val="Tahoma"/>
            <family val="2"/>
          </rPr>
          <t xml:space="preserve">
</t>
        </r>
      </text>
    </comment>
    <comment ref="B69" authorId="0">
      <text>
        <r>
          <rPr>
            <b/>
            <sz val="18"/>
            <color indexed="81"/>
            <rFont val="Tahoma"/>
            <family val="2"/>
          </rPr>
          <t>- International und global agierende Unternehmungen müssen ihre Strategien an dieses Umfeld anpassen                                           - Unternehmen, die in ein internationales oder supranationales Umfeld (Bsp. Europäischer Binnenmarkt) gedrängt  werden sind gezwungen sich einem grösseren Wettbewerb zu stellen und durch effizientere und angepasste Prozesse und Strukturen ihre Marktanteile zu verteidigen oder zu erweitern                                                                                     -große Unternehmensprojekte werden international an verschiedenen Standorten durchgeführt</t>
        </r>
      </text>
    </comment>
    <comment ref="B75" authorId="0">
      <text>
        <r>
          <rPr>
            <b/>
            <sz val="20"/>
            <color indexed="81"/>
            <rFont val="Tahoma"/>
            <family val="2"/>
          </rPr>
          <t>- Unternehmen müssen die Ressourcenverfügbarkeit sicherstellen, um ihre Wertschöpfungskette nicht zu unterbrechen                             - Die Planung der Verfügbarkeit von Produktionsfaktoren muss an die Unternehmensumwelt angepasst werden</t>
        </r>
      </text>
    </comment>
    <comment ref="B81" authorId="0">
      <text>
        <r>
          <rPr>
            <b/>
            <sz val="18"/>
            <color indexed="81"/>
            <rFont val="Tahoma"/>
            <family val="2"/>
          </rPr>
          <t>- Das Wertgefüge einer Gesellschaft bestimmt wichtige Faktoren wie z.B. unternehmensinterne (Mitarbeiterkommunikation) und unternehmensexterne                                                 (Kundenkommunikation) Kommunikation.                                  -Besonders international agierende Unternehmungen müssen diese Werte länderspezifisch beachten, um Mitarbeiter und Kunden zu halten</t>
        </r>
        <r>
          <rPr>
            <sz val="18"/>
            <color indexed="81"/>
            <rFont val="Tahoma"/>
            <family val="2"/>
          </rPr>
          <t xml:space="preserve">
</t>
        </r>
      </text>
    </comment>
    <comment ref="B87" authorId="0">
      <text>
        <r>
          <rPr>
            <b/>
            <sz val="24"/>
            <color indexed="81"/>
            <rFont val="Tahoma"/>
            <family val="2"/>
          </rPr>
          <t>- bestimmte Lifestyletrends haben Einfluss auf kulturelle Umgangsformen und Arbeitsweisen der Mitarbeiter                                                                    - siehe Faktor Werte</t>
        </r>
      </text>
    </comment>
    <comment ref="B93" authorId="0">
      <text>
        <r>
          <rPr>
            <b/>
            <sz val="22"/>
            <color indexed="81"/>
            <rFont val="Tahoma"/>
            <family val="2"/>
          </rPr>
          <t>- mangelnde Kenntnisse können zu risikobehafteten, falschen Entscheidungen führen</t>
        </r>
        <r>
          <rPr>
            <sz val="22"/>
            <color indexed="81"/>
            <rFont val="Tahoma"/>
            <family val="2"/>
          </rPr>
          <t xml:space="preserve">
</t>
        </r>
      </text>
    </comment>
    <comment ref="B99" authorId="0">
      <text>
        <r>
          <rPr>
            <b/>
            <sz val="22"/>
            <color indexed="81"/>
            <rFont val="Tahoma"/>
            <family val="2"/>
          </rPr>
          <t>- Forschung birgt große Chancen, allerdings auch große Risiken, da sie zumeist mit hohen Kosten verbunden ist.</t>
        </r>
        <r>
          <rPr>
            <sz val="22"/>
            <color indexed="81"/>
            <rFont val="Tahoma"/>
            <family val="2"/>
          </rPr>
          <t xml:space="preserve">
</t>
        </r>
      </text>
    </comment>
    <comment ref="B105" authorId="0">
      <text>
        <r>
          <rPr>
            <b/>
            <sz val="18"/>
            <color indexed="81"/>
            <rFont val="Tahoma"/>
            <family val="2"/>
          </rPr>
          <t xml:space="preserve">- Unternehmen müssen auf neue Technologien, Methoden etc. reagieren, und deren Potenziale erkennen </t>
        </r>
        <r>
          <rPr>
            <sz val="18"/>
            <color indexed="81"/>
            <rFont val="Tahoma"/>
            <family val="2"/>
          </rPr>
          <t xml:space="preserve">
</t>
        </r>
      </text>
    </comment>
    <comment ref="B111" authorId="0">
      <text>
        <r>
          <rPr>
            <b/>
            <sz val="18"/>
            <color indexed="81"/>
            <rFont val="Tahoma"/>
            <family val="2"/>
          </rPr>
          <t>- Um ihre Wettbewerbsfähigkeit zu erhalten, müssen Unternehmen ihre Prozesse ständig gemäss des Effektivitäts und Effizienzgedankens weiterentwickeln.                                                         -Zudem müssen sie auf Neuerungen in ihrer Branche angemessen reagieren hierzu gehört auch das Einführen neuer Prozesse</t>
        </r>
        <r>
          <rPr>
            <sz val="18"/>
            <color indexed="81"/>
            <rFont val="Tahoma"/>
            <family val="2"/>
          </rPr>
          <t xml:space="preserve">
</t>
        </r>
      </text>
    </comment>
    <comment ref="B117" authorId="0">
      <text>
        <r>
          <rPr>
            <b/>
            <sz val="18"/>
            <color indexed="81"/>
            <rFont val="Tahoma"/>
            <family val="2"/>
          </rPr>
          <t>- kürzere Produktlebenszyklen der Wettbewerber  zwingen die Unternehmen dazu diesem Trend zu folgen.                                                                       - Produkte müssen schneller entwickelt und an den Markt gebracht werden.                                           - Dies erfordert direkte Eingriffe in die Wertschöpfungskette durch effektivere und effizientere Prozesse und neue Ansätze in den Managementstrategien.                                               - erhöhter Wettbewerb führt zu kürzeren Produktlebenszyklen</t>
        </r>
      </text>
    </comment>
  </commentList>
</comments>
</file>

<file path=xl/comments8.xml><?xml version="1.0" encoding="utf-8"?>
<comments xmlns="http://schemas.openxmlformats.org/spreadsheetml/2006/main">
  <authors>
    <author>Ronny Schwab</author>
  </authors>
  <commentList>
    <comment ref="D6" authorId="0">
      <text>
        <r>
          <rPr>
            <b/>
            <sz val="9"/>
            <color indexed="81"/>
            <rFont val="Tahoma"/>
            <family val="2"/>
          </rPr>
          <t xml:space="preserve">Wie schätzen Sie den Zielerreichungsgrad der Unternehmensziele durch das Projektes ein? --&gt; Heiraus leitet sich der Nutzen ab!!
z. B. Grad der Wirtschaftlichkeit sehr niedrig --&gt; niedriger Scoringwert
z. B. Ist der Kunde für uns von hoher Bedeutung? --&gt; hoher Scoringwert
z.B. Strategische Bedeutung sehr hoch --&gt; hoher Scoringwert
Versuchen Sie sich immer die RICHTIGEN Fragen zu stellen und dann den Scoringwert zu setzen.
</t>
        </r>
      </text>
    </comment>
    <comment ref="E6" authorId="0">
      <text>
        <r>
          <rPr>
            <b/>
            <sz val="9"/>
            <color indexed="81"/>
            <rFont val="Tahoma"/>
            <family val="2"/>
          </rPr>
          <t>Was ist der Grund für Ihre (gute/schlechte) Bewertung? So wissen Sie und andere Mitarbeiter, auch später noch, warum sie sich gerade so und nicht anders gescored haben.</t>
        </r>
      </text>
    </comment>
  </commentList>
</comments>
</file>

<file path=xl/comments9.xml><?xml version="1.0" encoding="utf-8"?>
<comments xmlns="http://schemas.openxmlformats.org/spreadsheetml/2006/main">
  <authors>
    <author>Ronny Schwab</author>
    <author>Benutzer</author>
  </authors>
  <commentList>
    <comment ref="G32" authorId="0">
      <text>
        <r>
          <rPr>
            <b/>
            <sz val="20"/>
            <color indexed="81"/>
            <rFont val="Tahoma"/>
            <family val="2"/>
          </rPr>
          <t>Wie stark ist das Projekt gefährdet bei Eintritt des Ereignisses?
Die Einschätzung bezieht sich nur auf dieses Ereignis, d.h. alle anderen bleiben gleich</t>
        </r>
        <r>
          <rPr>
            <sz val="9"/>
            <color indexed="81"/>
            <rFont val="Tahoma"/>
            <family val="2"/>
          </rPr>
          <t xml:space="preserve">
</t>
        </r>
      </text>
    </comment>
    <comment ref="H32" authorId="0">
      <text>
        <r>
          <rPr>
            <b/>
            <sz val="16"/>
            <color indexed="81"/>
            <rFont val="Tahoma"/>
            <family val="2"/>
          </rPr>
          <t>Wie hoch schätzen Sie die Wahrscheinlichkeit, dass das Ereignis eintrifft?</t>
        </r>
      </text>
    </comment>
    <comment ref="K32" authorId="0">
      <text>
        <r>
          <rPr>
            <sz val="18"/>
            <color indexed="81"/>
            <rFont val="Tahoma"/>
            <family val="2"/>
          </rPr>
          <t>=(</t>
        </r>
        <r>
          <rPr>
            <sz val="16"/>
            <color indexed="81"/>
            <rFont val="Tahoma"/>
            <family val="2"/>
          </rPr>
          <t>Risiko beim Eintreffen*Eintrittswahrscheinlichkeit)+(Risiko bei Nichteintreffen*(1-Eintrittswahrscheinlichkeit))
Das heisst, die Risikomaßzahl in diesem Modell ist Erwartungswert der Risikoschätzungen.</t>
        </r>
      </text>
    </comment>
    <comment ref="B33" authorId="0">
      <text>
        <r>
          <rPr>
            <b/>
            <sz val="20"/>
            <color indexed="81"/>
            <rFont val="Tahoma"/>
            <family val="2"/>
          </rPr>
          <t>- Neue Gesetze stellen Unternehmen vor die Aufgabe, Strukturen, Arbeitsweisen etc. gesetzeskonform zu gestalten.                                     - Die Gesetzgebung hat Auswirkungen auf Unternehmensprozesse und -ressourcen (personell/ materiell)</t>
        </r>
        <r>
          <rPr>
            <sz val="20"/>
            <color indexed="81"/>
            <rFont val="Tahoma"/>
            <family val="2"/>
          </rPr>
          <t xml:space="preserve">
</t>
        </r>
      </text>
    </comment>
    <comment ref="K38" authorId="1">
      <text>
        <r>
          <rPr>
            <b/>
            <sz val="14"/>
            <color indexed="81"/>
            <rFont val="Tahoma"/>
            <family val="2"/>
          </rPr>
          <t>Diese Zahl ist das aufsummierte Risiko der einzelnen Einflussfaktoren auf das Projekt. Sie gibt an, wieviel Risiko im einzelnen Einflussfaktor steckt.</t>
        </r>
      </text>
    </comment>
    <comment ref="B39" authorId="0">
      <text>
        <r>
          <rPr>
            <b/>
            <sz val="22"/>
            <color indexed="81"/>
            <rFont val="Tahoma"/>
            <family val="2"/>
          </rPr>
          <t xml:space="preserve">- Politische Instabilität gefährdet die Tätigkeit international agierender Unternehmungen                   - Sie erhöht das Risiko, die Unternehmensziele nicht oder nicht angemessen zu erreichen                          </t>
        </r>
      </text>
    </comment>
    <comment ref="B45" authorId="0">
      <text>
        <r>
          <rPr>
            <b/>
            <sz val="18"/>
            <color indexed="81"/>
            <rFont val="Tahoma"/>
            <family val="2"/>
          </rPr>
          <t>- Handelshemmnisse könnten zu Ressourcenknappheit führen und somit den strategischen Zielerreichungsprozess von Unternehmen gefährden</t>
        </r>
      </text>
    </comment>
    <comment ref="B51" authorId="0">
      <text>
        <r>
          <rPr>
            <b/>
            <sz val="22"/>
            <color indexed="81"/>
            <rFont val="Tahoma"/>
            <family val="2"/>
          </rPr>
          <t>- Anhaltendes Wirtschaftswachstum gibt Unternehmen die Chance zu wachsen. Prozesse und Management müssen adäquat zur Unternehmensgröße gestaltet werden</t>
        </r>
      </text>
    </comment>
    <comment ref="B57" authorId="0">
      <text>
        <r>
          <rPr>
            <b/>
            <sz val="26"/>
            <color indexed="81"/>
            <rFont val="Tahoma"/>
            <family val="2"/>
          </rPr>
          <t>- Diese Faktoren gehören zu den Länderrisiken und sind besonders für Finanzinstitute und Exportunternehmungen wichtig und zu beachten</t>
        </r>
      </text>
    </comment>
    <comment ref="B63" authorId="0">
      <text>
        <r>
          <rPr>
            <b/>
            <sz val="24"/>
            <color indexed="81"/>
            <rFont val="Tahoma"/>
            <family val="2"/>
          </rPr>
          <t>- Die Art und Beschaffenheit des Arbeitsmarktes gibt Aussage darüber, inwiefern es möglich ist geeignetes Personal zu rekrutieren oder ob es notwendig ist, vorhandenes entsprechend zu schulen.</t>
        </r>
        <r>
          <rPr>
            <sz val="24"/>
            <color indexed="81"/>
            <rFont val="Tahoma"/>
            <family val="2"/>
          </rPr>
          <t xml:space="preserve">
</t>
        </r>
      </text>
    </comment>
    <comment ref="B69" authorId="0">
      <text>
        <r>
          <rPr>
            <b/>
            <sz val="18"/>
            <color indexed="81"/>
            <rFont val="Tahoma"/>
            <family val="2"/>
          </rPr>
          <t>- International und global agierende Unternehmungen müssen ihre Strategien an dieses Umfeld anpassen                                           - Unternehmen, die in ein internationales oder supranationales Umfeld (Bsp. Europäischer Binnenmarkt) gedrängt  werden sind gezwungen sich einem grösseren Wettbewerb zu stellen und durch effizientere und angepasste Prozesse und Strukturen ihre Marktanteile zu verteidigen oder zu erweitern                                                                                     -große Unternehmensprojekte werden international an verschiedenen Standorten durchgeführt</t>
        </r>
      </text>
    </comment>
    <comment ref="B75" authorId="0">
      <text>
        <r>
          <rPr>
            <b/>
            <sz val="20"/>
            <color indexed="81"/>
            <rFont val="Tahoma"/>
            <family val="2"/>
          </rPr>
          <t>- Unternehmen müssen die Ressourcenverfügbarkeit sicherstellen, um ihre Wertschöpfungskette nicht zu unterbrechen                             - Die Planung der Verfügbarkeit von Produktionsfaktoren muss an die Unternehmensumwelt angepasst werden</t>
        </r>
      </text>
    </comment>
    <comment ref="B81" authorId="0">
      <text>
        <r>
          <rPr>
            <b/>
            <sz val="18"/>
            <color indexed="81"/>
            <rFont val="Tahoma"/>
            <family val="2"/>
          </rPr>
          <t>- Das Wertgefüge einer Gesellschaft bestimmt wichtige Faktoren wie z.B. unternehmensinterne (Mitarbeiterkommunikation) und unternehmensexterne                                                 (Kundenkommunikation) Kommunikation.                                  -Besonders international agierende Unternehmungen müssen diese Werte länderspezifisch beachten, um Mitarbeiter und Kunden zu halten</t>
        </r>
        <r>
          <rPr>
            <sz val="18"/>
            <color indexed="81"/>
            <rFont val="Tahoma"/>
            <family val="2"/>
          </rPr>
          <t xml:space="preserve">
</t>
        </r>
      </text>
    </comment>
    <comment ref="B87" authorId="0">
      <text>
        <r>
          <rPr>
            <b/>
            <sz val="24"/>
            <color indexed="81"/>
            <rFont val="Tahoma"/>
            <family val="2"/>
          </rPr>
          <t>- bestimmte Lifestyletrends haben Einfluss auf kulturelle Umgangsformen und Arbeitsweisen der Mitarbeiter                                                                    - siehe Faktor Werte</t>
        </r>
      </text>
    </comment>
    <comment ref="B93" authorId="0">
      <text>
        <r>
          <rPr>
            <b/>
            <sz val="22"/>
            <color indexed="81"/>
            <rFont val="Tahoma"/>
            <family val="2"/>
          </rPr>
          <t>- mangelnde Kenntnisse können zu risikobehafteten, falschen Entscheidungen führen</t>
        </r>
        <r>
          <rPr>
            <sz val="22"/>
            <color indexed="81"/>
            <rFont val="Tahoma"/>
            <family val="2"/>
          </rPr>
          <t xml:space="preserve">
</t>
        </r>
      </text>
    </comment>
    <comment ref="B99" authorId="0">
      <text>
        <r>
          <rPr>
            <b/>
            <sz val="22"/>
            <color indexed="81"/>
            <rFont val="Tahoma"/>
            <family val="2"/>
          </rPr>
          <t>- Forschung birgt große Chancen, allerdings auch große Risiken, da sie zumeist mit hohen Kosten verbunden ist.</t>
        </r>
        <r>
          <rPr>
            <sz val="22"/>
            <color indexed="81"/>
            <rFont val="Tahoma"/>
            <family val="2"/>
          </rPr>
          <t xml:space="preserve">
</t>
        </r>
      </text>
    </comment>
    <comment ref="B105" authorId="0">
      <text>
        <r>
          <rPr>
            <b/>
            <sz val="18"/>
            <color indexed="81"/>
            <rFont val="Tahoma"/>
            <family val="2"/>
          </rPr>
          <t xml:space="preserve">- Unternehmen müssen auf neue Technologien, Methoden etc. reagieren, und deren Potenziale erkennen </t>
        </r>
        <r>
          <rPr>
            <sz val="18"/>
            <color indexed="81"/>
            <rFont val="Tahoma"/>
            <family val="2"/>
          </rPr>
          <t xml:space="preserve">
</t>
        </r>
      </text>
    </comment>
    <comment ref="B111" authorId="0">
      <text>
        <r>
          <rPr>
            <b/>
            <sz val="18"/>
            <color indexed="81"/>
            <rFont val="Tahoma"/>
            <family val="2"/>
          </rPr>
          <t>- Um ihre Wettbewerbsfähigkeit zu erhalten, müssen Unternehmen ihre Prozesse ständig gemäss des Effektivitäts und Effizienzgedankens weiterentwickeln.                                                         -Zudem müssen sie auf Neuerungen in ihrer Branche angemessen reagieren hierzu gehört auch das Einführen neuer Prozesse</t>
        </r>
        <r>
          <rPr>
            <sz val="18"/>
            <color indexed="81"/>
            <rFont val="Tahoma"/>
            <family val="2"/>
          </rPr>
          <t xml:space="preserve">
</t>
        </r>
      </text>
    </comment>
    <comment ref="B117" authorId="0">
      <text>
        <r>
          <rPr>
            <b/>
            <sz val="18"/>
            <color indexed="81"/>
            <rFont val="Tahoma"/>
            <family val="2"/>
          </rPr>
          <t>- kürzere Produktlebenszyklen der Wettbewerber  zwingen die Unternehmen dazu diesem Trend zu folgen.                                                                       - Produkte müssen schneller entwickelt und an den Markt gebracht werden.                                           - Dies erfordert direkte Eingriffe in die Wertschöpfungskette durch effektivere und effizientere Prozesse und neue Ansätze in den Managementstrategien.                                               - erhöhter Wettbewerb führt zu kürzeren Produktlebenszyklen</t>
        </r>
      </text>
    </comment>
  </commentList>
</comments>
</file>

<file path=xl/comments10.xml><?xml version="1.0" encoding="utf-8"?>
<comments xmlns="http://schemas.openxmlformats.org/spreadsheetml/2006/main">
  <authors>
    <author>Ronny Schwab</author>
  </authors>
  <commentList>
    <comment ref="D6" authorId="0">
      <text>
        <r>
          <rPr>
            <b/>
            <sz val="9"/>
            <color indexed="81"/>
            <rFont val="Tahoma"/>
            <family val="2"/>
          </rPr>
          <t xml:space="preserve">Wie schätzen Sie den Zielerreichungsgrad der Unternehmensziele durch das Projektes ein? --&gt; Heiraus leitet sich der Nutzen ab!!
z. B. Grad der Wirtschaftlichkeit sehr niedrig --&gt; niedriger Scoringwert
z. B. Ist der Kunde für uns von hoher Bedeutung? --&gt; hoher Scoringwert
z.B. Strategische Bedeutung sehr hoch --&gt; hoher Scoringwert
Versuchen Sie sich immer die RICHTIGEN Fragen zu stellen und dann den Scoringwert zu setzen.
</t>
        </r>
      </text>
    </comment>
    <comment ref="E6" authorId="0">
      <text>
        <r>
          <rPr>
            <b/>
            <sz val="9"/>
            <color indexed="81"/>
            <rFont val="Tahoma"/>
            <family val="2"/>
          </rPr>
          <t>Was ist der Grund für Ihre (gute/schlechte) Bewertung? So wissen Sie und andere Mitarbeiter, auch später noch, warum sie sich gerade so und nicht anders gescored haben.</t>
        </r>
      </text>
    </comment>
  </commentList>
</comments>
</file>

<file path=xl/comments11.xml><?xml version="1.0" encoding="utf-8"?>
<comments xmlns="http://schemas.openxmlformats.org/spreadsheetml/2006/main">
  <authors>
    <author>Ronny Schwab</author>
    <author>Benutzer</author>
  </authors>
  <commentList>
    <comment ref="G32" authorId="0">
      <text>
        <r>
          <rPr>
            <b/>
            <sz val="20"/>
            <color indexed="81"/>
            <rFont val="Tahoma"/>
            <family val="2"/>
          </rPr>
          <t>Wie stark ist das Projekt gefährdet bei Eintritt des Ereignisses?
Die Einschätzung bezieht sich nur auf dieses Ereignis, d.h. alle anderen bleiben gleich</t>
        </r>
        <r>
          <rPr>
            <sz val="9"/>
            <color indexed="81"/>
            <rFont val="Tahoma"/>
            <family val="2"/>
          </rPr>
          <t xml:space="preserve">
</t>
        </r>
      </text>
    </comment>
    <comment ref="H32" authorId="0">
      <text>
        <r>
          <rPr>
            <b/>
            <sz val="16"/>
            <color indexed="81"/>
            <rFont val="Tahoma"/>
            <family val="2"/>
          </rPr>
          <t>Wie hoch schätzen Sie die Wahrscheinlichkeit, dass das Ereignis eintrifft?</t>
        </r>
      </text>
    </comment>
    <comment ref="K32" authorId="0">
      <text>
        <r>
          <rPr>
            <sz val="18"/>
            <color indexed="81"/>
            <rFont val="Tahoma"/>
            <family val="2"/>
          </rPr>
          <t>=(</t>
        </r>
        <r>
          <rPr>
            <sz val="16"/>
            <color indexed="81"/>
            <rFont val="Tahoma"/>
            <family val="2"/>
          </rPr>
          <t>Risiko beim Eintreffen*Eintrittswahrscheinlichkeit)+(Risiko bei Nichteintreffen*(1-Eintrittswahrscheinlichkeit))
Das heisst, die Risikomaßzahl in diesem Modell ist Erwartungswert der Risikoschätzungen.</t>
        </r>
      </text>
    </comment>
    <comment ref="B33" authorId="0">
      <text>
        <r>
          <rPr>
            <b/>
            <sz val="20"/>
            <color indexed="81"/>
            <rFont val="Tahoma"/>
            <family val="2"/>
          </rPr>
          <t>- Neue Gesetze stellen Unternehmen vor die Aufgabe, Strukturen, Arbeitsweisen etc. gesetzeskonform zu gestalten.                                     - Die Gesetzgebung hat Auswirkungen auf Unternehmensprozesse und -ressourcen (personell/ materiell)</t>
        </r>
        <r>
          <rPr>
            <sz val="20"/>
            <color indexed="81"/>
            <rFont val="Tahoma"/>
            <family val="2"/>
          </rPr>
          <t xml:space="preserve">
</t>
        </r>
      </text>
    </comment>
    <comment ref="K38" authorId="1">
      <text>
        <r>
          <rPr>
            <b/>
            <sz val="14"/>
            <color indexed="81"/>
            <rFont val="Tahoma"/>
            <family val="2"/>
          </rPr>
          <t>Diese Zahl ist das aufsummierte Risiko der einzelnen Einflussfaktoren auf das Projekt. Sie gibt an, wieviel Risiko im einzelnen Einflussfaktor steckt.</t>
        </r>
      </text>
    </comment>
    <comment ref="B39" authorId="0">
      <text>
        <r>
          <rPr>
            <b/>
            <sz val="22"/>
            <color indexed="81"/>
            <rFont val="Tahoma"/>
            <family val="2"/>
          </rPr>
          <t xml:space="preserve">- Politische Instabilität gefährdet die Tätigkeit international agierender Unternehmungen                   - Sie erhöht das Risiko, die Unternehmensziele nicht oder nicht angemessen zu erreichen                          </t>
        </r>
      </text>
    </comment>
    <comment ref="B45" authorId="0">
      <text>
        <r>
          <rPr>
            <b/>
            <sz val="18"/>
            <color indexed="81"/>
            <rFont val="Tahoma"/>
            <family val="2"/>
          </rPr>
          <t>- Handelshemmnisse könnten zu Ressourcenknappheit führen und somit den strategischen Zielerreichungsprozess von Unternehmen gefährden</t>
        </r>
      </text>
    </comment>
    <comment ref="B51" authorId="0">
      <text>
        <r>
          <rPr>
            <b/>
            <sz val="22"/>
            <color indexed="81"/>
            <rFont val="Tahoma"/>
            <family val="2"/>
          </rPr>
          <t>- Anhaltendes Wirtschaftswachstum gibt Unternehmen die Chance zu wachsen. Prozesse und Management müssen adäquat zur Unternehmensgröße gestaltet werden</t>
        </r>
      </text>
    </comment>
    <comment ref="B57" authorId="0">
      <text>
        <r>
          <rPr>
            <b/>
            <sz val="26"/>
            <color indexed="81"/>
            <rFont val="Tahoma"/>
            <family val="2"/>
          </rPr>
          <t>- Diese Faktoren gehören zu den Länderrisiken und sind besonders für Finanzinstitute und Exportunternehmungen wichtig und zu beachten</t>
        </r>
      </text>
    </comment>
    <comment ref="B63" authorId="0">
      <text>
        <r>
          <rPr>
            <b/>
            <sz val="24"/>
            <color indexed="81"/>
            <rFont val="Tahoma"/>
            <family val="2"/>
          </rPr>
          <t>- Die Art und Beschaffenheit des Arbeitsmarktes gibt Aussage darüber, inwiefern es möglich ist geeignetes Personal zu rekrutieren oder ob es notwendig ist, vorhandenes entsprechend zu schulen.</t>
        </r>
        <r>
          <rPr>
            <sz val="24"/>
            <color indexed="81"/>
            <rFont val="Tahoma"/>
            <family val="2"/>
          </rPr>
          <t xml:space="preserve">
</t>
        </r>
      </text>
    </comment>
    <comment ref="B69" authorId="0">
      <text>
        <r>
          <rPr>
            <b/>
            <sz val="18"/>
            <color indexed="81"/>
            <rFont val="Tahoma"/>
            <family val="2"/>
          </rPr>
          <t>- International und global agierende Unternehmungen müssen ihre Strategien an dieses Umfeld anpassen                                           - Unternehmen, die in ein internationales oder supranationales Umfeld (Bsp. Europäischer Binnenmarkt) gedrängt  werden sind gezwungen sich einem grösseren Wettbewerb zu stellen und durch effizientere und angepasste Prozesse und Strukturen ihre Marktanteile zu verteidigen oder zu erweitern                                                                                     -große Unternehmensprojekte werden international an verschiedenen Standorten durchgeführt</t>
        </r>
      </text>
    </comment>
    <comment ref="B75" authorId="0">
      <text>
        <r>
          <rPr>
            <b/>
            <sz val="20"/>
            <color indexed="81"/>
            <rFont val="Tahoma"/>
            <family val="2"/>
          </rPr>
          <t>- Unternehmen müssen die Ressourcenverfügbarkeit sicherstellen, um ihre Wertschöpfungskette nicht zu unterbrechen                             - Die Planung der Verfügbarkeit von Produktionsfaktoren muss an die Unternehmensumwelt angepasst werden</t>
        </r>
      </text>
    </comment>
    <comment ref="B81" authorId="0">
      <text>
        <r>
          <rPr>
            <b/>
            <sz val="18"/>
            <color indexed="81"/>
            <rFont val="Tahoma"/>
            <family val="2"/>
          </rPr>
          <t>- Das Wertgefüge einer Gesellschaft bestimmt wichtige Faktoren wie z.B. unternehmensinterne (Mitarbeiterkommunikation) und unternehmensexterne                                                 (Kundenkommunikation) Kommunikation.                                  -Besonders international agierende Unternehmungen müssen diese Werte länderspezifisch beachten, um Mitarbeiter und Kunden zu halten</t>
        </r>
        <r>
          <rPr>
            <sz val="18"/>
            <color indexed="81"/>
            <rFont val="Tahoma"/>
            <family val="2"/>
          </rPr>
          <t xml:space="preserve">
</t>
        </r>
      </text>
    </comment>
    <comment ref="B87" authorId="0">
      <text>
        <r>
          <rPr>
            <b/>
            <sz val="24"/>
            <color indexed="81"/>
            <rFont val="Tahoma"/>
            <family val="2"/>
          </rPr>
          <t>- bestimmte Lifestyletrends haben Einfluss auf kulturelle Umgangsformen und Arbeitsweisen der Mitarbeiter                                                                    - siehe Faktor Werte</t>
        </r>
      </text>
    </comment>
    <comment ref="B93" authorId="0">
      <text>
        <r>
          <rPr>
            <b/>
            <sz val="22"/>
            <color indexed="81"/>
            <rFont val="Tahoma"/>
            <family val="2"/>
          </rPr>
          <t>- mangelnde Kenntnisse können zu risikobehafteten, falschen Entscheidungen führen</t>
        </r>
        <r>
          <rPr>
            <sz val="22"/>
            <color indexed="81"/>
            <rFont val="Tahoma"/>
            <family val="2"/>
          </rPr>
          <t xml:space="preserve">
</t>
        </r>
      </text>
    </comment>
    <comment ref="B99" authorId="0">
      <text>
        <r>
          <rPr>
            <b/>
            <sz val="22"/>
            <color indexed="81"/>
            <rFont val="Tahoma"/>
            <family val="2"/>
          </rPr>
          <t>- Forschung birgt große Chancen, allerdings auch große Risiken, da sie zumeist mit hohen Kosten verbunden ist.</t>
        </r>
        <r>
          <rPr>
            <sz val="22"/>
            <color indexed="81"/>
            <rFont val="Tahoma"/>
            <family val="2"/>
          </rPr>
          <t xml:space="preserve">
</t>
        </r>
      </text>
    </comment>
    <comment ref="B105" authorId="0">
      <text>
        <r>
          <rPr>
            <b/>
            <sz val="18"/>
            <color indexed="81"/>
            <rFont val="Tahoma"/>
            <family val="2"/>
          </rPr>
          <t xml:space="preserve">- Unternehmen müssen auf neue Technologien, Methoden etc. reagieren, und deren Potenziale erkennen </t>
        </r>
        <r>
          <rPr>
            <sz val="18"/>
            <color indexed="81"/>
            <rFont val="Tahoma"/>
            <family val="2"/>
          </rPr>
          <t xml:space="preserve">
</t>
        </r>
      </text>
    </comment>
    <comment ref="B111" authorId="0">
      <text>
        <r>
          <rPr>
            <b/>
            <sz val="18"/>
            <color indexed="81"/>
            <rFont val="Tahoma"/>
            <family val="2"/>
          </rPr>
          <t>- Um ihre Wettbewerbsfähigkeit zu erhalten, müssen Unternehmen ihre Prozesse ständig gemäss des Effektivitäts und Effizienzgedankens weiterentwickeln.                                                         -Zudem müssen sie auf Neuerungen in ihrer Branche angemessen reagieren hierzu gehört auch das Einführen neuer Prozesse</t>
        </r>
        <r>
          <rPr>
            <sz val="18"/>
            <color indexed="81"/>
            <rFont val="Tahoma"/>
            <family val="2"/>
          </rPr>
          <t xml:space="preserve">
</t>
        </r>
      </text>
    </comment>
    <comment ref="B117" authorId="0">
      <text>
        <r>
          <rPr>
            <b/>
            <sz val="18"/>
            <color indexed="81"/>
            <rFont val="Tahoma"/>
            <family val="2"/>
          </rPr>
          <t>- kürzere Produktlebenszyklen der Wettbewerber  zwingen die Unternehmen dazu diesem Trend zu folgen.                                                                       - Produkte müssen schneller entwickelt und an den Markt gebracht werden.                                           - Dies erfordert direkte Eingriffe in die Wertschöpfungskette durch effektivere und effizientere Prozesse und neue Ansätze in den Managementstrategien.                                               - erhöhter Wettbewerb führt zu kürzeren Produktlebenszyklen</t>
        </r>
      </text>
    </comment>
  </commentList>
</comments>
</file>

<file path=xl/comments12.xml><?xml version="1.0" encoding="utf-8"?>
<comments xmlns="http://schemas.openxmlformats.org/spreadsheetml/2006/main">
  <authors>
    <author>Ronny Schwab</author>
  </authors>
  <commentList>
    <comment ref="D6" authorId="0">
      <text>
        <r>
          <rPr>
            <b/>
            <sz val="9"/>
            <color indexed="81"/>
            <rFont val="Tahoma"/>
            <family val="2"/>
          </rPr>
          <t xml:space="preserve">Wie schätzen Sie den Zielerreichungsgrad der Unternehmensziele durch das Projektes ein? --&gt; Heiraus leitet sich der Nutzen ab!!
z. B. Grad der Wirtschaftlichkeit sehr niedrig --&gt; niedriger Scoringwert
z. B. Ist der Kunde für uns von hoher Bedeutung? --&gt; hoher Scoringwert
z.B. Strategische Bedeutung sehr hoch --&gt; hoher Scoringwert
Versuchen Sie sich immer die RICHTIGEN Fragen zu stellen und dann den Scoringwert zu setzen.
</t>
        </r>
      </text>
    </comment>
    <comment ref="E6" authorId="0">
      <text>
        <r>
          <rPr>
            <b/>
            <sz val="9"/>
            <color indexed="81"/>
            <rFont val="Tahoma"/>
            <family val="2"/>
          </rPr>
          <t>Was ist der Grund für Ihre (gute/schlechte) Bewertung? So wissen Sie und andere Mitarbeiter, auch später noch, warum sie sich gerade so und nicht anders gescored haben.</t>
        </r>
      </text>
    </comment>
  </commentList>
</comments>
</file>

<file path=xl/sharedStrings.xml><?xml version="1.0" encoding="utf-8"?>
<sst xmlns="http://schemas.openxmlformats.org/spreadsheetml/2006/main" count="382" uniqueCount="96">
  <si>
    <t xml:space="preserve">Makroökonomische Einflussfaktoren </t>
  </si>
  <si>
    <t>mögliche Auswirkungen auf Unternehmen</t>
  </si>
  <si>
    <t>mögliche Auswirkungen auf PM</t>
  </si>
  <si>
    <t>Economical</t>
  </si>
  <si>
    <t>Social</t>
  </si>
  <si>
    <t>Technological</t>
  </si>
  <si>
    <t>mögliche Auswirkungen auf das Projekt</t>
  </si>
  <si>
    <t>geschätzte Eintrittswahrscheinlichkeit</t>
  </si>
  <si>
    <t xml:space="preserve">Lebensstil/ Mentalitäten </t>
  </si>
  <si>
    <t xml:space="preserve">Gesetzgebung </t>
  </si>
  <si>
    <t>Nicht-Eintrittswahrscheinlichkeit</t>
  </si>
  <si>
    <t>Risiko</t>
  </si>
  <si>
    <t>sehr gering</t>
  </si>
  <si>
    <t>gering</t>
  </si>
  <si>
    <t>mittel</t>
  </si>
  <si>
    <t>hoch</t>
  </si>
  <si>
    <t>sehr hoch</t>
  </si>
  <si>
    <t>Risikokalibrierung</t>
  </si>
  <si>
    <t>trifft nicht ein</t>
  </si>
  <si>
    <t>führt zum Abbruch</t>
  </si>
  <si>
    <t>Projektrisiko bei Nichteintreffen             (ceteris paribus)</t>
  </si>
  <si>
    <t>Projektrisiko bei Eintreffen                (ceteris paribus)</t>
  </si>
  <si>
    <t>nicht vorhanden</t>
  </si>
  <si>
    <t>Risikomaßzahl</t>
  </si>
  <si>
    <t>politische Stabilität/ Rechtssicherheit</t>
  </si>
  <si>
    <t xml:space="preserve">Handelshemmnisse (Zölle/ Schranken/ regolatorische Hemmnisse ...) </t>
  </si>
  <si>
    <t xml:space="preserve">Wirtschaftswachstum </t>
  </si>
  <si>
    <t xml:space="preserve">Inflation, Zinsen, Wechselkurse </t>
  </si>
  <si>
    <t xml:space="preserve">Arbeitsmarkt (Quantität/ Qualität ...) </t>
  </si>
  <si>
    <t xml:space="preserve">Globalisierung/ Internationalisierung </t>
  </si>
  <si>
    <t xml:space="preserve">Ressourcenverfügbarkeit </t>
  </si>
  <si>
    <t xml:space="preserve">Werte </t>
  </si>
  <si>
    <t>Gesamtprojektrisiko</t>
  </si>
  <si>
    <t>Eintrittswahrscheinlichkeit - Schwellenwerte</t>
  </si>
  <si>
    <t>Bewertungssystem Projektrisiko</t>
  </si>
  <si>
    <t>Definition</t>
  </si>
  <si>
    <t>Bildung</t>
  </si>
  <si>
    <t xml:space="preserve">Forschung </t>
  </si>
  <si>
    <t xml:space="preserve">neue Technologien und Produkte </t>
  </si>
  <si>
    <t>neue Prozesse</t>
  </si>
  <si>
    <t>mögliche Ereignisse</t>
  </si>
  <si>
    <t>Projektvolumen</t>
  </si>
  <si>
    <t>Projektrisiko</t>
  </si>
  <si>
    <t>Projektnutzenscore</t>
  </si>
  <si>
    <t>Projektname</t>
  </si>
  <si>
    <t>Strategische Bedeutung/ Beitrag zur Unternehmensstrategie</t>
  </si>
  <si>
    <t>Operative Dringlichkeit</t>
  </si>
  <si>
    <t>Markt/ Wettbewerbssituation</t>
  </si>
  <si>
    <t>Gewichtung</t>
  </si>
  <si>
    <t>Wichtigkeit des Kunden</t>
  </si>
  <si>
    <t>Score</t>
  </si>
  <si>
    <t>Wert</t>
  </si>
  <si>
    <t>weniger wichtig</t>
  </si>
  <si>
    <t>wichtig</t>
  </si>
  <si>
    <t>sehr wichtig</t>
  </si>
  <si>
    <t>kann vernachlässigt werden</t>
  </si>
  <si>
    <t>Nutzenkriterien für Projekte</t>
  </si>
  <si>
    <t>Bewertung</t>
  </si>
  <si>
    <t>Bedeutung</t>
  </si>
  <si>
    <t>sehr gering/ schlecht</t>
  </si>
  <si>
    <t>sehr hoch/ gut</t>
  </si>
  <si>
    <t>Projekt-Nutzen-Score:</t>
  </si>
  <si>
    <t>Reputation</t>
  </si>
  <si>
    <t>Projekt-Volumen:</t>
  </si>
  <si>
    <t>Produktlebenszyklen</t>
  </si>
  <si>
    <t>Political</t>
  </si>
  <si>
    <t>Begründung</t>
  </si>
  <si>
    <t>Legende</t>
  </si>
  <si>
    <t>Nutzenscore</t>
  </si>
  <si>
    <t>Projekt Nigeria</t>
  </si>
  <si>
    <t>STEP-Analyse Nigeria</t>
  </si>
  <si>
    <t>Nutzen-Score Nigeria</t>
  </si>
  <si>
    <t>Das Ereignis hat keine negativen Auswirkungen auf das Projekt.</t>
  </si>
  <si>
    <t>Die Auswirkungen auf das Projekt sind marginal und können vernachlässigt werden.</t>
  </si>
  <si>
    <t>Die Auswirkungen auf das Projekt sind zwar gering aber sollten Beachtung finden.</t>
  </si>
  <si>
    <t>Die Auswirkung auf das Projekt haben einen Einfluss auf den Projektverlauf und sollten mit Maßnahmen zur Risikominderung abgeschwächt werden.</t>
  </si>
  <si>
    <t>Die Auswirkungen auf das Projekt können sehr entscheidend sein und sollten unbedingt gemindert werden.</t>
  </si>
  <si>
    <t>Die Auswirkungen auf das Projekt können so entscheidend sein, dass sie das Projekt extrem gefährden könnten.</t>
  </si>
  <si>
    <t>Die Auswirkungen auf das Projekt führen dazu, dass die Aufwand/ Nutzen Relation nicht mehr stimmt und das Projekt eigentlich abgebrochen werden müsste.</t>
  </si>
  <si>
    <t>Projekt Russland</t>
  </si>
  <si>
    <t>STEP-Analyse Russland</t>
  </si>
  <si>
    <t>Nutzen-Score Russland</t>
  </si>
  <si>
    <t>Abbruchsrisiko</t>
  </si>
  <si>
    <t>Anteil Am Gesamtrisiko</t>
  </si>
  <si>
    <t>Projekt Brasilien</t>
  </si>
  <si>
    <t>STEP-Analyse Brasilien</t>
  </si>
  <si>
    <t>Nutzen-Score Brasilien</t>
  </si>
  <si>
    <t>Riskratio 1</t>
  </si>
  <si>
    <t>Riskratio 2</t>
  </si>
  <si>
    <t>Projekt China</t>
  </si>
  <si>
    <t>STEP-Analyse China</t>
  </si>
  <si>
    <t>Nutzen-Score China</t>
  </si>
  <si>
    <t>Wirtschaftlichkeit Kosten/Nutzenrelation)</t>
  </si>
  <si>
    <t>mögliche Risikostrategien</t>
  </si>
  <si>
    <t>Minimalnutzengrenze:</t>
  </si>
  <si>
    <t>Maximalrisikogrenze: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</si>
</sst>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 \ &quot;Anteil am Gesamtprojektrisiko&quot;"/>
    <numFmt numFmtId="165" formatCode="0.00\ &quot;TEUR&quot;"/>
    <numFmt numFmtId="166" formatCode="0.0"/>
    <numFmt numFmtId="167" formatCode="&quot;Risikomaßzahl: &quot;\ @"/>
  </numFmts>
  <fonts count="34" x14ac:knownFonts="1">
    <font>
      <sz val="11"/>
      <color theme="1"/>
      <name val="Arial"/>
      <family val="2"/>
    </font>
    <font>
      <sz val="11"/>
      <color theme="1"/>
      <name val="Arial"/>
      <family val="2"/>
    </font>
    <font>
      <b/>
      <sz val="11"/>
      <color theme="1"/>
      <name val="Arial"/>
      <family val="2"/>
    </font>
    <font>
      <b/>
      <sz val="14"/>
      <color theme="1"/>
      <name val="Arial"/>
      <family val="2"/>
    </font>
    <font>
      <sz val="12"/>
      <color theme="1"/>
      <name val="Arial"/>
      <family val="2"/>
    </font>
    <font>
      <sz val="11"/>
      <color theme="0"/>
      <name val="Arial"/>
      <family val="2"/>
    </font>
    <font>
      <b/>
      <sz val="16"/>
      <color theme="1"/>
      <name val="Arial"/>
      <family val="2"/>
    </font>
    <font>
      <b/>
      <sz val="24"/>
      <color theme="1"/>
      <name val="Arial"/>
      <family val="2"/>
    </font>
    <font>
      <sz val="9"/>
      <color indexed="81"/>
      <name val="Tahoma"/>
      <family val="2"/>
    </font>
    <font>
      <b/>
      <sz val="16"/>
      <color indexed="81"/>
      <name val="Tahoma"/>
      <family val="2"/>
    </font>
    <font>
      <b/>
      <sz val="20"/>
      <color indexed="81"/>
      <name val="Tahoma"/>
      <family val="2"/>
    </font>
    <font>
      <b/>
      <sz val="28"/>
      <color theme="1"/>
      <name val="Arial"/>
      <family val="2"/>
    </font>
    <font>
      <sz val="16"/>
      <color indexed="81"/>
      <name val="Tahoma"/>
      <family val="2"/>
    </font>
    <font>
      <sz val="18"/>
      <color indexed="81"/>
      <name val="Tahoma"/>
      <family val="2"/>
    </font>
    <font>
      <b/>
      <sz val="18"/>
      <color indexed="81"/>
      <name val="Tahoma"/>
      <family val="2"/>
    </font>
    <font>
      <sz val="20"/>
      <color indexed="81"/>
      <name val="Tahoma"/>
      <family val="2"/>
    </font>
    <font>
      <b/>
      <sz val="22"/>
      <color indexed="81"/>
      <name val="Tahoma"/>
      <family val="2"/>
    </font>
    <font>
      <b/>
      <sz val="24"/>
      <color indexed="81"/>
      <name val="Tahoma"/>
      <family val="2"/>
    </font>
    <font>
      <b/>
      <sz val="26"/>
      <color indexed="81"/>
      <name val="Tahoma"/>
      <family val="2"/>
    </font>
    <font>
      <sz val="22"/>
      <color indexed="81"/>
      <name val="Tahoma"/>
      <family val="2"/>
    </font>
    <font>
      <sz val="24"/>
      <color indexed="81"/>
      <name val="Tahoma"/>
      <family val="2"/>
    </font>
    <font>
      <u/>
      <sz val="11"/>
      <color theme="11"/>
      <name val="Arial"/>
      <family val="2"/>
    </font>
    <font>
      <b/>
      <sz val="14"/>
      <color indexed="81"/>
      <name val="Tahoma"/>
      <family val="2"/>
    </font>
    <font>
      <b/>
      <sz val="18"/>
      <color theme="1"/>
      <name val="Arial"/>
      <family val="2"/>
    </font>
    <font>
      <sz val="7.7"/>
      <color theme="0"/>
      <name val="Verdana"/>
      <family val="2"/>
    </font>
    <font>
      <b/>
      <sz val="9"/>
      <color indexed="81"/>
      <name val="Tahoma"/>
      <family val="2"/>
    </font>
    <font>
      <b/>
      <sz val="22"/>
      <color theme="1"/>
      <name val="Arial"/>
      <family val="2"/>
    </font>
    <font>
      <b/>
      <sz val="12"/>
      <color theme="0"/>
      <name val="Arial"/>
      <family val="2"/>
    </font>
    <font>
      <b/>
      <sz val="14"/>
      <color theme="0"/>
      <name val="Arial"/>
      <family val="2"/>
    </font>
    <font>
      <b/>
      <sz val="11"/>
      <color theme="0"/>
      <name val="Arial"/>
      <family val="2"/>
    </font>
    <font>
      <sz val="11"/>
      <color theme="0" tint="-0.34998626667073579"/>
      <name val="Arial"/>
      <family val="2"/>
    </font>
    <font>
      <sz val="11"/>
      <color theme="0" tint="-0.499984740745262"/>
      <name val="Arial"/>
      <family val="2"/>
    </font>
    <font>
      <sz val="11"/>
      <color indexed="8"/>
      <name val="Arial"/>
      <family val="2"/>
    </font>
    <font>
      <b/>
      <u/>
      <sz val="11"/>
      <color theme="1"/>
      <name val="Arial"/>
      <family val="2"/>
    </font>
  </fonts>
  <fills count="23">
    <fill>
      <patternFill patternType="none"/>
    </fill>
    <fill>
      <patternFill patternType="gray125"/>
    </fill>
    <fill>
      <patternFill patternType="solid">
        <fgColor theme="4" tint="0.79998168889431442"/>
        <bgColor indexed="64"/>
      </patternFill>
    </fill>
    <fill>
      <patternFill patternType="lightDown"/>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theme="5" tint="-0.249977111117893"/>
        <bgColor indexed="64"/>
      </patternFill>
    </fill>
    <fill>
      <patternFill patternType="solid">
        <fgColor rgb="FFFFFF00"/>
        <bgColor indexed="64"/>
      </patternFill>
    </fill>
    <fill>
      <patternFill patternType="solid">
        <fgColor rgb="FFFF0000"/>
        <bgColor indexed="64"/>
      </patternFill>
    </fill>
    <fill>
      <patternFill patternType="solid">
        <fgColor theme="3" tint="0.59999389629810485"/>
        <bgColor indexed="64"/>
      </patternFill>
    </fill>
    <fill>
      <patternFill patternType="solid">
        <fgColor rgb="FFC00000"/>
        <bgColor indexed="64"/>
      </patternFill>
    </fill>
    <fill>
      <patternFill patternType="solid">
        <fgColor rgb="FF800000"/>
        <bgColor indexed="64"/>
      </patternFill>
    </fill>
    <fill>
      <patternFill patternType="solid">
        <fgColor rgb="FF008000"/>
        <bgColor indexed="64"/>
      </patternFill>
    </fill>
    <fill>
      <patternFill patternType="solid">
        <fgColor rgb="FFFF5050"/>
        <bgColor indexed="64"/>
      </patternFill>
    </fill>
    <fill>
      <patternFill patternType="solid">
        <fgColor rgb="FFA50021"/>
        <bgColor indexed="64"/>
      </patternFill>
    </fill>
    <fill>
      <patternFill patternType="solid">
        <fgColor rgb="FF92D050"/>
        <bgColor indexed="64"/>
      </patternFill>
    </fill>
    <fill>
      <patternFill patternType="solid">
        <fgColor theme="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9847407452621"/>
        <bgColor indexed="64"/>
      </patternFill>
    </fill>
  </fills>
  <borders count="5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bottom style="thin">
        <color auto="1"/>
      </bottom>
      <diagonal/>
    </border>
    <border>
      <left/>
      <right style="thin">
        <color auto="1"/>
      </right>
      <top/>
      <bottom style="thin">
        <color auto="1"/>
      </bottom>
      <diagonal/>
    </border>
    <border>
      <left style="medium">
        <color auto="1"/>
      </left>
      <right style="medium">
        <color auto="1"/>
      </right>
      <top/>
      <bottom style="thin">
        <color auto="1"/>
      </bottom>
      <diagonal/>
    </border>
    <border>
      <left style="medium">
        <color auto="1"/>
      </left>
      <right style="thin">
        <color auto="1"/>
      </right>
      <top style="medium">
        <color auto="1"/>
      </top>
      <bottom/>
      <diagonal/>
    </border>
    <border>
      <left style="medium">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medium">
        <color auto="1"/>
      </bottom>
      <diagonal/>
    </border>
    <border>
      <left/>
      <right style="medium">
        <color auto="1"/>
      </right>
      <top style="thin">
        <color auto="1"/>
      </top>
      <bottom style="thin">
        <color auto="1"/>
      </bottom>
      <diagonal/>
    </border>
    <border>
      <left style="medium">
        <color auto="1"/>
      </left>
      <right style="thin">
        <color auto="1"/>
      </right>
      <top style="thin">
        <color auto="1"/>
      </top>
      <bottom/>
      <diagonal/>
    </border>
    <border>
      <left style="medium">
        <color auto="1"/>
      </left>
      <right style="thin">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style="medium">
        <color auto="1"/>
      </right>
      <top style="thin">
        <color auto="1"/>
      </top>
      <bottom/>
      <diagonal/>
    </border>
    <border>
      <left style="thin">
        <color auto="1"/>
      </left>
      <right style="thin">
        <color auto="1"/>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
      <left style="thin">
        <color indexed="64"/>
      </left>
      <right style="thin">
        <color indexed="64"/>
      </right>
      <top style="medium">
        <color auto="1"/>
      </top>
      <bottom/>
      <diagonal/>
    </border>
    <border>
      <left style="thin">
        <color indexed="64"/>
      </left>
      <right style="thin">
        <color indexed="64"/>
      </right>
      <top/>
      <bottom style="medium">
        <color auto="1"/>
      </bottom>
      <diagonal/>
    </border>
    <border>
      <left style="thin">
        <color indexed="64"/>
      </left>
      <right/>
      <top/>
      <bottom style="medium">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style="thin">
        <color indexed="64"/>
      </right>
      <top style="thin">
        <color indexed="64"/>
      </top>
      <bottom style="medium">
        <color auto="1"/>
      </bottom>
      <diagonal/>
    </border>
    <border>
      <left/>
      <right style="thin">
        <color indexed="64"/>
      </right>
      <top/>
      <bottom/>
      <diagonal/>
    </border>
    <border>
      <left style="medium">
        <color indexed="64"/>
      </left>
      <right/>
      <top/>
      <bottom/>
      <diagonal/>
    </border>
    <border>
      <left/>
      <right style="thin">
        <color indexed="64"/>
      </right>
      <top/>
      <bottom style="medium">
        <color auto="1"/>
      </bottom>
      <diagonal/>
    </border>
    <border>
      <left style="thin">
        <color indexed="64"/>
      </left>
      <right style="medium">
        <color indexed="64"/>
      </right>
      <top style="medium">
        <color indexed="64"/>
      </top>
      <bottom/>
      <diagonal/>
    </border>
    <border>
      <left style="medium">
        <color indexed="64"/>
      </left>
      <right/>
      <top style="medium">
        <color auto="1"/>
      </top>
      <bottom style="thin">
        <color indexed="64"/>
      </bottom>
      <diagonal/>
    </border>
    <border>
      <left style="thin">
        <color indexed="64"/>
      </left>
      <right style="medium">
        <color indexed="64"/>
      </right>
      <top style="medium">
        <color auto="1"/>
      </top>
      <bottom style="thin">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s>
  <cellStyleXfs count="3">
    <xf numFmtId="0" fontId="0" fillId="0" borderId="0"/>
    <xf numFmtId="9" fontId="1" fillId="0" borderId="0" applyFont="0" applyFill="0" applyBorder="0" applyAlignment="0" applyProtection="0"/>
    <xf numFmtId="0" fontId="21" fillId="0" borderId="0" applyNumberFormat="0" applyFill="0" applyBorder="0" applyAlignment="0" applyProtection="0"/>
  </cellStyleXfs>
  <cellXfs count="155">
    <xf numFmtId="0" fontId="0" fillId="0" borderId="0" xfId="0"/>
    <xf numFmtId="9" fontId="4" fillId="0" borderId="4" xfId="1" applyFont="1" applyBorder="1" applyAlignment="1">
      <alignment horizontal="center" vertical="center" wrapText="1"/>
    </xf>
    <xf numFmtId="0" fontId="6" fillId="0" borderId="4" xfId="0" applyNumberFormat="1" applyFont="1" applyBorder="1" applyAlignment="1">
      <alignment horizontal="center" vertical="center" wrapText="1"/>
    </xf>
    <xf numFmtId="0" fontId="7" fillId="10" borderId="1" xfId="0" applyNumberFormat="1" applyFont="1" applyFill="1" applyBorder="1" applyAlignment="1">
      <alignment horizontal="center" vertical="center" wrapText="1"/>
    </xf>
    <xf numFmtId="0" fontId="7" fillId="10" borderId="18" xfId="0" applyNumberFormat="1" applyFont="1" applyFill="1" applyBorder="1" applyAlignment="1">
      <alignment horizontal="center" vertical="center" wrapText="1"/>
    </xf>
    <xf numFmtId="9" fontId="4" fillId="0" borderId="5" xfId="1" applyFont="1" applyBorder="1" applyAlignment="1">
      <alignment horizontal="center" vertical="center" wrapText="1"/>
    </xf>
    <xf numFmtId="0" fontId="4" fillId="0" borderId="4" xfId="0" applyNumberFormat="1" applyFont="1" applyBorder="1" applyAlignment="1" applyProtection="1">
      <alignment horizontal="left" vertical="top" wrapText="1"/>
      <protection locked="0"/>
    </xf>
    <xf numFmtId="0" fontId="4" fillId="0" borderId="8" xfId="0" applyNumberFormat="1" applyFont="1" applyBorder="1" applyAlignment="1" applyProtection="1">
      <alignment horizontal="left" vertical="top" wrapText="1"/>
      <protection locked="0"/>
    </xf>
    <xf numFmtId="0" fontId="4" fillId="0" borderId="5"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left" vertical="top" wrapText="1"/>
      <protection locked="0"/>
    </xf>
    <xf numFmtId="0" fontId="4" fillId="0" borderId="3" xfId="0" applyNumberFormat="1" applyFont="1" applyBorder="1" applyAlignment="1" applyProtection="1">
      <alignment horizontal="left" vertical="top" wrapText="1"/>
      <protection locked="0"/>
    </xf>
    <xf numFmtId="9" fontId="4" fillId="0" borderId="4" xfId="1" applyFont="1" applyBorder="1" applyAlignment="1" applyProtection="1">
      <alignment horizontal="center" vertical="center" wrapText="1"/>
    </xf>
    <xf numFmtId="0" fontId="0" fillId="0" borderId="0" xfId="0" applyProtection="1">
      <protection locked="0"/>
    </xf>
    <xf numFmtId="0" fontId="4" fillId="0" borderId="25" xfId="0" applyNumberFormat="1" applyFont="1" applyBorder="1" applyAlignment="1" applyProtection="1">
      <alignment horizontal="left" vertical="top" wrapText="1"/>
      <protection locked="0"/>
    </xf>
    <xf numFmtId="0" fontId="0" fillId="11" borderId="26" xfId="0" applyFill="1" applyBorder="1"/>
    <xf numFmtId="164" fontId="23" fillId="10" borderId="26" xfId="1" applyNumberFormat="1" applyFont="1" applyFill="1" applyBorder="1" applyAlignment="1">
      <alignment horizontal="center" vertical="center" wrapText="1"/>
    </xf>
    <xf numFmtId="0" fontId="24" fillId="0" borderId="0" xfId="0" applyFont="1" applyAlignment="1">
      <alignment horizontal="left" vertical="center"/>
    </xf>
    <xf numFmtId="0" fontId="5" fillId="0" borderId="0" xfId="0" applyFont="1"/>
    <xf numFmtId="0" fontId="2" fillId="0" borderId="32" xfId="0" applyFont="1" applyBorder="1" applyAlignment="1">
      <alignment horizontal="center"/>
    </xf>
    <xf numFmtId="0" fontId="2" fillId="0" borderId="5" xfId="0" applyFont="1" applyFill="1" applyBorder="1" applyAlignment="1">
      <alignment horizontal="center"/>
    </xf>
    <xf numFmtId="0" fontId="0" fillId="0" borderId="25" xfId="0" applyBorder="1" applyAlignment="1">
      <alignment horizontal="center"/>
    </xf>
    <xf numFmtId="0" fontId="2" fillId="0" borderId="32" xfId="0" applyFont="1" applyBorder="1"/>
    <xf numFmtId="0" fontId="2" fillId="0" borderId="5" xfId="0" applyFont="1" applyBorder="1" applyAlignment="1">
      <alignment horizontal="center"/>
    </xf>
    <xf numFmtId="0" fontId="0" fillId="0" borderId="5" xfId="0" applyBorder="1" applyProtection="1">
      <protection locked="0"/>
    </xf>
    <xf numFmtId="0" fontId="0" fillId="0" borderId="5" xfId="0" applyBorder="1" applyAlignment="1" applyProtection="1">
      <alignment horizontal="center"/>
      <protection locked="0"/>
    </xf>
    <xf numFmtId="0" fontId="2" fillId="0" borderId="33" xfId="0" applyFont="1" applyBorder="1" applyAlignment="1">
      <alignment horizontal="center"/>
    </xf>
    <xf numFmtId="0" fontId="2" fillId="0" borderId="34" xfId="0" applyFont="1" applyBorder="1" applyAlignment="1">
      <alignment horizontal="center"/>
    </xf>
    <xf numFmtId="0" fontId="0" fillId="0" borderId="7" xfId="0"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39" xfId="0" applyBorder="1" applyAlignment="1">
      <alignment horizontal="center"/>
    </xf>
    <xf numFmtId="0" fontId="0" fillId="0" borderId="14" xfId="0" applyBorder="1" applyAlignment="1" applyProtection="1">
      <alignment horizontal="center"/>
    </xf>
    <xf numFmtId="0" fontId="0" fillId="0" borderId="31" xfId="0" applyBorder="1" applyAlignment="1" applyProtection="1">
      <alignment horizontal="center"/>
    </xf>
    <xf numFmtId="0" fontId="0" fillId="18" borderId="0" xfId="0" applyFill="1"/>
    <xf numFmtId="0" fontId="0" fillId="0" borderId="0" xfId="0" applyProtection="1"/>
    <xf numFmtId="0" fontId="0" fillId="0" borderId="25" xfId="0" applyBorder="1" applyProtection="1"/>
    <xf numFmtId="166" fontId="0" fillId="0" borderId="0" xfId="0" applyNumberFormat="1" applyProtection="1"/>
    <xf numFmtId="0" fontId="23" fillId="11" borderId="0" xfId="0" applyFont="1" applyFill="1" applyAlignment="1" applyProtection="1">
      <alignment horizontal="center" vertical="center"/>
    </xf>
    <xf numFmtId="0" fontId="2" fillId="0" borderId="14" xfId="0" applyFont="1" applyBorder="1" applyAlignment="1">
      <alignment horizontal="center"/>
    </xf>
    <xf numFmtId="0" fontId="0" fillId="18" borderId="0" xfId="0" applyFill="1" applyProtection="1"/>
    <xf numFmtId="0" fontId="5" fillId="18" borderId="0" xfId="0" applyFont="1" applyFill="1" applyAlignment="1">
      <alignment horizontal="left"/>
    </xf>
    <xf numFmtId="0" fontId="0" fillId="18" borderId="0" xfId="0" applyFill="1" applyProtection="1">
      <protection locked="0"/>
    </xf>
    <xf numFmtId="0" fontId="0" fillId="18" borderId="0" xfId="0" applyFill="1" applyAlignment="1">
      <alignment horizontal="center"/>
    </xf>
    <xf numFmtId="0" fontId="5" fillId="18" borderId="0" xfId="0" applyFont="1" applyFill="1" applyAlignment="1">
      <alignment horizontal="center"/>
    </xf>
    <xf numFmtId="0" fontId="0" fillId="18" borderId="0" xfId="0" applyFont="1" applyFill="1" applyAlignment="1">
      <alignment horizontal="center"/>
    </xf>
    <xf numFmtId="0" fontId="0" fillId="18" borderId="0" xfId="0" applyFont="1" applyFill="1"/>
    <xf numFmtId="0" fontId="0" fillId="18" borderId="0" xfId="0" applyFont="1" applyFill="1" applyAlignment="1">
      <alignment horizontal="left"/>
    </xf>
    <xf numFmtId="0" fontId="0" fillId="0" borderId="30" xfId="0" applyFont="1"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3" fillId="18" borderId="0" xfId="0" applyFont="1" applyFill="1" applyAlignment="1">
      <alignment horizontal="right" vertical="center"/>
    </xf>
    <xf numFmtId="0" fontId="3" fillId="18" borderId="0" xfId="0" applyFont="1" applyFill="1" applyAlignment="1">
      <alignment horizontal="right" vertical="center"/>
    </xf>
    <xf numFmtId="0" fontId="5" fillId="18" borderId="0" xfId="0" applyFont="1" applyFill="1"/>
    <xf numFmtId="165" fontId="3" fillId="19" borderId="0" xfId="0" applyNumberFormat="1" applyFont="1" applyFill="1" applyBorder="1" applyAlignment="1" applyProtection="1">
      <alignment horizontal="center" vertical="center"/>
      <protection locked="0"/>
    </xf>
    <xf numFmtId="0" fontId="0" fillId="2" borderId="0" xfId="0" applyFill="1"/>
    <xf numFmtId="0" fontId="0" fillId="0" borderId="0" xfId="0" applyBorder="1"/>
    <xf numFmtId="0" fontId="0" fillId="0" borderId="0" xfId="0" applyBorder="1" applyAlignment="1" applyProtection="1">
      <alignment horizontal="center"/>
      <protection locked="0"/>
    </xf>
    <xf numFmtId="0" fontId="0" fillId="0" borderId="0" xfId="0" applyBorder="1" applyProtection="1">
      <protection locked="0"/>
    </xf>
    <xf numFmtId="0" fontId="7" fillId="12" borderId="1" xfId="0" applyFont="1" applyFill="1" applyBorder="1" applyAlignment="1" applyProtection="1">
      <alignment horizontal="center" vertical="center"/>
    </xf>
    <xf numFmtId="0" fontId="27" fillId="21" borderId="1" xfId="0" applyFont="1" applyFill="1" applyBorder="1" applyAlignment="1">
      <alignment horizontal="center" vertical="center" wrapText="1"/>
    </xf>
    <xf numFmtId="0" fontId="0" fillId="0" borderId="41" xfId="0" applyBorder="1" applyAlignment="1" applyProtection="1">
      <alignment wrapText="1"/>
      <protection locked="0"/>
    </xf>
    <xf numFmtId="0" fontId="0" fillId="0" borderId="41" xfId="0" applyBorder="1" applyProtection="1">
      <protection locked="0"/>
    </xf>
    <xf numFmtId="0" fontId="0" fillId="0" borderId="29" xfId="0" applyBorder="1" applyAlignment="1" applyProtection="1">
      <alignment horizontal="center" vertical="center"/>
      <protection locked="0"/>
    </xf>
    <xf numFmtId="0" fontId="2" fillId="0" borderId="43" xfId="0" applyFont="1" applyBorder="1" applyAlignment="1">
      <alignment horizontal="center"/>
    </xf>
    <xf numFmtId="0" fontId="0" fillId="0" borderId="32" xfId="0" applyBorder="1" applyAlignment="1" applyProtection="1">
      <alignment horizontal="center"/>
    </xf>
    <xf numFmtId="0" fontId="0" fillId="0" borderId="0" xfId="0" applyBorder="1" applyProtection="1"/>
    <xf numFmtId="165" fontId="0" fillId="0" borderId="29" xfId="0" applyNumberFormat="1" applyBorder="1" applyProtection="1"/>
    <xf numFmtId="166" fontId="0" fillId="18" borderId="0" xfId="0" applyNumberFormat="1" applyFill="1" applyProtection="1"/>
    <xf numFmtId="0" fontId="0" fillId="0" borderId="42" xfId="0" applyFont="1" applyBorder="1" applyAlignment="1">
      <alignment horizontal="left" vertical="center"/>
    </xf>
    <xf numFmtId="0" fontId="0" fillId="0" borderId="44" xfId="0" applyBorder="1" applyAlignment="1" applyProtection="1">
      <alignment wrapText="1"/>
      <protection locked="0"/>
    </xf>
    <xf numFmtId="0" fontId="0" fillId="17" borderId="36" xfId="0" applyFill="1" applyBorder="1" applyAlignment="1">
      <alignment vertical="center"/>
    </xf>
    <xf numFmtId="0" fontId="0" fillId="0" borderId="37" xfId="0" applyBorder="1" applyAlignment="1" applyProtection="1">
      <alignment wrapText="1"/>
      <protection locked="0"/>
    </xf>
    <xf numFmtId="0" fontId="0" fillId="14" borderId="36" xfId="0" applyFill="1" applyBorder="1" applyAlignment="1">
      <alignment vertical="center"/>
    </xf>
    <xf numFmtId="0" fontId="0" fillId="9" borderId="36" xfId="0" applyFill="1" applyBorder="1" applyAlignment="1">
      <alignment vertical="center"/>
    </xf>
    <xf numFmtId="0" fontId="0" fillId="15" borderId="36" xfId="0" applyFill="1" applyBorder="1" applyAlignment="1">
      <alignment vertical="center"/>
    </xf>
    <xf numFmtId="0" fontId="0" fillId="16" borderId="36" xfId="0" applyFill="1" applyBorder="1" applyAlignment="1">
      <alignment vertical="center"/>
    </xf>
    <xf numFmtId="0" fontId="5" fillId="13" borderId="38" xfId="0" applyFont="1" applyFill="1" applyBorder="1" applyAlignment="1">
      <alignment vertical="center"/>
    </xf>
    <xf numFmtId="0" fontId="0" fillId="0" borderId="40" xfId="0" applyBorder="1" applyAlignment="1" applyProtection="1">
      <alignment horizontal="center" vertical="center"/>
      <protection locked="0"/>
    </xf>
    <xf numFmtId="0" fontId="0" fillId="0" borderId="39" xfId="0" applyBorder="1" applyAlignment="1" applyProtection="1">
      <alignment wrapText="1"/>
      <protection locked="0"/>
    </xf>
    <xf numFmtId="0" fontId="0" fillId="0" borderId="36" xfId="0" applyFont="1" applyBorder="1"/>
    <xf numFmtId="9" fontId="0" fillId="0" borderId="37" xfId="0" applyNumberFormat="1" applyFont="1" applyBorder="1" applyProtection="1">
      <protection locked="0"/>
    </xf>
    <xf numFmtId="0" fontId="0" fillId="4" borderId="36" xfId="0" applyFill="1" applyBorder="1"/>
    <xf numFmtId="9" fontId="0" fillId="0" borderId="37" xfId="0" applyNumberFormat="1" applyBorder="1" applyProtection="1">
      <protection locked="0"/>
    </xf>
    <xf numFmtId="0" fontId="0" fillId="5" borderId="36" xfId="0" applyFill="1" applyBorder="1"/>
    <xf numFmtId="0" fontId="0" fillId="6" borderId="36" xfId="0" applyFill="1" applyBorder="1"/>
    <xf numFmtId="0" fontId="0" fillId="8" borderId="36" xfId="0" applyFill="1" applyBorder="1"/>
    <xf numFmtId="0" fontId="5" fillId="7" borderId="38" xfId="0" applyFont="1" applyFill="1" applyBorder="1"/>
    <xf numFmtId="9" fontId="0" fillId="0" borderId="39" xfId="0" applyNumberFormat="1" applyBorder="1" applyProtection="1">
      <protection locked="0"/>
    </xf>
    <xf numFmtId="0" fontId="29" fillId="21" borderId="26" xfId="0" applyFont="1" applyFill="1" applyBorder="1" applyAlignment="1">
      <alignment horizontal="center"/>
    </xf>
    <xf numFmtId="0" fontId="29" fillId="21" borderId="45" xfId="0" applyFont="1" applyFill="1" applyBorder="1" applyAlignment="1">
      <alignment horizontal="center"/>
    </xf>
    <xf numFmtId="0" fontId="29" fillId="21" borderId="46" xfId="0" applyFont="1" applyFill="1" applyBorder="1" applyAlignment="1">
      <alignment horizontal="center"/>
    </xf>
    <xf numFmtId="0" fontId="6" fillId="0" borderId="4" xfId="0" applyNumberFormat="1" applyFont="1" applyBorder="1" applyAlignment="1">
      <alignment horizontal="center" vertical="center" wrapText="1"/>
    </xf>
    <xf numFmtId="0" fontId="0" fillId="18" borderId="0" xfId="0" applyFill="1" applyBorder="1"/>
    <xf numFmtId="9" fontId="4" fillId="0" borderId="0" xfId="1" applyFont="1" applyBorder="1" applyAlignment="1">
      <alignment horizontal="center" vertical="center" wrapText="1"/>
    </xf>
    <xf numFmtId="0" fontId="6" fillId="0" borderId="0" xfId="0" applyNumberFormat="1" applyFont="1" applyBorder="1" applyAlignment="1">
      <alignment horizontal="center" vertical="center" wrapText="1"/>
    </xf>
    <xf numFmtId="0" fontId="0" fillId="0" borderId="0" xfId="0" applyAlignment="1">
      <alignment wrapText="1"/>
    </xf>
    <xf numFmtId="0" fontId="30" fillId="0" borderId="0" xfId="0" applyFont="1"/>
    <xf numFmtId="0" fontId="31" fillId="0" borderId="0" xfId="0" applyFont="1"/>
    <xf numFmtId="0" fontId="0" fillId="0" borderId="0" xfId="0" applyFont="1"/>
    <xf numFmtId="0" fontId="0" fillId="0" borderId="0" xfId="0" applyNumberFormat="1" applyFont="1" applyAlignment="1">
      <alignment wrapText="1"/>
    </xf>
    <xf numFmtId="0" fontId="0" fillId="0" borderId="0" xfId="0" applyFont="1" applyAlignment="1">
      <alignment wrapText="1"/>
    </xf>
    <xf numFmtId="9" fontId="0" fillId="0" borderId="0" xfId="1" applyFont="1"/>
    <xf numFmtId="0" fontId="31" fillId="18" borderId="0" xfId="0" applyFont="1" applyFill="1"/>
    <xf numFmtId="2" fontId="0" fillId="0" borderId="0" xfId="0" applyNumberFormat="1"/>
    <xf numFmtId="2" fontId="0" fillId="18" borderId="0" xfId="0" applyNumberFormat="1" applyFill="1" applyProtection="1"/>
    <xf numFmtId="2" fontId="0" fillId="18" borderId="0" xfId="0" applyNumberFormat="1" applyFill="1"/>
    <xf numFmtId="2" fontId="0" fillId="0" borderId="0" xfId="0" applyNumberFormat="1" applyProtection="1"/>
    <xf numFmtId="2" fontId="29" fillId="21" borderId="34" xfId="0" applyNumberFormat="1" applyFont="1" applyFill="1" applyBorder="1" applyAlignment="1">
      <alignment horizontal="center"/>
    </xf>
    <xf numFmtId="2" fontId="0" fillId="18" borderId="48" xfId="0" applyNumberFormat="1" applyFill="1" applyBorder="1"/>
    <xf numFmtId="2" fontId="0" fillId="18" borderId="49" xfId="0" applyNumberFormat="1" applyFill="1" applyBorder="1"/>
    <xf numFmtId="2" fontId="29" fillId="21" borderId="47" xfId="0" applyNumberFormat="1" applyFont="1" applyFill="1" applyBorder="1" applyAlignment="1" applyProtection="1">
      <alignment horizontal="center"/>
    </xf>
    <xf numFmtId="2" fontId="0" fillId="18" borderId="25" xfId="0" applyNumberFormat="1" applyFill="1" applyBorder="1" applyProtection="1"/>
    <xf numFmtId="2" fontId="0" fillId="18" borderId="31" xfId="0" applyNumberFormat="1" applyFill="1" applyBorder="1" applyProtection="1"/>
    <xf numFmtId="2" fontId="0" fillId="22" borderId="25" xfId="0" applyNumberFormat="1" applyFill="1" applyBorder="1" applyProtection="1"/>
    <xf numFmtId="2" fontId="0" fillId="22" borderId="48" xfId="0" applyNumberFormat="1" applyFill="1" applyBorder="1"/>
    <xf numFmtId="0" fontId="0" fillId="0" borderId="29" xfId="0" applyFont="1" applyBorder="1" applyAlignment="1" applyProtection="1">
      <alignment wrapText="1"/>
      <protection locked="0"/>
    </xf>
    <xf numFmtId="0" fontId="32" fillId="0" borderId="30" xfId="0" applyFont="1" applyBorder="1" applyProtection="1"/>
    <xf numFmtId="0" fontId="32" fillId="0" borderId="25" xfId="0" applyFont="1" applyBorder="1" applyProtection="1"/>
    <xf numFmtId="0" fontId="33" fillId="18" borderId="0" xfId="0" applyFont="1" applyFill="1" applyAlignment="1">
      <alignment horizontal="right"/>
    </xf>
    <xf numFmtId="0" fontId="3" fillId="11" borderId="1" xfId="0" applyFont="1" applyFill="1" applyBorder="1" applyAlignment="1" applyProtection="1">
      <alignment horizontal="center"/>
      <protection locked="0"/>
    </xf>
    <xf numFmtId="0" fontId="26" fillId="2" borderId="0" xfId="0" applyFont="1" applyFill="1" applyAlignment="1">
      <alignment horizontal="center" vertical="center"/>
    </xf>
    <xf numFmtId="0" fontId="29" fillId="21" borderId="27" xfId="0" applyFont="1" applyFill="1" applyBorder="1" applyAlignment="1">
      <alignment horizontal="center"/>
    </xf>
    <xf numFmtId="0" fontId="5" fillId="21" borderId="26" xfId="0" applyFont="1" applyFill="1" applyBorder="1" applyAlignment="1">
      <alignment horizontal="center"/>
    </xf>
    <xf numFmtId="167" fontId="11" fillId="3" borderId="12" xfId="0" applyNumberFormat="1" applyFont="1" applyFill="1" applyBorder="1" applyAlignment="1">
      <alignment horizontal="right" vertical="top" wrapText="1"/>
    </xf>
    <xf numFmtId="167" fontId="11" fillId="3" borderId="13" xfId="0" applyNumberFormat="1" applyFont="1" applyFill="1" applyBorder="1" applyAlignment="1">
      <alignment horizontal="right" vertical="top" wrapText="1"/>
    </xf>
    <xf numFmtId="167" fontId="11" fillId="0" borderId="13" xfId="0" applyNumberFormat="1" applyFont="1" applyBorder="1" applyAlignment="1">
      <alignment horizontal="right" vertical="top" wrapText="1"/>
    </xf>
    <xf numFmtId="167" fontId="11" fillId="0" borderId="15" xfId="0" applyNumberFormat="1" applyFont="1" applyBorder="1" applyAlignment="1">
      <alignment horizontal="right" vertical="top" wrapText="1"/>
    </xf>
    <xf numFmtId="0" fontId="0" fillId="20" borderId="16" xfId="0" applyFill="1" applyBorder="1" applyAlignment="1" applyProtection="1">
      <alignment vertical="center" wrapText="1"/>
      <protection locked="0"/>
    </xf>
    <xf numFmtId="0" fontId="0" fillId="20" borderId="11" xfId="0" applyFill="1" applyBorder="1" applyAlignment="1" applyProtection="1">
      <alignment vertical="center" wrapText="1"/>
      <protection locked="0"/>
    </xf>
    <xf numFmtId="0" fontId="0" fillId="20" borderId="17" xfId="0" applyFill="1" applyBorder="1" applyAlignment="1" applyProtection="1">
      <alignment vertical="center" wrapText="1"/>
      <protection locked="0"/>
    </xf>
    <xf numFmtId="167" fontId="11" fillId="3" borderId="21" xfId="0" applyNumberFormat="1" applyFont="1" applyFill="1" applyBorder="1" applyAlignment="1">
      <alignment horizontal="right" vertical="top" wrapText="1"/>
    </xf>
    <xf numFmtId="167" fontId="11" fillId="3" borderId="22" xfId="0" applyNumberFormat="1" applyFont="1" applyFill="1" applyBorder="1" applyAlignment="1">
      <alignment horizontal="right" vertical="top" wrapText="1"/>
    </xf>
    <xf numFmtId="167" fontId="11" fillId="0" borderId="22" xfId="0" applyNumberFormat="1" applyFont="1" applyBorder="1" applyAlignment="1">
      <alignment horizontal="right" vertical="top" wrapText="1"/>
    </xf>
    <xf numFmtId="167" fontId="11" fillId="0" borderId="23" xfId="0" applyNumberFormat="1" applyFont="1" applyBorder="1" applyAlignment="1">
      <alignment horizontal="right" vertical="top" wrapText="1"/>
    </xf>
    <xf numFmtId="0" fontId="28" fillId="21" borderId="18" xfId="0" applyFont="1" applyFill="1" applyBorder="1" applyAlignment="1">
      <alignment horizontal="center" vertical="center" textRotation="90"/>
    </xf>
    <xf numFmtId="0" fontId="28" fillId="21" borderId="19" xfId="0" applyFont="1" applyFill="1" applyBorder="1" applyAlignment="1">
      <alignment horizontal="center" vertical="center" textRotation="90"/>
    </xf>
    <xf numFmtId="0" fontId="5" fillId="21" borderId="20" xfId="0" applyFont="1" applyFill="1" applyBorder="1" applyAlignment="1">
      <alignment horizontal="center" vertical="center" textRotation="90"/>
    </xf>
    <xf numFmtId="0" fontId="0" fillId="20" borderId="11" xfId="0" applyFill="1" applyBorder="1" applyAlignment="1" applyProtection="1">
      <alignment vertical="center"/>
      <protection locked="0"/>
    </xf>
    <xf numFmtId="0" fontId="0" fillId="20" borderId="7" xfId="0" applyFill="1" applyBorder="1" applyAlignment="1" applyProtection="1">
      <alignment vertical="center"/>
      <protection locked="0"/>
    </xf>
    <xf numFmtId="0" fontId="0" fillId="20" borderId="16" xfId="0" applyFill="1" applyBorder="1" applyAlignment="1" applyProtection="1">
      <alignment vertical="center"/>
      <protection locked="0"/>
    </xf>
    <xf numFmtId="0" fontId="11" fillId="11" borderId="27" xfId="0" applyFont="1" applyFill="1" applyBorder="1" applyAlignment="1">
      <alignment horizontal="right" vertical="center"/>
    </xf>
    <xf numFmtId="0" fontId="11" fillId="0" borderId="28" xfId="0" applyFont="1" applyBorder="1" applyAlignment="1">
      <alignment horizontal="right" vertical="center"/>
    </xf>
    <xf numFmtId="0" fontId="28" fillId="21" borderId="2" xfId="0" applyFont="1" applyFill="1" applyBorder="1" applyAlignment="1">
      <alignment horizontal="center" vertical="center" textRotation="90"/>
    </xf>
    <xf numFmtId="0" fontId="28" fillId="21" borderId="9" xfId="0" applyFont="1" applyFill="1" applyBorder="1" applyAlignment="1">
      <alignment horizontal="center" vertical="center" textRotation="90"/>
    </xf>
    <xf numFmtId="0" fontId="28" fillId="21" borderId="6" xfId="0" applyFont="1" applyFill="1" applyBorder="1" applyAlignment="1">
      <alignment horizontal="center" vertical="center" textRotation="90"/>
    </xf>
    <xf numFmtId="0" fontId="28" fillId="21" borderId="24" xfId="0" applyFont="1" applyFill="1" applyBorder="1" applyAlignment="1">
      <alignment horizontal="center" vertical="center" textRotation="90"/>
    </xf>
    <xf numFmtId="0" fontId="0" fillId="20" borderId="10" xfId="0" applyFill="1" applyBorder="1" applyAlignment="1" applyProtection="1">
      <alignment vertical="center"/>
      <protection locked="0"/>
    </xf>
    <xf numFmtId="0" fontId="26" fillId="2" borderId="14" xfId="0" applyFont="1" applyFill="1" applyBorder="1" applyAlignment="1">
      <alignment horizontal="center" vertical="center"/>
    </xf>
    <xf numFmtId="0" fontId="0" fillId="20" borderId="17" xfId="0" applyFill="1" applyBorder="1" applyAlignment="1" applyProtection="1">
      <alignment vertical="center"/>
      <protection locked="0"/>
    </xf>
    <xf numFmtId="0" fontId="5" fillId="21" borderId="19" xfId="0" applyFont="1" applyFill="1" applyBorder="1" applyAlignment="1">
      <alignment horizontal="center" vertical="center" textRotation="90"/>
    </xf>
    <xf numFmtId="0" fontId="2" fillId="2" borderId="27" xfId="0" applyFont="1" applyFill="1" applyBorder="1" applyAlignment="1">
      <alignment horizontal="center"/>
    </xf>
    <xf numFmtId="0" fontId="2" fillId="2" borderId="26" xfId="0" applyFont="1" applyFill="1" applyBorder="1" applyAlignment="1">
      <alignment horizontal="center"/>
    </xf>
    <xf numFmtId="0" fontId="29" fillId="21" borderId="28" xfId="0" applyFont="1" applyFill="1" applyBorder="1" applyAlignment="1">
      <alignment horizontal="center"/>
    </xf>
  </cellXfs>
  <cellStyles count="3">
    <cellStyle name="Besuchter Hyperlink" xfId="2" builtinId="9" hidden="1"/>
    <cellStyle name="Prozent" xfId="1" builtinId="5"/>
    <cellStyle name="Standard" xfId="0" builtinId="0"/>
  </cellStyles>
  <dxfs count="3612">
    <dxf>
      <font>
        <b val="0"/>
        <i val="0"/>
        <strike val="0"/>
        <condense val="0"/>
        <extend val="0"/>
        <outline val="0"/>
        <shadow val="0"/>
        <u val="none"/>
        <vertAlign val="baseline"/>
        <sz val="11"/>
        <color theme="1"/>
        <name val="Arial"/>
        <scheme val="none"/>
      </font>
      <alignment horizontal="general" vertical="bottom" textRotation="0" wrapText="1" indent="0" justifyLastLine="0" shrinkToFit="0" readingOrder="0"/>
      <border diagonalUp="0" diagonalDown="0">
        <left style="thin">
          <color indexed="64"/>
        </left>
        <right/>
        <top/>
        <bottom/>
        <vertical/>
        <horizontal/>
      </border>
      <protection locked="0" hidden="0"/>
    </dxf>
    <dxf>
      <protection locked="0" hidden="0"/>
    </dxf>
    <dxf>
      <alignment horizontal="center" vertical="bottom" textRotation="0" wrapText="0" indent="0" justifyLastLine="0" shrinkToFit="0" readingOrder="0"/>
      <border diagonalUp="0" diagonalDown="0">
        <left style="thin">
          <color auto="1"/>
        </left>
        <right style="thin">
          <color auto="1"/>
        </right>
        <top/>
        <bottom/>
        <vertical/>
        <horizontal/>
      </border>
    </dxf>
    <dxf>
      <border diagonalUp="0" diagonalDown="0">
        <left style="medium">
          <color rgb="FF000000"/>
        </left>
        <right style="medium">
          <color rgb="FF000000"/>
        </right>
        <top style="medium">
          <color rgb="FF000000"/>
        </top>
        <bottom style="medium">
          <color rgb="FF000000"/>
        </bottom>
      </border>
    </dxf>
    <dxf>
      <border outline="0">
        <bottom style="medium">
          <color auto="1"/>
        </bottom>
      </border>
    </dxf>
    <dxf>
      <font>
        <b/>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ont>
        <b val="0"/>
        <i val="0"/>
        <strike val="0"/>
        <condense val="0"/>
        <extend val="0"/>
        <outline val="0"/>
        <shadow val="0"/>
        <u val="none"/>
        <vertAlign val="baseline"/>
        <sz val="11"/>
        <color theme="1"/>
        <name val="Arial"/>
        <scheme val="none"/>
      </font>
      <alignment horizontal="general" vertical="bottom" textRotation="0" wrapText="1" indent="0" justifyLastLine="0" shrinkToFit="0" readingOrder="0"/>
      <border diagonalUp="0" diagonalDown="0">
        <left style="thin">
          <color indexed="64"/>
        </left>
        <right/>
        <top/>
        <bottom/>
        <vertical/>
        <horizontal/>
      </border>
      <protection locked="0" hidden="0"/>
    </dxf>
    <dxf>
      <protection locked="0" hidden="0"/>
    </dxf>
    <dxf>
      <alignment horizontal="center" vertical="bottom" textRotation="0" wrapText="0" indent="0" justifyLastLine="0" shrinkToFit="0" readingOrder="0"/>
      <border diagonalUp="0" diagonalDown="0">
        <left style="thin">
          <color auto="1"/>
        </left>
        <right style="thin">
          <color auto="1"/>
        </right>
        <top/>
        <bottom/>
        <vertical/>
        <horizontal/>
      </border>
    </dxf>
    <dxf>
      <border diagonalUp="0" diagonalDown="0">
        <left style="medium">
          <color rgb="FF000000"/>
        </left>
        <right style="medium">
          <color rgb="FF000000"/>
        </right>
        <top style="medium">
          <color rgb="FF000000"/>
        </top>
        <bottom style="medium">
          <color rgb="FF000000"/>
        </bottom>
      </border>
    </dxf>
    <dxf>
      <border outline="0">
        <bottom style="medium">
          <color auto="1"/>
        </bottom>
      </border>
    </dxf>
    <dxf>
      <font>
        <b/>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ont>
        <b val="0"/>
        <i val="0"/>
        <strike val="0"/>
        <condense val="0"/>
        <extend val="0"/>
        <outline val="0"/>
        <shadow val="0"/>
        <u val="none"/>
        <vertAlign val="baseline"/>
        <sz val="11"/>
        <color theme="1"/>
        <name val="Arial"/>
        <scheme val="none"/>
      </font>
      <alignment horizontal="general" vertical="bottom" textRotation="0" wrapText="1" indent="0" justifyLastLine="0" shrinkToFit="0" readingOrder="0"/>
      <border diagonalUp="0" diagonalDown="0">
        <left style="thin">
          <color indexed="64"/>
        </left>
        <right/>
        <top/>
        <bottom/>
        <vertical/>
        <horizontal/>
      </border>
      <protection locked="0" hidden="0"/>
    </dxf>
    <dxf>
      <protection locked="0" hidden="0"/>
    </dxf>
    <dxf>
      <alignment horizontal="center" vertical="bottom" textRotation="0" wrapText="0" indent="0" justifyLastLine="0" shrinkToFit="0" readingOrder="0"/>
      <border diagonalUp="0" diagonalDown="0">
        <left style="thin">
          <color auto="1"/>
        </left>
        <right style="thin">
          <color auto="1"/>
        </right>
        <top/>
        <bottom/>
        <vertical/>
        <horizontal/>
      </border>
    </dxf>
    <dxf>
      <border diagonalUp="0" diagonalDown="0">
        <left style="medium">
          <color rgb="FF000000"/>
        </left>
        <right style="medium">
          <color rgb="FF000000"/>
        </right>
        <top style="medium">
          <color rgb="FF000000"/>
        </top>
        <bottom style="medium">
          <color rgb="FF000000"/>
        </bottom>
      </border>
    </dxf>
    <dxf>
      <border outline="0">
        <bottom style="medium">
          <color auto="1"/>
        </bottom>
      </border>
    </dxf>
    <dxf>
      <font>
        <b/>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ont>
        <b val="0"/>
        <i val="0"/>
        <strike val="0"/>
        <condense val="0"/>
        <extend val="0"/>
        <outline val="0"/>
        <shadow val="0"/>
        <u val="none"/>
        <vertAlign val="baseline"/>
        <sz val="11"/>
        <color theme="1"/>
        <name val="Arial"/>
        <scheme val="none"/>
      </font>
      <alignment horizontal="general" vertical="bottom" textRotation="0" wrapText="1" indent="0" justifyLastLine="0" shrinkToFit="0" readingOrder="0"/>
      <border diagonalUp="0" diagonalDown="0">
        <left style="thin">
          <color indexed="64"/>
        </left>
        <right/>
        <top/>
        <bottom/>
        <vertical/>
        <horizontal/>
      </border>
      <protection locked="0" hidden="0"/>
    </dxf>
    <dxf>
      <protection locked="0" hidden="0"/>
    </dxf>
    <dxf>
      <alignment horizontal="center" vertical="bottom" textRotation="0" wrapText="0" indent="0" justifyLastLine="0" shrinkToFit="0" readingOrder="0"/>
      <border diagonalUp="0" diagonalDown="0">
        <left style="thin">
          <color auto="1"/>
        </left>
        <right style="thin">
          <color auto="1"/>
        </right>
        <top/>
        <bottom/>
        <vertical/>
        <horizontal/>
      </border>
    </dxf>
    <dxf>
      <border diagonalUp="0" diagonalDown="0">
        <left style="medium">
          <color rgb="FF000000"/>
        </left>
        <right style="medium">
          <color rgb="FF000000"/>
        </right>
        <top style="medium">
          <color rgb="FF000000"/>
        </top>
        <bottom style="medium">
          <color rgb="FF000000"/>
        </bottom>
      </border>
    </dxf>
    <dxf>
      <border outline="0">
        <bottom style="medium">
          <color auto="1"/>
        </bottom>
      </border>
    </dxf>
    <dxf>
      <font>
        <b/>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numFmt numFmtId="165" formatCode="0.00\ &quot;TEUR&quot;"/>
      <border diagonalUp="0" diagonalDown="0">
        <left style="thin">
          <color auto="1"/>
        </left>
        <right/>
        <top/>
        <bottom/>
        <vertical/>
        <horizontal/>
      </border>
      <protection locked="1" hidden="0"/>
    </dxf>
    <dxf>
      <border diagonalUp="0" diagonalDown="0">
        <left style="thin">
          <color auto="1"/>
        </left>
        <right style="thin">
          <color auto="1"/>
        </right>
        <top/>
        <bottom/>
        <vertical/>
        <horizontal/>
      </border>
      <protection locked="1" hidden="0"/>
    </dxf>
    <dxf>
      <border diagonalUp="0" diagonalDown="0">
        <left style="thin">
          <color auto="1"/>
        </left>
        <right style="thin">
          <color auto="1"/>
        </right>
        <top/>
        <bottom/>
        <vertical/>
        <horizontal/>
      </border>
      <protection locked="1" hidden="0"/>
    </dxf>
    <dxf>
      <protection locked="1" hidden="0"/>
    </dxf>
    <dxf>
      <border diagonalUp="0" diagonalDown="0">
        <left style="medium">
          <color indexed="64"/>
        </left>
        <right style="medium">
          <color indexed="64"/>
        </right>
        <top style="medium">
          <color indexed="64"/>
        </top>
        <bottom style="medium">
          <color indexed="64"/>
        </bottom>
      </border>
    </dxf>
    <dxf>
      <border outline="0">
        <bottom style="medium">
          <color auto="1"/>
        </bottom>
      </border>
    </dxf>
    <dxf>
      <alignment horizontal="center" vertical="bottom" textRotation="0" wrapText="0" indent="0" justifyLastLine="0" shrinkToFit="0" readingOrder="0"/>
      <border diagonalUp="0" diagonalDown="0" outline="0">
        <left style="thin">
          <color indexed="64"/>
        </left>
        <right style="thin">
          <color indexed="64"/>
        </right>
        <top/>
        <bottom/>
      </border>
      <protection locked="1" hidden="0"/>
    </dxf>
    <dxf>
      <alignment horizontal="center" vertical="center" textRotation="0" wrapText="0" indent="0" justifyLastLine="0" shrinkToFit="0" readingOrder="0"/>
      <border diagonalUp="0" diagonalDown="0">
        <left style="thin">
          <color indexed="64"/>
        </left>
        <right/>
        <top/>
        <bottom/>
        <vertical style="thin">
          <color indexed="64"/>
        </vertical>
        <horizontal/>
      </border>
      <protection locked="0" hidden="0"/>
    </dxf>
    <dxf>
      <border diagonalUp="0" diagonalDown="0">
        <left/>
        <right style="thin">
          <color indexed="64"/>
        </right>
        <top/>
        <bottom/>
        <vertical style="thin">
          <color indexed="64"/>
        </vertical>
        <horizontal/>
      </border>
      <protection locked="0" hidden="0"/>
    </dxf>
    <dxf>
      <border diagonalUp="0" diagonalDown="0">
        <left style="medium">
          <color indexed="64"/>
        </left>
        <right style="medium">
          <color indexed="64"/>
        </right>
        <top style="medium">
          <color indexed="64"/>
        </top>
        <bottom style="medium">
          <color indexed="64"/>
        </bottom>
      </border>
    </dxf>
    <dxf>
      <border outline="0">
        <bottom style="medium">
          <color auto="1"/>
        </bottom>
      </border>
    </dxf>
    <dxf>
      <font>
        <b/>
        <i val="0"/>
        <strike val="0"/>
        <condense val="0"/>
        <extend val="0"/>
        <outline val="0"/>
        <shadow val="0"/>
        <u val="none"/>
        <vertAlign val="baseline"/>
        <sz val="11"/>
        <color theme="1"/>
        <name val="Arial"/>
        <scheme val="none"/>
      </font>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rgb="FF66FF66"/>
        </patternFill>
      </fill>
    </dxf>
    <dxf>
      <fill>
        <patternFill>
          <bgColor rgb="FF008000"/>
        </patternFill>
      </fill>
    </dxf>
    <dxf>
      <fill>
        <patternFill>
          <bgColor rgb="FFFFFF00"/>
        </patternFill>
      </fill>
    </dxf>
    <dxf>
      <fill>
        <patternFill>
          <bgColor rgb="FFFF5050"/>
        </patternFill>
      </fill>
    </dxf>
    <dxf>
      <fill>
        <patternFill>
          <bgColor rgb="FFA50021"/>
        </patternFill>
      </fill>
    </dxf>
    <dxf>
      <fill>
        <patternFill>
          <bgColor rgb="FF800000"/>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ill>
        <patternFill>
          <bgColor theme="0"/>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ont>
        <color theme="0"/>
      </font>
      <fill>
        <patternFill>
          <bgColor theme="5" tint="-0.499984740745262"/>
        </patternFill>
      </fill>
    </dxf>
    <dxf>
      <font>
        <b val="0"/>
        <i val="0"/>
        <strike val="0"/>
        <condense val="0"/>
        <extend val="0"/>
        <outline val="0"/>
        <shadow val="0"/>
        <u val="none"/>
        <vertAlign val="baseline"/>
        <sz val="11"/>
        <color theme="1"/>
        <name val="Arial"/>
        <scheme val="none"/>
      </font>
      <alignment horizontal="general" vertical="bottom" textRotation="0" wrapText="1" indent="0" justifyLastLine="0" shrinkToFit="0" readingOrder="0"/>
      <border diagonalUp="0" diagonalDown="0">
        <left style="thin">
          <color indexed="64"/>
        </left>
        <right/>
        <top/>
        <bottom/>
        <vertical/>
        <horizontal/>
      </border>
      <protection locked="0" hidden="0"/>
    </dxf>
    <dxf>
      <protection locked="0" hidden="0"/>
    </dxf>
    <dxf>
      <alignment horizontal="center" vertical="bottom" textRotation="0" wrapText="0" indent="0" justifyLastLine="0" shrinkToFit="0" readingOrder="0"/>
      <border diagonalUp="0" diagonalDown="0">
        <left style="thin">
          <color auto="1"/>
        </left>
        <right style="thin">
          <color auto="1"/>
        </right>
        <top/>
        <bottom/>
        <vertical/>
        <horizontal/>
      </border>
    </dxf>
    <dxf>
      <border diagonalUp="0" diagonalDown="0">
        <left style="medium">
          <color indexed="64"/>
        </left>
        <right style="medium">
          <color indexed="64"/>
        </right>
        <top style="medium">
          <color indexed="64"/>
        </top>
        <bottom style="medium">
          <color indexed="64"/>
        </bottom>
      </border>
    </dxf>
    <dxf>
      <border outline="0">
        <bottom style="medium">
          <color auto="1"/>
        </bottom>
      </border>
    </dxf>
    <dxf>
      <font>
        <b/>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s>
  <tableStyles count="0" defaultTableStyle="TableStyleMedium2" defaultPivotStyle="PivotStyleLight16"/>
  <colors>
    <mruColors>
      <color rgb="FF800000"/>
      <color rgb="FFA50021"/>
      <color rgb="FFFF5050"/>
      <color rgb="FF008000"/>
      <color rgb="FF66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1" Type="http://schemas.openxmlformats.org/officeDocument/2006/relationships/image" Target="../media/image9.jpg"/></Relationships>
</file>

<file path=xl/charts/_rels/chart3.xml.rels><?xml version="1.0" encoding="UTF-8" standalone="yes"?>
<Relationships xmlns="http://schemas.openxmlformats.org/package/2006/relationships"><Relationship Id="rId1" Type="http://schemas.openxmlformats.org/officeDocument/2006/relationships/image" Target="../media/image18.jpg"/></Relationships>
</file>

<file path=xl/charts/_rels/chart5.xml.rels><?xml version="1.0" encoding="UTF-8" standalone="yes"?>
<Relationships xmlns="http://schemas.openxmlformats.org/package/2006/relationships"><Relationship Id="rId1" Type="http://schemas.openxmlformats.org/officeDocument/2006/relationships/image" Target="../media/image9.jpg"/></Relationships>
</file>

<file path=xl/charts/_rels/chart7.xml.rels><?xml version="1.0" encoding="UTF-8" standalone="yes"?>
<Relationships xmlns="http://schemas.openxmlformats.org/package/2006/relationships"><Relationship Id="rId1" Type="http://schemas.openxmlformats.org/officeDocument/2006/relationships/image" Target="../media/image9.jpg"/></Relationships>
</file>

<file path=xl/charts/_rels/chart9.xml.rels><?xml version="1.0" encoding="UTF-8" standalone="yes"?>
<Relationships xmlns="http://schemas.openxmlformats.org/package/2006/relationships"><Relationship Id="rId1" Type="http://schemas.openxmlformats.org/officeDocument/2006/relationships/image" Target="../media/image9.jpg"/></Relationships>
</file>

<file path=xl/charts/_rels/chart11.xml.rels><?xml version="1.0" encoding="UTF-8" standalone="yes"?>
<Relationships xmlns="http://schemas.openxmlformats.org/package/2006/relationships"><Relationship Id="rId1" Type="http://schemas.openxmlformats.org/officeDocument/2006/relationships/image" Target="../media/image9.jp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00"/>
            </a:pPr>
            <a:r>
              <a:rPr lang="de-DE" sz="3200"/>
              <a:t>Risikoverteilung einzelner Einflussfaktoren</a:t>
            </a:r>
          </a:p>
        </c:rich>
      </c:tx>
      <c:layout>
        <c:manualLayout>
          <c:xMode val="edge"/>
          <c:yMode val="edge"/>
          <c:x val="0.17655100914747826"/>
          <c:y val="7.5290892588352675E-3"/>
        </c:manualLayout>
      </c:layout>
      <c:overlay val="0"/>
    </c:title>
    <c:autoTitleDeleted val="0"/>
    <c:plotArea>
      <c:layout>
        <c:manualLayout>
          <c:layoutTarget val="inner"/>
          <c:xMode val="edge"/>
          <c:yMode val="edge"/>
          <c:x val="1.6256519232299142E-2"/>
          <c:y val="2.457632689536007E-2"/>
          <c:w val="0.68301378603877538"/>
          <c:h val="0.96610975692267498"/>
        </c:manualLayout>
      </c:layout>
      <c:barChart>
        <c:barDir val="col"/>
        <c:grouping val="clustered"/>
        <c:varyColors val="0"/>
        <c:ser>
          <c:idx val="0"/>
          <c:order val="0"/>
          <c:tx>
            <c:strRef>
              <c:f>'STEP-Analyse'!$C$38:$J$38</c:f>
              <c:strCache>
                <c:ptCount val="1"/>
                <c:pt idx="0">
                  <c:v>Risikomaßzahl:  Gesetzgebung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'STEP-Analyse'!$K$38</c:f>
              <c:numCache>
                <c:formatCode>General</c:formatCode>
                <c:ptCount val="1"/>
                <c:pt idx="0">
                  <c:v>0</c:v>
                </c:pt>
              </c:numCache>
            </c:numRef>
          </c:val>
        </c:ser>
        <c:ser>
          <c:idx val="1"/>
          <c:order val="1"/>
          <c:tx>
            <c:strRef>
              <c:f>'STEP-Analyse'!$C$44:$J$44</c:f>
              <c:strCache>
                <c:ptCount val="1"/>
                <c:pt idx="0">
                  <c:v>Risikomaßzahl:  politische Stabilität/ Rechtssicherheit</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'STEP-Analyse'!$K$44</c:f>
              <c:numCache>
                <c:formatCode>General</c:formatCode>
                <c:ptCount val="1"/>
                <c:pt idx="0">
                  <c:v>0</c:v>
                </c:pt>
              </c:numCache>
            </c:numRef>
          </c:val>
        </c:ser>
        <c:ser>
          <c:idx val="2"/>
          <c:order val="2"/>
          <c:tx>
            <c:strRef>
              <c:f>'STEP-Analyse'!$C$50:$J$50</c:f>
              <c:strCache>
                <c:ptCount val="1"/>
                <c:pt idx="0">
                  <c:v>Risikomaßzahl:  Handelshemmnisse (Zölle/ Schranken/ regolatorische Hemmnisse ...)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'STEP-Analyse'!$K$50</c:f>
              <c:numCache>
                <c:formatCode>General</c:formatCode>
                <c:ptCount val="1"/>
                <c:pt idx="0">
                  <c:v>0</c:v>
                </c:pt>
              </c:numCache>
            </c:numRef>
          </c:val>
        </c:ser>
        <c:ser>
          <c:idx val="3"/>
          <c:order val="3"/>
          <c:tx>
            <c:strRef>
              <c:f>'STEP-Analyse'!$C$56:$J$56</c:f>
              <c:strCache>
                <c:ptCount val="1"/>
                <c:pt idx="0">
                  <c:v>Risikomaßzahl:  Wirtschaftswachstum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'STEP-Analyse'!$K$56</c:f>
              <c:numCache>
                <c:formatCode>General</c:formatCode>
                <c:ptCount val="1"/>
                <c:pt idx="0">
                  <c:v>0</c:v>
                </c:pt>
              </c:numCache>
            </c:numRef>
          </c:val>
        </c:ser>
        <c:ser>
          <c:idx val="4"/>
          <c:order val="4"/>
          <c:tx>
            <c:strRef>
              <c:f>'STEP-Analyse'!$C$62:$J$62</c:f>
              <c:strCache>
                <c:ptCount val="1"/>
                <c:pt idx="0">
                  <c:v>Risikomaßzahl:  Inflation, Zinsen, Wechselkurse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'STEP-Analyse'!$K$62</c:f>
              <c:numCache>
                <c:formatCode>General</c:formatCode>
                <c:ptCount val="1"/>
                <c:pt idx="0">
                  <c:v>0</c:v>
                </c:pt>
              </c:numCache>
            </c:numRef>
          </c:val>
        </c:ser>
        <c:ser>
          <c:idx val="5"/>
          <c:order val="5"/>
          <c:tx>
            <c:strRef>
              <c:f>'STEP-Analyse'!$C$68:$J$68</c:f>
              <c:strCache>
                <c:ptCount val="1"/>
                <c:pt idx="0">
                  <c:v>Risikomaßzahl:  Arbeitsmarkt (Quantität/ Qualität ...)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'STEP-Analyse'!$K$68</c:f>
              <c:numCache>
                <c:formatCode>General</c:formatCode>
                <c:ptCount val="1"/>
                <c:pt idx="0">
                  <c:v>0</c:v>
                </c:pt>
              </c:numCache>
            </c:numRef>
          </c:val>
        </c:ser>
        <c:ser>
          <c:idx val="6"/>
          <c:order val="6"/>
          <c:tx>
            <c:strRef>
              <c:f>'STEP-Analyse'!$C$74:$J$74</c:f>
              <c:strCache>
                <c:ptCount val="1"/>
                <c:pt idx="0">
                  <c:v>Risikomaßzahl:  Globalisierung/ Internationalisierung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'STEP-Analyse'!$K$74</c:f>
              <c:numCache>
                <c:formatCode>General</c:formatCode>
                <c:ptCount val="1"/>
                <c:pt idx="0">
                  <c:v>0</c:v>
                </c:pt>
              </c:numCache>
            </c:numRef>
          </c:val>
        </c:ser>
        <c:ser>
          <c:idx val="7"/>
          <c:order val="7"/>
          <c:tx>
            <c:strRef>
              <c:f>'STEP-Analyse'!$C$80:$J$80</c:f>
              <c:strCache>
                <c:ptCount val="1"/>
                <c:pt idx="0">
                  <c:v>Risikomaßzahl:  Ressourcenverfügbarkeit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'STEP-Analyse'!$K$80</c:f>
              <c:numCache>
                <c:formatCode>General</c:formatCode>
                <c:ptCount val="1"/>
                <c:pt idx="0">
                  <c:v>0</c:v>
                </c:pt>
              </c:numCache>
            </c:numRef>
          </c:val>
        </c:ser>
        <c:ser>
          <c:idx val="8"/>
          <c:order val="8"/>
          <c:tx>
            <c:strRef>
              <c:f>'STEP-Analyse'!$C$86:$J$86</c:f>
              <c:strCache>
                <c:ptCount val="1"/>
                <c:pt idx="0">
                  <c:v>Risikomaßzahl:  Werte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'STEP-Analyse'!$K$86</c:f>
              <c:numCache>
                <c:formatCode>General</c:formatCode>
                <c:ptCount val="1"/>
                <c:pt idx="0">
                  <c:v>0</c:v>
                </c:pt>
              </c:numCache>
            </c:numRef>
          </c:val>
        </c:ser>
        <c:ser>
          <c:idx val="9"/>
          <c:order val="9"/>
          <c:tx>
            <c:strRef>
              <c:f>'STEP-Analyse'!$C$92:$J$92</c:f>
              <c:strCache>
                <c:ptCount val="1"/>
                <c:pt idx="0">
                  <c:v>Risikomaßzahl:  Lebensstil/ Mentalitäten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'STEP-Analyse'!$K$92</c:f>
              <c:numCache>
                <c:formatCode>General</c:formatCode>
                <c:ptCount val="1"/>
                <c:pt idx="0">
                  <c:v>0</c:v>
                </c:pt>
              </c:numCache>
            </c:numRef>
          </c:val>
        </c:ser>
        <c:ser>
          <c:idx val="10"/>
          <c:order val="10"/>
          <c:tx>
            <c:strRef>
              <c:f>'STEP-Analyse'!$C$98:$J$98</c:f>
              <c:strCache>
                <c:ptCount val="1"/>
                <c:pt idx="0">
                  <c:v>Risikomaßzahl:  Bildung</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'STEP-Analyse'!$K$98</c:f>
              <c:numCache>
                <c:formatCode>General</c:formatCode>
                <c:ptCount val="1"/>
                <c:pt idx="0">
                  <c:v>0</c:v>
                </c:pt>
              </c:numCache>
            </c:numRef>
          </c:val>
        </c:ser>
        <c:ser>
          <c:idx val="11"/>
          <c:order val="11"/>
          <c:tx>
            <c:strRef>
              <c:f>'STEP-Analyse'!$C$104:$J$104</c:f>
              <c:strCache>
                <c:ptCount val="1"/>
                <c:pt idx="0">
                  <c:v>Risikomaßzahl:  Forschung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'STEP-Analyse'!$K$104</c:f>
              <c:numCache>
                <c:formatCode>General</c:formatCode>
                <c:ptCount val="1"/>
                <c:pt idx="0">
                  <c:v>0</c:v>
                </c:pt>
              </c:numCache>
            </c:numRef>
          </c:val>
        </c:ser>
        <c:ser>
          <c:idx val="12"/>
          <c:order val="12"/>
          <c:tx>
            <c:strRef>
              <c:f>'STEP-Analyse'!$C$110:$J$110</c:f>
              <c:strCache>
                <c:ptCount val="1"/>
                <c:pt idx="0">
                  <c:v>Risikomaßzahl:  neue Technologien und Produkte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'STEP-Analyse'!$K$110</c:f>
              <c:numCache>
                <c:formatCode>General</c:formatCode>
                <c:ptCount val="1"/>
                <c:pt idx="0">
                  <c:v>0</c:v>
                </c:pt>
              </c:numCache>
            </c:numRef>
          </c:val>
        </c:ser>
        <c:ser>
          <c:idx val="13"/>
          <c:order val="13"/>
          <c:tx>
            <c:strRef>
              <c:f>'STEP-Analyse'!$C$116:$J$116</c:f>
              <c:strCache>
                <c:ptCount val="1"/>
                <c:pt idx="0">
                  <c:v>Risikomaßzahl:  neue Prozesse</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'STEP-Analyse'!$K$116</c:f>
              <c:numCache>
                <c:formatCode>General</c:formatCode>
                <c:ptCount val="1"/>
                <c:pt idx="0">
                  <c:v>0</c:v>
                </c:pt>
              </c:numCache>
            </c:numRef>
          </c:val>
        </c:ser>
        <c:ser>
          <c:idx val="14"/>
          <c:order val="14"/>
          <c:tx>
            <c:strRef>
              <c:f>'STEP-Analyse'!$C$122:$J$122</c:f>
              <c:strCache>
                <c:ptCount val="1"/>
                <c:pt idx="0">
                  <c:v>Risikomaßzahl:  Produktlebenszyklen</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'STEP-Analyse'!$K$122</c:f>
              <c:numCache>
                <c:formatCode>General</c:formatCode>
                <c:ptCount val="1"/>
                <c:pt idx="0">
                  <c:v>0</c:v>
                </c:pt>
              </c:numCache>
            </c:numRef>
          </c:val>
        </c:ser>
        <c:dLbls>
          <c:showLegendKey val="0"/>
          <c:showVal val="0"/>
          <c:showCatName val="0"/>
          <c:showSerName val="0"/>
          <c:showPercent val="0"/>
          <c:showBubbleSize val="0"/>
        </c:dLbls>
        <c:gapWidth val="150"/>
        <c:axId val="62248064"/>
        <c:axId val="78974976"/>
      </c:barChart>
      <c:catAx>
        <c:axId val="62248064"/>
        <c:scaling>
          <c:orientation val="minMax"/>
        </c:scaling>
        <c:delete val="1"/>
        <c:axPos val="b"/>
        <c:majorTickMark val="out"/>
        <c:minorTickMark val="none"/>
        <c:tickLblPos val="nextTo"/>
        <c:crossAx val="78974976"/>
        <c:crosses val="autoZero"/>
        <c:auto val="1"/>
        <c:lblAlgn val="ctr"/>
        <c:lblOffset val="100"/>
        <c:noMultiLvlLbl val="0"/>
      </c:catAx>
      <c:valAx>
        <c:axId val="78974976"/>
        <c:scaling>
          <c:orientation val="minMax"/>
        </c:scaling>
        <c:delete val="0"/>
        <c:axPos val="l"/>
        <c:numFmt formatCode="General" sourceLinked="1"/>
        <c:majorTickMark val="out"/>
        <c:minorTickMark val="none"/>
        <c:tickLblPos val="nextTo"/>
        <c:crossAx val="62248064"/>
        <c:crosses val="autoZero"/>
        <c:crossBetween val="between"/>
      </c:valAx>
    </c:plotArea>
    <c:legend>
      <c:legendPos val="r"/>
      <c:layout>
        <c:manualLayout>
          <c:xMode val="edge"/>
          <c:yMode val="edge"/>
          <c:x val="0.72569829811741227"/>
          <c:y val="3.3151998978902121E-2"/>
          <c:w val="0.25029793633319214"/>
          <c:h val="0.92404485194286257"/>
        </c:manualLayout>
      </c:layout>
      <c:overlay val="0"/>
      <c:txPr>
        <a:bodyPr/>
        <a:lstStyle/>
        <a:p>
          <a:pPr>
            <a:defRPr sz="1400"/>
          </a:pPr>
          <a:endParaRPr lang="de-DE"/>
        </a:p>
      </c:txPr>
    </c:legend>
    <c:plotVisOnly val="1"/>
    <c:dispBlanksAs val="gap"/>
    <c:showDLblsOverMax val="0"/>
  </c:chart>
  <c:spPr>
    <a:ln>
      <a:noFill/>
    </a:ln>
  </c:spPr>
  <c:printSettings>
    <c:headerFooter/>
    <c:pageMargins b="0.78740157499999996" l="0.7" r="0.7" t="0.78740157499999996" header="0.3" footer="0.3"/>
    <c:pageSetup paperSize="8"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00"/>
            </a:pPr>
            <a:r>
              <a:rPr lang="de-DE" sz="3200"/>
              <a:t>Risikoclusterung einzelner</a:t>
            </a:r>
            <a:r>
              <a:rPr lang="de-DE" sz="3200" baseline="0"/>
              <a:t> </a:t>
            </a:r>
            <a:r>
              <a:rPr lang="de-DE" sz="3200"/>
              <a:t>Einflussfaktoren</a:t>
            </a:r>
          </a:p>
        </c:rich>
      </c:tx>
      <c:layout>
        <c:manualLayout>
          <c:xMode val="edge"/>
          <c:yMode val="edge"/>
          <c:x val="0.11370795423845105"/>
          <c:y val="9.8528467911139957E-3"/>
        </c:manualLayout>
      </c:layout>
      <c:overlay val="0"/>
    </c:title>
    <c:autoTitleDeleted val="0"/>
    <c:plotArea>
      <c:layout>
        <c:manualLayout>
          <c:layoutTarget val="inner"/>
          <c:xMode val="edge"/>
          <c:yMode val="edge"/>
          <c:x val="4.0960340896680131E-2"/>
          <c:y val="8.3281270624895473E-2"/>
          <c:w val="0.57916170017751334"/>
          <c:h val="0.84129989749271095"/>
        </c:manualLayout>
      </c:layout>
      <c:bubbleChart>
        <c:varyColors val="0"/>
        <c:ser>
          <c:idx val="0"/>
          <c:order val="0"/>
          <c:tx>
            <c:v>Gesetzgebung </c:v>
          </c:tx>
          <c:spPr>
            <a:ln w="25400">
              <a:noFill/>
            </a:ln>
          </c:spPr>
          <c:invertIfNegative val="0"/>
          <c:dLbls>
            <c:dLbl>
              <c:idx val="0"/>
              <c:tx>
                <c:rich>
                  <a:bodyPr/>
                  <a:lstStyle/>
                  <a:p>
                    <a:r>
                      <a:t>Gesetzgebung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'STEP-Analyse'!$C$14</c:f>
              <c:numCache>
                <c:formatCode>General</c:formatCode>
                <c:ptCount val="1"/>
                <c:pt idx="0">
                  <c:v>0</c:v>
                </c:pt>
              </c:numCache>
            </c:numRef>
          </c:xVal>
          <c:yVal>
            <c:numRef>
              <c:f>'STEP-Analyse'!$D$14</c:f>
              <c:numCache>
                <c:formatCode>General</c:formatCode>
                <c:ptCount val="1"/>
                <c:pt idx="0">
                  <c:v>0</c:v>
                </c:pt>
              </c:numCache>
            </c:numRef>
          </c:yVal>
          <c:bubbleSize>
            <c:numRef>
              <c:f>'STEP-Analyse'!$E$14</c:f>
              <c:numCache>
                <c:formatCode>0%</c:formatCode>
                <c:ptCount val="1"/>
                <c:pt idx="0">
                  <c:v>0</c:v>
                </c:pt>
              </c:numCache>
            </c:numRef>
          </c:bubbleSize>
          <c:bubble3D val="0"/>
        </c:ser>
        <c:ser>
          <c:idx val="1"/>
          <c:order val="1"/>
          <c:tx>
            <c:v>politische Stabilität/ Rechtssicherheit</c:v>
          </c:tx>
          <c:spPr>
            <a:ln w="25400">
              <a:noFill/>
            </a:ln>
          </c:spPr>
          <c:invertIfNegative val="0"/>
          <c:dLbls>
            <c:dLbl>
              <c:idx val="0"/>
              <c:tx>
                <c:rich>
                  <a:bodyPr/>
                  <a:lstStyle/>
                  <a:p>
                    <a:r>
                      <a:t>politische Stabilität/ Rechtssicherheit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'STEP-Analyse'!$C$15</c:f>
              <c:numCache>
                <c:formatCode>General</c:formatCode>
                <c:ptCount val="1"/>
                <c:pt idx="0">
                  <c:v>0</c:v>
                </c:pt>
              </c:numCache>
            </c:numRef>
          </c:xVal>
          <c:yVal>
            <c:numRef>
              <c:f>'STEP-Analyse'!$D$15</c:f>
              <c:numCache>
                <c:formatCode>General</c:formatCode>
                <c:ptCount val="1"/>
                <c:pt idx="0">
                  <c:v>0</c:v>
                </c:pt>
              </c:numCache>
            </c:numRef>
          </c:yVal>
          <c:bubbleSize>
            <c:numRef>
              <c:f>'STEP-Analyse'!$E$15</c:f>
              <c:numCache>
                <c:formatCode>0%</c:formatCode>
                <c:ptCount val="1"/>
                <c:pt idx="0">
                  <c:v>0</c:v>
                </c:pt>
              </c:numCache>
            </c:numRef>
          </c:bubbleSize>
          <c:bubble3D val="0"/>
        </c:ser>
        <c:ser>
          <c:idx val="2"/>
          <c:order val="2"/>
          <c:tx>
            <c:v>Handelshemmnisse (Zölle/ Schranken/ regolatorische Hemmnisse ...) </c:v>
          </c:tx>
          <c:spPr>
            <a:ln w="25400">
              <a:noFill/>
            </a:ln>
          </c:spPr>
          <c:invertIfNegative val="0"/>
          <c:dLbls>
            <c:dLbl>
              <c:idx val="0"/>
              <c:tx>
                <c:rich>
                  <a:bodyPr/>
                  <a:lstStyle/>
                  <a:p>
                    <a:r>
                      <a:t>Handelshemmnisse (Zölle/ Schranken/ regolatorische Hemmnisse ...)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'STEP-Analyse'!$C$16</c:f>
              <c:numCache>
                <c:formatCode>General</c:formatCode>
                <c:ptCount val="1"/>
                <c:pt idx="0">
                  <c:v>0</c:v>
                </c:pt>
              </c:numCache>
            </c:numRef>
          </c:xVal>
          <c:yVal>
            <c:numRef>
              <c:f>'STEP-Analyse'!$D$16</c:f>
              <c:numCache>
                <c:formatCode>General</c:formatCode>
                <c:ptCount val="1"/>
                <c:pt idx="0">
                  <c:v>0</c:v>
                </c:pt>
              </c:numCache>
            </c:numRef>
          </c:yVal>
          <c:bubbleSize>
            <c:numRef>
              <c:f>'STEP-Analyse'!$E$16</c:f>
              <c:numCache>
                <c:formatCode>0%</c:formatCode>
                <c:ptCount val="1"/>
                <c:pt idx="0">
                  <c:v>0</c:v>
                </c:pt>
              </c:numCache>
            </c:numRef>
          </c:bubbleSize>
          <c:bubble3D val="0"/>
        </c:ser>
        <c:ser>
          <c:idx val="3"/>
          <c:order val="3"/>
          <c:tx>
            <c:v>Wirtschaftswachstum </c:v>
          </c:tx>
          <c:spPr>
            <a:ln w="25400">
              <a:noFill/>
            </a:ln>
          </c:spPr>
          <c:invertIfNegative val="0"/>
          <c:dLbls>
            <c:dLbl>
              <c:idx val="0"/>
              <c:tx>
                <c:rich>
                  <a:bodyPr/>
                  <a:lstStyle/>
                  <a:p>
                    <a:r>
                      <a:t>Wirtschaftswachstum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'STEP-Analyse'!$C$17</c:f>
              <c:numCache>
                <c:formatCode>General</c:formatCode>
                <c:ptCount val="1"/>
                <c:pt idx="0">
                  <c:v>0</c:v>
                </c:pt>
              </c:numCache>
            </c:numRef>
          </c:xVal>
          <c:yVal>
            <c:numRef>
              <c:f>'STEP-Analyse'!$D$17</c:f>
              <c:numCache>
                <c:formatCode>General</c:formatCode>
                <c:ptCount val="1"/>
                <c:pt idx="0">
                  <c:v>0</c:v>
                </c:pt>
              </c:numCache>
            </c:numRef>
          </c:yVal>
          <c:bubbleSize>
            <c:numRef>
              <c:f>'STEP-Analyse'!$E$17</c:f>
              <c:numCache>
                <c:formatCode>0%</c:formatCode>
                <c:ptCount val="1"/>
                <c:pt idx="0">
                  <c:v>0</c:v>
                </c:pt>
              </c:numCache>
            </c:numRef>
          </c:bubbleSize>
          <c:bubble3D val="0"/>
        </c:ser>
        <c:ser>
          <c:idx val="4"/>
          <c:order val="4"/>
          <c:tx>
            <c:v>Inflation, Zinsen, Wechselkurse </c:v>
          </c:tx>
          <c:spPr>
            <a:ln w="25400">
              <a:noFill/>
            </a:ln>
          </c:spPr>
          <c:invertIfNegative val="0"/>
          <c:dLbls>
            <c:dLbl>
              <c:idx val="0"/>
              <c:tx>
                <c:rich>
                  <a:bodyPr/>
                  <a:lstStyle/>
                  <a:p>
                    <a:r>
                      <a:t>Inflation, Zinsen, Wechselkurse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'STEP-Analyse'!$C$18</c:f>
              <c:numCache>
                <c:formatCode>General</c:formatCode>
                <c:ptCount val="1"/>
                <c:pt idx="0">
                  <c:v>0</c:v>
                </c:pt>
              </c:numCache>
            </c:numRef>
          </c:xVal>
          <c:yVal>
            <c:numRef>
              <c:f>'STEP-Analyse'!$D$18</c:f>
              <c:numCache>
                <c:formatCode>General</c:formatCode>
                <c:ptCount val="1"/>
                <c:pt idx="0">
                  <c:v>0</c:v>
                </c:pt>
              </c:numCache>
            </c:numRef>
          </c:yVal>
          <c:bubbleSize>
            <c:numRef>
              <c:f>'STEP-Analyse'!$E$18</c:f>
              <c:numCache>
                <c:formatCode>0%</c:formatCode>
                <c:ptCount val="1"/>
                <c:pt idx="0">
                  <c:v>0</c:v>
                </c:pt>
              </c:numCache>
            </c:numRef>
          </c:bubbleSize>
          <c:bubble3D val="0"/>
        </c:ser>
        <c:ser>
          <c:idx val="5"/>
          <c:order val="5"/>
          <c:tx>
            <c:v>Arbeitsmarkt (Quantität/ Qualität ...) </c:v>
          </c:tx>
          <c:spPr>
            <a:ln w="25400">
              <a:noFill/>
            </a:ln>
          </c:spPr>
          <c:invertIfNegative val="0"/>
          <c:dLbls>
            <c:dLbl>
              <c:idx val="0"/>
              <c:tx>
                <c:rich>
                  <a:bodyPr/>
                  <a:lstStyle/>
                  <a:p>
                    <a:r>
                      <a:t>Arbeitsmarkt (Quantität/ Qualität ...)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'STEP-Analyse'!$C$19</c:f>
              <c:numCache>
                <c:formatCode>General</c:formatCode>
                <c:ptCount val="1"/>
                <c:pt idx="0">
                  <c:v>0</c:v>
                </c:pt>
              </c:numCache>
            </c:numRef>
          </c:xVal>
          <c:yVal>
            <c:numRef>
              <c:f>'STEP-Analyse'!$D$19</c:f>
              <c:numCache>
                <c:formatCode>General</c:formatCode>
                <c:ptCount val="1"/>
                <c:pt idx="0">
                  <c:v>0</c:v>
                </c:pt>
              </c:numCache>
            </c:numRef>
          </c:yVal>
          <c:bubbleSize>
            <c:numRef>
              <c:f>'STEP-Analyse'!$E$19</c:f>
              <c:numCache>
                <c:formatCode>0%</c:formatCode>
                <c:ptCount val="1"/>
                <c:pt idx="0">
                  <c:v>0</c:v>
                </c:pt>
              </c:numCache>
            </c:numRef>
          </c:bubbleSize>
          <c:bubble3D val="0"/>
        </c:ser>
        <c:ser>
          <c:idx val="6"/>
          <c:order val="6"/>
          <c:tx>
            <c:v>Globalisierung/ Internationalisierung </c:v>
          </c:tx>
          <c:spPr>
            <a:ln w="25400">
              <a:noFill/>
            </a:ln>
          </c:spPr>
          <c:invertIfNegative val="0"/>
          <c:dLbls>
            <c:dLbl>
              <c:idx val="0"/>
              <c:tx>
                <c:rich>
                  <a:bodyPr/>
                  <a:lstStyle/>
                  <a:p>
                    <a:r>
                      <a:t>Globalisierung/ Internationalisierung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'STEP-Analyse'!$C$20</c:f>
              <c:numCache>
                <c:formatCode>General</c:formatCode>
                <c:ptCount val="1"/>
                <c:pt idx="0">
                  <c:v>0</c:v>
                </c:pt>
              </c:numCache>
            </c:numRef>
          </c:xVal>
          <c:yVal>
            <c:numRef>
              <c:f>'STEP-Analyse'!$D$20</c:f>
              <c:numCache>
                <c:formatCode>General</c:formatCode>
                <c:ptCount val="1"/>
                <c:pt idx="0">
                  <c:v>0</c:v>
                </c:pt>
              </c:numCache>
            </c:numRef>
          </c:yVal>
          <c:bubbleSize>
            <c:numRef>
              <c:f>'STEP-Analyse'!$E$20</c:f>
              <c:numCache>
                <c:formatCode>0%</c:formatCode>
                <c:ptCount val="1"/>
                <c:pt idx="0">
                  <c:v>0</c:v>
                </c:pt>
              </c:numCache>
            </c:numRef>
          </c:bubbleSize>
          <c:bubble3D val="0"/>
        </c:ser>
        <c:ser>
          <c:idx val="7"/>
          <c:order val="7"/>
          <c:tx>
            <c:v>Ressourcenverfügbarkeit </c:v>
          </c:tx>
          <c:spPr>
            <a:ln w="25400">
              <a:noFill/>
            </a:ln>
          </c:spPr>
          <c:invertIfNegative val="0"/>
          <c:dLbls>
            <c:dLbl>
              <c:idx val="0"/>
              <c:tx>
                <c:rich>
                  <a:bodyPr/>
                  <a:lstStyle/>
                  <a:p>
                    <a:r>
                      <a:t>Ressourcenverfügbarkeit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'STEP-Analyse'!$C$21</c:f>
              <c:numCache>
                <c:formatCode>General</c:formatCode>
                <c:ptCount val="1"/>
                <c:pt idx="0">
                  <c:v>0</c:v>
                </c:pt>
              </c:numCache>
            </c:numRef>
          </c:xVal>
          <c:yVal>
            <c:numRef>
              <c:f>'STEP-Analyse'!$D$21</c:f>
              <c:numCache>
                <c:formatCode>General</c:formatCode>
                <c:ptCount val="1"/>
                <c:pt idx="0">
                  <c:v>0</c:v>
                </c:pt>
              </c:numCache>
            </c:numRef>
          </c:yVal>
          <c:bubbleSize>
            <c:numRef>
              <c:f>'STEP-Analyse'!$E$21</c:f>
              <c:numCache>
                <c:formatCode>0%</c:formatCode>
                <c:ptCount val="1"/>
                <c:pt idx="0">
                  <c:v>0</c:v>
                </c:pt>
              </c:numCache>
            </c:numRef>
          </c:bubbleSize>
          <c:bubble3D val="0"/>
        </c:ser>
        <c:ser>
          <c:idx val="8"/>
          <c:order val="8"/>
          <c:tx>
            <c:v>Werte </c:v>
          </c:tx>
          <c:spPr>
            <a:ln w="25400">
              <a:noFill/>
            </a:ln>
          </c:spPr>
          <c:invertIfNegative val="0"/>
          <c:dLbls>
            <c:dLbl>
              <c:idx val="0"/>
              <c:tx>
                <c:rich>
                  <a:bodyPr/>
                  <a:lstStyle/>
                  <a:p>
                    <a:r>
                      <a:t>Werte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'STEP-Analyse'!$C$22</c:f>
              <c:numCache>
                <c:formatCode>General</c:formatCode>
                <c:ptCount val="1"/>
                <c:pt idx="0">
                  <c:v>0</c:v>
                </c:pt>
              </c:numCache>
            </c:numRef>
          </c:xVal>
          <c:yVal>
            <c:numRef>
              <c:f>'STEP-Analyse'!$D$22</c:f>
              <c:numCache>
                <c:formatCode>General</c:formatCode>
                <c:ptCount val="1"/>
                <c:pt idx="0">
                  <c:v>0</c:v>
                </c:pt>
              </c:numCache>
            </c:numRef>
          </c:yVal>
          <c:bubbleSize>
            <c:numRef>
              <c:f>'STEP-Analyse'!$E$22</c:f>
              <c:numCache>
                <c:formatCode>0%</c:formatCode>
                <c:ptCount val="1"/>
                <c:pt idx="0">
                  <c:v>0</c:v>
                </c:pt>
              </c:numCache>
            </c:numRef>
          </c:bubbleSize>
          <c:bubble3D val="0"/>
        </c:ser>
        <c:ser>
          <c:idx val="9"/>
          <c:order val="9"/>
          <c:tx>
            <c:v>Lebensstil/ Mentalitäten </c:v>
          </c:tx>
          <c:spPr>
            <a:ln w="25400">
              <a:noFill/>
            </a:ln>
          </c:spPr>
          <c:invertIfNegative val="0"/>
          <c:dLbls>
            <c:dLbl>
              <c:idx val="0"/>
              <c:tx>
                <c:rich>
                  <a:bodyPr/>
                  <a:lstStyle/>
                  <a:p>
                    <a:r>
                      <a:t>Lebensstil/ Mentalitäten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'STEP-Analyse'!$C$23</c:f>
              <c:numCache>
                <c:formatCode>General</c:formatCode>
                <c:ptCount val="1"/>
                <c:pt idx="0">
                  <c:v>0</c:v>
                </c:pt>
              </c:numCache>
            </c:numRef>
          </c:xVal>
          <c:yVal>
            <c:numRef>
              <c:f>'STEP-Analyse'!$D$23</c:f>
              <c:numCache>
                <c:formatCode>General</c:formatCode>
                <c:ptCount val="1"/>
                <c:pt idx="0">
                  <c:v>0</c:v>
                </c:pt>
              </c:numCache>
            </c:numRef>
          </c:yVal>
          <c:bubbleSize>
            <c:numRef>
              <c:f>'STEP-Analyse'!$E$23</c:f>
              <c:numCache>
                <c:formatCode>0%</c:formatCode>
                <c:ptCount val="1"/>
                <c:pt idx="0">
                  <c:v>0</c:v>
                </c:pt>
              </c:numCache>
            </c:numRef>
          </c:bubbleSize>
          <c:bubble3D val="0"/>
        </c:ser>
        <c:ser>
          <c:idx val="10"/>
          <c:order val="10"/>
          <c:tx>
            <c:v>Bildung</c:v>
          </c:tx>
          <c:spPr>
            <a:ln w="25400">
              <a:noFill/>
            </a:ln>
          </c:spPr>
          <c:invertIfNegative val="0"/>
          <c:dLbls>
            <c:dLbl>
              <c:idx val="0"/>
              <c:tx>
                <c:rich>
                  <a:bodyPr/>
                  <a:lstStyle/>
                  <a:p>
                    <a:r>
                      <a:t>Bildung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'STEP-Analyse'!$C$24</c:f>
              <c:numCache>
                <c:formatCode>General</c:formatCode>
                <c:ptCount val="1"/>
                <c:pt idx="0">
                  <c:v>0</c:v>
                </c:pt>
              </c:numCache>
            </c:numRef>
          </c:xVal>
          <c:yVal>
            <c:numRef>
              <c:f>'STEP-Analyse'!$D$24</c:f>
              <c:numCache>
                <c:formatCode>General</c:formatCode>
                <c:ptCount val="1"/>
                <c:pt idx="0">
                  <c:v>0</c:v>
                </c:pt>
              </c:numCache>
            </c:numRef>
          </c:yVal>
          <c:bubbleSize>
            <c:numRef>
              <c:f>'STEP-Analyse'!$E$24</c:f>
              <c:numCache>
                <c:formatCode>0%</c:formatCode>
                <c:ptCount val="1"/>
                <c:pt idx="0">
                  <c:v>0</c:v>
                </c:pt>
              </c:numCache>
            </c:numRef>
          </c:bubbleSize>
          <c:bubble3D val="0"/>
        </c:ser>
        <c:ser>
          <c:idx val="11"/>
          <c:order val="11"/>
          <c:tx>
            <c:v>Forschung </c:v>
          </c:tx>
          <c:spPr>
            <a:ln w="25400">
              <a:noFill/>
            </a:ln>
          </c:spPr>
          <c:invertIfNegative val="0"/>
          <c:dLbls>
            <c:dLbl>
              <c:idx val="0"/>
              <c:tx>
                <c:rich>
                  <a:bodyPr/>
                  <a:lstStyle/>
                  <a:p>
                    <a:r>
                      <a:t>Forschung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'STEP-Analyse'!$C$25</c:f>
              <c:numCache>
                <c:formatCode>General</c:formatCode>
                <c:ptCount val="1"/>
                <c:pt idx="0">
                  <c:v>0</c:v>
                </c:pt>
              </c:numCache>
            </c:numRef>
          </c:xVal>
          <c:yVal>
            <c:numRef>
              <c:f>'STEP-Analyse'!$D$25</c:f>
              <c:numCache>
                <c:formatCode>General</c:formatCode>
                <c:ptCount val="1"/>
                <c:pt idx="0">
                  <c:v>0</c:v>
                </c:pt>
              </c:numCache>
            </c:numRef>
          </c:yVal>
          <c:bubbleSize>
            <c:numRef>
              <c:f>'STEP-Analyse'!$E$25</c:f>
              <c:numCache>
                <c:formatCode>0%</c:formatCode>
                <c:ptCount val="1"/>
                <c:pt idx="0">
                  <c:v>0</c:v>
                </c:pt>
              </c:numCache>
            </c:numRef>
          </c:bubbleSize>
          <c:bubble3D val="0"/>
        </c:ser>
        <c:ser>
          <c:idx val="12"/>
          <c:order val="12"/>
          <c:tx>
            <c:v>neue Technologien und Produkte </c:v>
          </c:tx>
          <c:spPr>
            <a:ln w="25400">
              <a:noFill/>
            </a:ln>
          </c:spPr>
          <c:invertIfNegative val="0"/>
          <c:dLbls>
            <c:dLbl>
              <c:idx val="0"/>
              <c:tx>
                <c:rich>
                  <a:bodyPr/>
                  <a:lstStyle/>
                  <a:p>
                    <a:r>
                      <a:t>neue Technologien und Produkte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'STEP-Analyse'!$C$26</c:f>
              <c:numCache>
                <c:formatCode>General</c:formatCode>
                <c:ptCount val="1"/>
                <c:pt idx="0">
                  <c:v>0</c:v>
                </c:pt>
              </c:numCache>
            </c:numRef>
          </c:xVal>
          <c:yVal>
            <c:numRef>
              <c:f>'STEP-Analyse'!$D$26</c:f>
              <c:numCache>
                <c:formatCode>General</c:formatCode>
                <c:ptCount val="1"/>
                <c:pt idx="0">
                  <c:v>0</c:v>
                </c:pt>
              </c:numCache>
            </c:numRef>
          </c:yVal>
          <c:bubbleSize>
            <c:numRef>
              <c:f>'STEP-Analyse'!$E$26</c:f>
              <c:numCache>
                <c:formatCode>0%</c:formatCode>
                <c:ptCount val="1"/>
                <c:pt idx="0">
                  <c:v>0</c:v>
                </c:pt>
              </c:numCache>
            </c:numRef>
          </c:bubbleSize>
          <c:bubble3D val="0"/>
        </c:ser>
        <c:ser>
          <c:idx val="13"/>
          <c:order val="13"/>
          <c:tx>
            <c:v>neue Prozesse</c:v>
          </c:tx>
          <c:spPr>
            <a:ln w="25400">
              <a:noFill/>
            </a:ln>
          </c:spPr>
          <c:invertIfNegative val="0"/>
          <c:dLbls>
            <c:dLbl>
              <c:idx val="0"/>
              <c:tx>
                <c:rich>
                  <a:bodyPr/>
                  <a:lstStyle/>
                  <a:p>
                    <a:r>
                      <a:t>neue Prozesse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'STEP-Analyse'!$C$27</c:f>
              <c:numCache>
                <c:formatCode>General</c:formatCode>
                <c:ptCount val="1"/>
                <c:pt idx="0">
                  <c:v>0</c:v>
                </c:pt>
              </c:numCache>
            </c:numRef>
          </c:xVal>
          <c:yVal>
            <c:numRef>
              <c:f>'STEP-Analyse'!$D$27</c:f>
              <c:numCache>
                <c:formatCode>General</c:formatCode>
                <c:ptCount val="1"/>
                <c:pt idx="0">
                  <c:v>0</c:v>
                </c:pt>
              </c:numCache>
            </c:numRef>
          </c:yVal>
          <c:bubbleSize>
            <c:numRef>
              <c:f>'STEP-Analyse'!$E$27</c:f>
              <c:numCache>
                <c:formatCode>0%</c:formatCode>
                <c:ptCount val="1"/>
                <c:pt idx="0">
                  <c:v>0</c:v>
                </c:pt>
              </c:numCache>
            </c:numRef>
          </c:bubbleSize>
          <c:bubble3D val="0"/>
        </c:ser>
        <c:ser>
          <c:idx val="14"/>
          <c:order val="14"/>
          <c:tx>
            <c:v>Produktlebenszyklen</c:v>
          </c:tx>
          <c:spPr>
            <a:ln w="25400">
              <a:noFill/>
            </a:ln>
          </c:spPr>
          <c:invertIfNegative val="0"/>
          <c:dLbls>
            <c:dLbl>
              <c:idx val="0"/>
              <c:tx>
                <c:rich>
                  <a:bodyPr/>
                  <a:lstStyle/>
                  <a:p>
                    <a:r>
                      <a:t>Produktlebenszyklen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'STEP-Analyse'!$C$28</c:f>
              <c:numCache>
                <c:formatCode>General</c:formatCode>
                <c:ptCount val="1"/>
                <c:pt idx="0">
                  <c:v>0</c:v>
                </c:pt>
              </c:numCache>
            </c:numRef>
          </c:xVal>
          <c:yVal>
            <c:numRef>
              <c:f>'STEP-Analyse'!$D$28</c:f>
              <c:numCache>
                <c:formatCode>General</c:formatCode>
                <c:ptCount val="1"/>
                <c:pt idx="0">
                  <c:v>0</c:v>
                </c:pt>
              </c:numCache>
            </c:numRef>
          </c:yVal>
          <c:bubbleSize>
            <c:numRef>
              <c:f>'STEP-Analyse'!$E$28</c:f>
              <c:numCache>
                <c:formatCode>0%</c:formatCode>
                <c:ptCount val="1"/>
                <c:pt idx="0">
                  <c:v>0</c:v>
                </c:pt>
              </c:numCache>
            </c:numRef>
          </c:bubbleSize>
          <c:bubble3D val="0"/>
        </c:ser>
        <c:dLbls>
          <c:showLegendKey val="0"/>
          <c:showVal val="0"/>
          <c:showCatName val="0"/>
          <c:showSerName val="0"/>
          <c:showPercent val="0"/>
          <c:showBubbleSize val="0"/>
        </c:dLbls>
        <c:bubbleScale val="100"/>
        <c:showNegBubbles val="0"/>
        <c:axId val="29556096"/>
        <c:axId val="29640192"/>
      </c:bubbleChart>
      <c:valAx>
        <c:axId val="29556096"/>
        <c:scaling>
          <c:orientation val="minMax"/>
          <c:max val="5"/>
          <c:min val="0"/>
        </c:scaling>
        <c:delete val="0"/>
        <c:axPos val="b"/>
        <c:title>
          <c:tx>
            <c:rich>
              <a:bodyPr/>
              <a:lstStyle/>
              <a:p>
                <a:pPr>
                  <a:defRPr sz="1600"/>
                </a:pPr>
                <a:r>
                  <a:rPr lang="de-DE" sz="1600"/>
                  <a:t>Risikoverteilung relativ zum höchsten Risikowert aller Einflussfaktoren</a:t>
                </a:r>
              </a:p>
            </c:rich>
          </c:tx>
          <c:overlay val="0"/>
        </c:title>
        <c:numFmt formatCode="General" sourceLinked="1"/>
        <c:majorTickMark val="out"/>
        <c:minorTickMark val="none"/>
        <c:tickLblPos val="nextTo"/>
        <c:txPr>
          <a:bodyPr/>
          <a:lstStyle/>
          <a:p>
            <a:pPr>
              <a:defRPr>
                <a:solidFill>
                  <a:schemeClr val="bg1"/>
                </a:solidFill>
              </a:defRPr>
            </a:pPr>
            <a:endParaRPr lang="de-DE"/>
          </a:p>
        </c:txPr>
        <c:crossAx val="29640192"/>
        <c:crosses val="autoZero"/>
        <c:crossBetween val="midCat"/>
      </c:valAx>
      <c:valAx>
        <c:axId val="29640192"/>
        <c:scaling>
          <c:orientation val="minMax"/>
          <c:max val="6.3"/>
          <c:min val="0"/>
        </c:scaling>
        <c:delete val="0"/>
        <c:axPos val="l"/>
        <c:title>
          <c:tx>
            <c:rich>
              <a:bodyPr rot="-5400000" vert="horz"/>
              <a:lstStyle/>
              <a:p>
                <a:pPr>
                  <a:defRPr sz="1600"/>
                </a:pPr>
                <a:r>
                  <a:rPr lang="de-DE" sz="1600" b="1">
                    <a:latin typeface="+mn-lt"/>
                  </a:rPr>
                  <a:t>Abbruchsrisiko innerhalb des</a:t>
                </a:r>
                <a:r>
                  <a:rPr lang="de-DE" sz="1600" b="1" baseline="0">
                    <a:latin typeface="+mn-lt"/>
                  </a:rPr>
                  <a:t> Einflussfaktors</a:t>
                </a:r>
                <a:endParaRPr lang="de-DE" sz="1600" b="1">
                  <a:latin typeface="+mn-lt"/>
                </a:endParaRPr>
              </a:p>
            </c:rich>
          </c:tx>
          <c:overlay val="0"/>
        </c:title>
        <c:numFmt formatCode="General" sourceLinked="1"/>
        <c:majorTickMark val="out"/>
        <c:minorTickMark val="none"/>
        <c:tickLblPos val="nextTo"/>
        <c:txPr>
          <a:bodyPr/>
          <a:lstStyle/>
          <a:p>
            <a:pPr>
              <a:defRPr>
                <a:solidFill>
                  <a:schemeClr val="bg1"/>
                </a:solidFill>
              </a:defRPr>
            </a:pPr>
            <a:endParaRPr lang="de-DE"/>
          </a:p>
        </c:txPr>
        <c:crossAx val="29556096"/>
        <c:crosses val="autoZero"/>
        <c:crossBetween val="midCat"/>
        <c:majorUnit val="1"/>
        <c:minorUnit val="1"/>
      </c:valAx>
      <c:spPr>
        <a:blipFill dpi="0" rotWithShape="1">
          <a:blip xmlns:r="http://schemas.openxmlformats.org/officeDocument/2006/relationships" r:embed="rId1">
            <a:alphaModFix amt="45000"/>
          </a:blip>
          <a:srcRect/>
          <a:stretch>
            <a:fillRect/>
          </a:stretch>
        </a:blipFill>
      </c:spPr>
    </c:plotArea>
    <c:legend>
      <c:legendPos val="r"/>
      <c:layout>
        <c:manualLayout>
          <c:xMode val="edge"/>
          <c:yMode val="edge"/>
          <c:x val="0.65537897556461211"/>
          <c:y val="2.0365932621743226E-2"/>
          <c:w val="0.33996985617604808"/>
          <c:h val="0.9642488908666661"/>
        </c:manualLayout>
      </c:layout>
      <c:overlay val="0"/>
      <c:txPr>
        <a:bodyPr/>
        <a:lstStyle/>
        <a:p>
          <a:pPr>
            <a:defRPr sz="1400" b="1"/>
          </a:pPr>
          <a:endParaRPr lang="de-DE"/>
        </a:p>
      </c:txPr>
    </c:legend>
    <c:plotVisOnly val="0"/>
    <c:dispBlanksAs val="gap"/>
    <c:showDLblsOverMax val="0"/>
  </c:chart>
  <c:spPr>
    <a:ln>
      <a:noFill/>
    </a:ln>
  </c:sp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Project Portfolio</a:t>
            </a:r>
            <a:r>
              <a:rPr lang="de-DE" baseline="0"/>
              <a:t> View</a:t>
            </a:r>
            <a:endParaRPr lang="de-DE"/>
          </a:p>
        </c:rich>
      </c:tx>
      <c:layout>
        <c:manualLayout>
          <c:xMode val="edge"/>
          <c:yMode val="edge"/>
          <c:x val="0.36661548969748309"/>
          <c:y val="1.1747430249632892E-2"/>
        </c:manualLayout>
      </c:layout>
      <c:overlay val="0"/>
    </c:title>
    <c:autoTitleDeleted val="0"/>
    <c:plotArea>
      <c:layout/>
      <c:bubbleChart>
        <c:varyColors val="0"/>
        <c:ser>
          <c:idx val="0"/>
          <c:order val="0"/>
          <c:tx>
            <c:v>Projekt Brasilien</c:v>
          </c:tx>
          <c:spPr>
            <a:ln w="25400">
              <a:noFill/>
            </a:ln>
          </c:spPr>
          <c:invertIfNegative val="0"/>
          <c:dLbls>
            <c:dLbl>
              <c:idx val="0"/>
              <c:tx>
                <c:rich>
                  <a:bodyPr/>
                  <a:lstStyle/>
                  <a:p>
                    <a:r>
                      <a:t>Projekt Brasilien
 TEUR</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'Project-Portfolio-View'!$B$2</c:f>
              <c:numCache>
                <c:formatCode>General</c:formatCode>
                <c:ptCount val="1"/>
                <c:pt idx="0">
                  <c:v>0</c:v>
                </c:pt>
              </c:numCache>
            </c:numRef>
          </c:xVal>
          <c:yVal>
            <c:numRef>
              <c:f>'Project-Portfolio-View'!$C$2</c:f>
              <c:numCache>
                <c:formatCode>General</c:formatCode>
                <c:ptCount val="1"/>
                <c:pt idx="0">
                  <c:v>0</c:v>
                </c:pt>
              </c:numCache>
            </c:numRef>
          </c:yVal>
          <c:bubbleSize>
            <c:numRef>
              <c:f>'Project-Portfolio-View'!$D$2</c:f>
              <c:numCache>
                <c:formatCode>0.00\ "TEUR"</c:formatCode>
                <c:ptCount val="1"/>
              </c:numCache>
            </c:numRef>
          </c:bubbleSize>
          <c:bubble3D val="0"/>
        </c:ser>
        <c:ser>
          <c:idx val="1"/>
          <c:order val="1"/>
          <c:tx>
            <c:v>Projekt Nigeria</c:v>
          </c:tx>
          <c:spPr>
            <a:ln w="25400">
              <a:noFill/>
            </a:ln>
          </c:spPr>
          <c:invertIfNegative val="0"/>
          <c:dLbls>
            <c:dLbl>
              <c:idx val="0"/>
              <c:tx>
                <c:rich>
                  <a:bodyPr/>
                  <a:lstStyle/>
                  <a:p>
                    <a:r>
                      <a:t>Projekt Nigeria
 TEUR</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'Project-Portfolio-View'!$B$3</c:f>
              <c:numCache>
                <c:formatCode>General</c:formatCode>
                <c:ptCount val="1"/>
                <c:pt idx="0">
                  <c:v>0</c:v>
                </c:pt>
              </c:numCache>
            </c:numRef>
          </c:xVal>
          <c:yVal>
            <c:numRef>
              <c:f>'Project-Portfolio-View'!$C$3</c:f>
              <c:numCache>
                <c:formatCode>General</c:formatCode>
                <c:ptCount val="1"/>
                <c:pt idx="0">
                  <c:v>0</c:v>
                </c:pt>
              </c:numCache>
            </c:numRef>
          </c:yVal>
          <c:bubbleSize>
            <c:numRef>
              <c:f>'Project-Portfolio-View'!$D$3</c:f>
              <c:numCache>
                <c:formatCode>0.00\ "TEUR"</c:formatCode>
                <c:ptCount val="1"/>
              </c:numCache>
            </c:numRef>
          </c:bubbleSize>
          <c:bubble3D val="0"/>
        </c:ser>
        <c:ser>
          <c:idx val="2"/>
          <c:order val="2"/>
          <c:tx>
            <c:v>Projekt Russland</c:v>
          </c:tx>
          <c:spPr>
            <a:ln w="25400">
              <a:noFill/>
            </a:ln>
          </c:spPr>
          <c:invertIfNegative val="0"/>
          <c:dLbls>
            <c:dLbl>
              <c:idx val="0"/>
              <c:tx>
                <c:rich>
                  <a:bodyPr/>
                  <a:lstStyle/>
                  <a:p>
                    <a:r>
                      <a:t>Projekt Russland
 TEUR</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'Project-Portfolio-View'!$B$4</c:f>
              <c:numCache>
                <c:formatCode>General</c:formatCode>
                <c:ptCount val="1"/>
                <c:pt idx="0">
                  <c:v>0</c:v>
                </c:pt>
              </c:numCache>
            </c:numRef>
          </c:xVal>
          <c:yVal>
            <c:numRef>
              <c:f>'Project-Portfolio-View'!$C$4</c:f>
              <c:numCache>
                <c:formatCode>General</c:formatCode>
                <c:ptCount val="1"/>
                <c:pt idx="0">
                  <c:v>0</c:v>
                </c:pt>
              </c:numCache>
            </c:numRef>
          </c:yVal>
          <c:bubbleSize>
            <c:numRef>
              <c:f>'Project-Portfolio-View'!$D$4</c:f>
              <c:numCache>
                <c:formatCode>0.00\ "TEUR"</c:formatCode>
                <c:ptCount val="1"/>
              </c:numCache>
            </c:numRef>
          </c:bubbleSize>
          <c:bubble3D val="0"/>
        </c:ser>
        <c:ser>
          <c:idx val="3"/>
          <c:order val="3"/>
          <c:tx>
            <c:v>Projekt China</c:v>
          </c:tx>
          <c:spPr>
            <a:ln w="25400">
              <a:noFill/>
            </a:ln>
          </c:spPr>
          <c:invertIfNegative val="0"/>
          <c:dLbls>
            <c:dLbl>
              <c:idx val="0"/>
              <c:tx>
                <c:rich>
                  <a:bodyPr/>
                  <a:lstStyle/>
                  <a:p>
                    <a:r>
                      <a:t>Projekt China
 TEUR</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'Project-Portfolio-View'!$B$5</c:f>
              <c:numCache>
                <c:formatCode>General</c:formatCode>
                <c:ptCount val="1"/>
                <c:pt idx="0">
                  <c:v>0</c:v>
                </c:pt>
              </c:numCache>
            </c:numRef>
          </c:xVal>
          <c:yVal>
            <c:numRef>
              <c:f>'Project-Portfolio-View'!$C$5</c:f>
              <c:numCache>
                <c:formatCode>General</c:formatCode>
                <c:ptCount val="1"/>
                <c:pt idx="0">
                  <c:v>0</c:v>
                </c:pt>
              </c:numCache>
            </c:numRef>
          </c:yVal>
          <c:bubbleSize>
            <c:numRef>
              <c:f>'Project-Portfolio-View'!$D$5</c:f>
              <c:numCache>
                <c:formatCode>0.00\ "TEUR"</c:formatCode>
                <c:ptCount val="1"/>
              </c:numCache>
            </c:numRef>
          </c:bubbleSize>
          <c:bubble3D val="0"/>
        </c:ser>
        <c:dLbls>
          <c:showLegendKey val="0"/>
          <c:showVal val="1"/>
          <c:showCatName val="0"/>
          <c:showSerName val="0"/>
          <c:showPercent val="0"/>
          <c:showBubbleSize val="0"/>
        </c:dLbls>
        <c:bubbleScale val="100"/>
        <c:showNegBubbles val="0"/>
        <c:axId val="31172864"/>
        <c:axId val="31191424"/>
      </c:bubbleChart>
      <c:valAx>
        <c:axId val="31172864"/>
        <c:scaling>
          <c:orientation val="minMax"/>
          <c:min val="0"/>
        </c:scaling>
        <c:delete val="0"/>
        <c:axPos val="b"/>
        <c:majorGridlines/>
        <c:title>
          <c:tx>
            <c:rich>
              <a:bodyPr/>
              <a:lstStyle/>
              <a:p>
                <a:pPr>
                  <a:defRPr/>
                </a:pPr>
                <a:r>
                  <a:rPr lang="de-DE"/>
                  <a:t>Projektrisiko</a:t>
                </a:r>
              </a:p>
            </c:rich>
          </c:tx>
          <c:layout/>
          <c:overlay val="0"/>
        </c:title>
        <c:numFmt formatCode="General" sourceLinked="1"/>
        <c:majorTickMark val="out"/>
        <c:minorTickMark val="none"/>
        <c:tickLblPos val="nextTo"/>
        <c:crossAx val="31191424"/>
        <c:crosses val="autoZero"/>
        <c:crossBetween val="midCat"/>
        <c:majorUnit val="5"/>
      </c:valAx>
      <c:valAx>
        <c:axId val="31191424"/>
        <c:scaling>
          <c:orientation val="minMax"/>
          <c:max val="146"/>
          <c:min val="0"/>
        </c:scaling>
        <c:delete val="0"/>
        <c:axPos val="l"/>
        <c:majorGridlines/>
        <c:title>
          <c:tx>
            <c:rich>
              <a:bodyPr/>
              <a:lstStyle/>
              <a:p>
                <a:pPr>
                  <a:defRPr/>
                </a:pPr>
                <a:r>
                  <a:rPr lang="de-DE"/>
                  <a:t>Projektnutzen</a:t>
                </a:r>
              </a:p>
            </c:rich>
          </c:tx>
          <c:layout/>
          <c:overlay val="0"/>
        </c:title>
        <c:numFmt formatCode="General" sourceLinked="1"/>
        <c:majorTickMark val="out"/>
        <c:minorTickMark val="none"/>
        <c:tickLblPos val="nextTo"/>
        <c:crossAx val="31172864"/>
        <c:crosses val="autoZero"/>
        <c:crossBetween val="midCat"/>
      </c:valAx>
      <c:spPr>
        <a:blipFill dpi="0" rotWithShape="1">
          <a:blip xmlns:r="http://schemas.openxmlformats.org/officeDocument/2006/relationships" r:embed="rId1">
            <a:alphaModFix amt="40000"/>
          </a:blip>
          <a:srcRect/>
          <a:stretch>
            <a:fillRect/>
          </a:stretch>
        </a:blipFill>
      </c:spPr>
    </c:plotArea>
    <c:legend>
      <c:legendPos val="r"/>
      <c:layout/>
      <c:overlay val="0"/>
    </c:legend>
    <c:plotVisOnly val="1"/>
    <c:dispBlanksAs val="gap"/>
    <c:showDLblsOverMax val="0"/>
  </c:chart>
  <c:spPr>
    <a:ln>
      <a:noFill/>
    </a:ln>
  </c:sp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00"/>
            </a:pPr>
            <a:r>
              <a:rPr lang="de-DE" sz="3200"/>
              <a:t>Risikoverteilung einzelner Einflussfaktoren</a:t>
            </a:r>
          </a:p>
        </c:rich>
      </c:tx>
      <c:layout>
        <c:manualLayout>
          <c:xMode val="edge"/>
          <c:yMode val="edge"/>
          <c:x val="0.17655100914747826"/>
          <c:y val="7.5290892588352675E-3"/>
        </c:manualLayout>
      </c:layout>
      <c:overlay val="0"/>
    </c:title>
    <c:autoTitleDeleted val="0"/>
    <c:plotArea>
      <c:layout>
        <c:manualLayout>
          <c:layoutTarget val="inner"/>
          <c:xMode val="edge"/>
          <c:yMode val="edge"/>
          <c:x val="1.6256519232299142E-2"/>
          <c:y val="2.457632689536007E-2"/>
          <c:w val="0.68301378603877538"/>
          <c:h val="0.96610975692267498"/>
        </c:manualLayout>
      </c:layout>
      <c:barChart>
        <c:barDir val="col"/>
        <c:grouping val="clustered"/>
        <c:varyColors val="0"/>
        <c:ser>
          <c:idx val="0"/>
          <c:order val="0"/>
          <c:tx>
            <c:strRef>
              <c:f>'STEP-Analyse Brasilien'!$C$38:$J$38</c:f>
              <c:strCache>
                <c:ptCount val="1"/>
                <c:pt idx="0">
                  <c:v>Risikomaßzahl:  Gesetzgebung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Brasilien'!$K$38</c:f>
              <c:numCache>
                <c:formatCode>General</c:formatCode>
                <c:ptCount val="1"/>
                <c:pt idx="0">
                  <c:v>0</c:v>
                </c:pt>
              </c:numCache>
            </c:numRef>
          </c:val>
        </c:ser>
        <c:ser>
          <c:idx val="1"/>
          <c:order val="1"/>
          <c:tx>
            <c:strRef>
              <c:f>'STEP-Analyse Brasilien'!$C$44:$J$44</c:f>
              <c:strCache>
                <c:ptCount val="1"/>
                <c:pt idx="0">
                  <c:v>Risikomaßzahl:  politische Stabilität/ Rechtssicherheit</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Brasilien'!$K$44</c:f>
              <c:numCache>
                <c:formatCode>General</c:formatCode>
                <c:ptCount val="1"/>
                <c:pt idx="0">
                  <c:v>0</c:v>
                </c:pt>
              </c:numCache>
            </c:numRef>
          </c:val>
        </c:ser>
        <c:ser>
          <c:idx val="2"/>
          <c:order val="2"/>
          <c:tx>
            <c:strRef>
              <c:f>'STEP-Analyse Brasilien'!$C$50:$J$50</c:f>
              <c:strCache>
                <c:ptCount val="1"/>
                <c:pt idx="0">
                  <c:v>Risikomaßzahl:  Handelshemmnisse (Zölle/ Schranken/ regolatorische Hemmnisse ...)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Brasilien'!$K$50</c:f>
              <c:numCache>
                <c:formatCode>General</c:formatCode>
                <c:ptCount val="1"/>
                <c:pt idx="0">
                  <c:v>0</c:v>
                </c:pt>
              </c:numCache>
            </c:numRef>
          </c:val>
        </c:ser>
        <c:ser>
          <c:idx val="3"/>
          <c:order val="3"/>
          <c:tx>
            <c:strRef>
              <c:f>'STEP-Analyse Brasilien'!$C$56:$J$56</c:f>
              <c:strCache>
                <c:ptCount val="1"/>
                <c:pt idx="0">
                  <c:v>Risikomaßzahl:  Wirtschaftswachstum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Brasilien'!$K$56</c:f>
              <c:numCache>
                <c:formatCode>General</c:formatCode>
                <c:ptCount val="1"/>
                <c:pt idx="0">
                  <c:v>0</c:v>
                </c:pt>
              </c:numCache>
            </c:numRef>
          </c:val>
        </c:ser>
        <c:ser>
          <c:idx val="4"/>
          <c:order val="4"/>
          <c:tx>
            <c:strRef>
              <c:f>'STEP-Analyse Brasilien'!$C$62:$J$62</c:f>
              <c:strCache>
                <c:ptCount val="1"/>
                <c:pt idx="0">
                  <c:v>Risikomaßzahl:  Inflation, Zinsen, Wechselkurse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Brasilien'!$K$62</c:f>
              <c:numCache>
                <c:formatCode>General</c:formatCode>
                <c:ptCount val="1"/>
                <c:pt idx="0">
                  <c:v>0</c:v>
                </c:pt>
              </c:numCache>
            </c:numRef>
          </c:val>
        </c:ser>
        <c:ser>
          <c:idx val="5"/>
          <c:order val="5"/>
          <c:tx>
            <c:strRef>
              <c:f>'STEP-Analyse Brasilien'!$C$68:$J$68</c:f>
              <c:strCache>
                <c:ptCount val="1"/>
                <c:pt idx="0">
                  <c:v>Risikomaßzahl:  Arbeitsmarkt (Quantität/ Qualität ...)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Brasilien'!$K$68</c:f>
              <c:numCache>
                <c:formatCode>General</c:formatCode>
                <c:ptCount val="1"/>
                <c:pt idx="0">
                  <c:v>0</c:v>
                </c:pt>
              </c:numCache>
            </c:numRef>
          </c:val>
        </c:ser>
        <c:ser>
          <c:idx val="6"/>
          <c:order val="6"/>
          <c:tx>
            <c:strRef>
              <c:f>'STEP-Analyse Brasilien'!$C$74:$J$74</c:f>
              <c:strCache>
                <c:ptCount val="1"/>
                <c:pt idx="0">
                  <c:v>Risikomaßzahl:  Globalisierung/ Internationalisierung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Brasilien'!$K$74</c:f>
              <c:numCache>
                <c:formatCode>General</c:formatCode>
                <c:ptCount val="1"/>
                <c:pt idx="0">
                  <c:v>0</c:v>
                </c:pt>
              </c:numCache>
            </c:numRef>
          </c:val>
        </c:ser>
        <c:ser>
          <c:idx val="7"/>
          <c:order val="7"/>
          <c:tx>
            <c:strRef>
              <c:f>'STEP-Analyse Brasilien'!$C$80:$J$80</c:f>
              <c:strCache>
                <c:ptCount val="1"/>
                <c:pt idx="0">
                  <c:v>Risikomaßzahl:  Ressourcenverfügbarkeit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Brasilien'!$K$80</c:f>
              <c:numCache>
                <c:formatCode>General</c:formatCode>
                <c:ptCount val="1"/>
                <c:pt idx="0">
                  <c:v>0</c:v>
                </c:pt>
              </c:numCache>
            </c:numRef>
          </c:val>
        </c:ser>
        <c:ser>
          <c:idx val="8"/>
          <c:order val="8"/>
          <c:tx>
            <c:strRef>
              <c:f>'STEP-Analyse Brasilien'!$C$86:$J$86</c:f>
              <c:strCache>
                <c:ptCount val="1"/>
                <c:pt idx="0">
                  <c:v>Risikomaßzahl:  Werte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Brasilien'!$K$86</c:f>
              <c:numCache>
                <c:formatCode>General</c:formatCode>
                <c:ptCount val="1"/>
                <c:pt idx="0">
                  <c:v>0</c:v>
                </c:pt>
              </c:numCache>
            </c:numRef>
          </c:val>
        </c:ser>
        <c:ser>
          <c:idx val="9"/>
          <c:order val="9"/>
          <c:tx>
            <c:strRef>
              <c:f>'STEP-Analyse Brasilien'!$C$92:$J$92</c:f>
              <c:strCache>
                <c:ptCount val="1"/>
                <c:pt idx="0">
                  <c:v>Risikomaßzahl:  Lebensstil/ Mentalitäten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Brasilien'!$K$92</c:f>
              <c:numCache>
                <c:formatCode>General</c:formatCode>
                <c:ptCount val="1"/>
                <c:pt idx="0">
                  <c:v>0</c:v>
                </c:pt>
              </c:numCache>
            </c:numRef>
          </c:val>
        </c:ser>
        <c:ser>
          <c:idx val="10"/>
          <c:order val="10"/>
          <c:tx>
            <c:strRef>
              <c:f>'STEP-Analyse Brasilien'!$C$98:$J$98</c:f>
              <c:strCache>
                <c:ptCount val="1"/>
                <c:pt idx="0">
                  <c:v>Risikomaßzahl:  Bildung</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Brasilien'!$K$98</c:f>
              <c:numCache>
                <c:formatCode>General</c:formatCode>
                <c:ptCount val="1"/>
                <c:pt idx="0">
                  <c:v>0</c:v>
                </c:pt>
              </c:numCache>
            </c:numRef>
          </c:val>
        </c:ser>
        <c:ser>
          <c:idx val="11"/>
          <c:order val="11"/>
          <c:tx>
            <c:strRef>
              <c:f>'STEP-Analyse Brasilien'!$C$104:$J$104</c:f>
              <c:strCache>
                <c:ptCount val="1"/>
                <c:pt idx="0">
                  <c:v>Risikomaßzahl:  Forschung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Brasilien'!$K$104</c:f>
              <c:numCache>
                <c:formatCode>General</c:formatCode>
                <c:ptCount val="1"/>
                <c:pt idx="0">
                  <c:v>0</c:v>
                </c:pt>
              </c:numCache>
            </c:numRef>
          </c:val>
        </c:ser>
        <c:ser>
          <c:idx val="12"/>
          <c:order val="12"/>
          <c:tx>
            <c:strRef>
              <c:f>'STEP-Analyse Brasilien'!$C$110:$J$110</c:f>
              <c:strCache>
                <c:ptCount val="1"/>
                <c:pt idx="0">
                  <c:v>Risikomaßzahl:  neue Technologien und Produkte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Brasilien'!$K$110</c:f>
              <c:numCache>
                <c:formatCode>General</c:formatCode>
                <c:ptCount val="1"/>
                <c:pt idx="0">
                  <c:v>0</c:v>
                </c:pt>
              </c:numCache>
            </c:numRef>
          </c:val>
        </c:ser>
        <c:ser>
          <c:idx val="13"/>
          <c:order val="13"/>
          <c:tx>
            <c:strRef>
              <c:f>'STEP-Analyse Brasilien'!$C$116:$J$116</c:f>
              <c:strCache>
                <c:ptCount val="1"/>
                <c:pt idx="0">
                  <c:v>Risikomaßzahl:  neue Prozesse</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Brasilien'!$K$116</c:f>
              <c:numCache>
                <c:formatCode>General</c:formatCode>
                <c:ptCount val="1"/>
                <c:pt idx="0">
                  <c:v>0</c:v>
                </c:pt>
              </c:numCache>
            </c:numRef>
          </c:val>
        </c:ser>
        <c:ser>
          <c:idx val="14"/>
          <c:order val="14"/>
          <c:tx>
            <c:strRef>
              <c:f>'STEP-Analyse Brasilien'!$C$122:$J$122</c:f>
              <c:strCache>
                <c:ptCount val="1"/>
                <c:pt idx="0">
                  <c:v>Risikomaßzahl:  Produktlebenszyklen</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Brasilien'!$K$122</c:f>
              <c:numCache>
                <c:formatCode>General</c:formatCode>
                <c:ptCount val="1"/>
                <c:pt idx="0">
                  <c:v>0</c:v>
                </c:pt>
              </c:numCache>
            </c:numRef>
          </c:val>
        </c:ser>
        <c:dLbls>
          <c:showLegendKey val="0"/>
          <c:showVal val="0"/>
          <c:showCatName val="0"/>
          <c:showSerName val="0"/>
          <c:showPercent val="0"/>
          <c:showBubbleSize val="0"/>
        </c:dLbls>
        <c:gapWidth val="150"/>
        <c:axId val="32146176"/>
        <c:axId val="32147712"/>
      </c:barChart>
      <c:catAx>
        <c:axId val="32146176"/>
        <c:scaling>
          <c:orientation val="minMax"/>
        </c:scaling>
        <c:delete val="1"/>
        <c:axPos val="b"/>
        <c:majorTickMark val="out"/>
        <c:minorTickMark val="none"/>
        <c:tickLblPos val="nextTo"/>
        <c:crossAx val="32147712"/>
        <c:crosses val="autoZero"/>
        <c:auto val="1"/>
        <c:lblAlgn val="ctr"/>
        <c:lblOffset val="100"/>
        <c:noMultiLvlLbl val="0"/>
      </c:catAx>
      <c:valAx>
        <c:axId val="32147712"/>
        <c:scaling>
          <c:orientation val="minMax"/>
        </c:scaling>
        <c:delete val="0"/>
        <c:axPos val="l"/>
        <c:numFmt formatCode="General" sourceLinked="1"/>
        <c:majorTickMark val="out"/>
        <c:minorTickMark val="none"/>
        <c:tickLblPos val="nextTo"/>
        <c:crossAx val="32146176"/>
        <c:crosses val="autoZero"/>
        <c:crossBetween val="between"/>
      </c:valAx>
    </c:plotArea>
    <c:legend>
      <c:legendPos val="r"/>
      <c:layout>
        <c:manualLayout>
          <c:xMode val="edge"/>
          <c:yMode val="edge"/>
          <c:x val="0.72569829811741227"/>
          <c:y val="3.3151998978902121E-2"/>
          <c:w val="0.25029793633319214"/>
          <c:h val="0.92404485194286257"/>
        </c:manualLayout>
      </c:layout>
      <c:overlay val="0"/>
      <c:txPr>
        <a:bodyPr/>
        <a:lstStyle/>
        <a:p>
          <a:pPr>
            <a:defRPr sz="1400"/>
          </a:pPr>
          <a:endParaRPr lang="de-DE"/>
        </a:p>
      </c:txPr>
    </c:legend>
    <c:plotVisOnly val="1"/>
    <c:dispBlanksAs val="gap"/>
    <c:showDLblsOverMax val="0"/>
  </c:chart>
  <c:spPr>
    <a:ln>
      <a:noFill/>
    </a:ln>
  </c:spPr>
  <c:printSettings>
    <c:headerFooter/>
    <c:pageMargins b="0.78740157499999996" l="0.7" r="0.7" t="0.78740157499999996" header="0.3" footer="0.3"/>
    <c:pageSetup paperSize="8"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00"/>
            </a:pPr>
            <a:r>
              <a:rPr lang="de-DE" sz="3200"/>
              <a:t>Risikoclusterung einzelner</a:t>
            </a:r>
            <a:r>
              <a:rPr lang="de-DE" sz="3200" baseline="0"/>
              <a:t> </a:t>
            </a:r>
            <a:r>
              <a:rPr lang="de-DE" sz="3200"/>
              <a:t>Einflussfaktoren</a:t>
            </a:r>
          </a:p>
        </c:rich>
      </c:tx>
      <c:layout>
        <c:manualLayout>
          <c:xMode val="edge"/>
          <c:yMode val="edge"/>
          <c:x val="0.11370795423845105"/>
          <c:y val="9.8528467911139957E-3"/>
        </c:manualLayout>
      </c:layout>
      <c:overlay val="0"/>
    </c:title>
    <c:autoTitleDeleted val="0"/>
    <c:plotArea>
      <c:layout>
        <c:manualLayout>
          <c:layoutTarget val="inner"/>
          <c:xMode val="edge"/>
          <c:yMode val="edge"/>
          <c:x val="4.0960340896680131E-2"/>
          <c:y val="8.3281270624895473E-2"/>
          <c:w val="0.57916170017751334"/>
          <c:h val="0.84129989749271095"/>
        </c:manualLayout>
      </c:layout>
      <c:bubbleChart>
        <c:varyColors val="0"/>
        <c:ser>
          <c:idx val="0"/>
          <c:order val="0"/>
          <c:tx>
            <c:v>Gesetzgebung </c:v>
          </c:tx>
          <c:spPr>
            <a:ln w="25400">
              <a:noFill/>
            </a:ln>
          </c:spPr>
          <c:invertIfNegative val="0"/>
          <c:dLbls>
            <c:dLbl>
              <c:idx val="0"/>
              <c:tx>
                <c:rich>
                  <a:bodyPr/>
                  <a:lstStyle/>
                  <a:p>
                    <a:r>
                      <a:t>Gesetzgebung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Brasilien'!$C$14</c:f>
              <c:numCache>
                <c:formatCode>General</c:formatCode>
                <c:ptCount val="1"/>
                <c:pt idx="0">
                  <c:v>0</c:v>
                </c:pt>
              </c:numCache>
            </c:numRef>
          </c:xVal>
          <c:yVal>
            <c:numRef>
              <c:f>'STEP-Analyse Brasilien'!$D$14</c:f>
              <c:numCache>
                <c:formatCode>General</c:formatCode>
                <c:ptCount val="1"/>
                <c:pt idx="0">
                  <c:v>0</c:v>
                </c:pt>
              </c:numCache>
            </c:numRef>
          </c:yVal>
          <c:bubbleSize>
            <c:numRef>
              <c:f>'STEP-Analyse Brasilien'!$E$14</c:f>
              <c:numCache>
                <c:formatCode>0%</c:formatCode>
                <c:ptCount val="1"/>
                <c:pt idx="0">
                  <c:v>0</c:v>
                </c:pt>
              </c:numCache>
            </c:numRef>
          </c:bubbleSize>
          <c:bubble3D val="0"/>
        </c:ser>
        <c:ser>
          <c:idx val="1"/>
          <c:order val="1"/>
          <c:tx>
            <c:v>politische Stabilität/ Rechtssicherheit</c:v>
          </c:tx>
          <c:spPr>
            <a:ln w="25400">
              <a:noFill/>
            </a:ln>
          </c:spPr>
          <c:invertIfNegative val="0"/>
          <c:dLbls>
            <c:dLbl>
              <c:idx val="0"/>
              <c:tx>
                <c:rich>
                  <a:bodyPr/>
                  <a:lstStyle/>
                  <a:p>
                    <a:r>
                      <a:t>politische Stabilität/ Rechtssicherheit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Brasilien'!$C$15</c:f>
              <c:numCache>
                <c:formatCode>General</c:formatCode>
                <c:ptCount val="1"/>
                <c:pt idx="0">
                  <c:v>0</c:v>
                </c:pt>
              </c:numCache>
            </c:numRef>
          </c:xVal>
          <c:yVal>
            <c:numRef>
              <c:f>'STEP-Analyse Brasilien'!$D$15</c:f>
              <c:numCache>
                <c:formatCode>General</c:formatCode>
                <c:ptCount val="1"/>
                <c:pt idx="0">
                  <c:v>0</c:v>
                </c:pt>
              </c:numCache>
            </c:numRef>
          </c:yVal>
          <c:bubbleSize>
            <c:numRef>
              <c:f>'STEP-Analyse Brasilien'!$E$15</c:f>
              <c:numCache>
                <c:formatCode>0%</c:formatCode>
                <c:ptCount val="1"/>
                <c:pt idx="0">
                  <c:v>0</c:v>
                </c:pt>
              </c:numCache>
            </c:numRef>
          </c:bubbleSize>
          <c:bubble3D val="0"/>
        </c:ser>
        <c:ser>
          <c:idx val="2"/>
          <c:order val="2"/>
          <c:tx>
            <c:v>Handelshemmnisse (Zölle/ Schranken/ regolatorische Hemmnisse ...) </c:v>
          </c:tx>
          <c:spPr>
            <a:ln w="25400">
              <a:noFill/>
            </a:ln>
          </c:spPr>
          <c:invertIfNegative val="0"/>
          <c:dLbls>
            <c:dLbl>
              <c:idx val="0"/>
              <c:tx>
                <c:rich>
                  <a:bodyPr/>
                  <a:lstStyle/>
                  <a:p>
                    <a:r>
                      <a:t>Handelshemmnisse (Zölle/ Schranken/ regolatorische Hemmnisse ...)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Brasilien'!$C$16</c:f>
              <c:numCache>
                <c:formatCode>General</c:formatCode>
                <c:ptCount val="1"/>
                <c:pt idx="0">
                  <c:v>0</c:v>
                </c:pt>
              </c:numCache>
            </c:numRef>
          </c:xVal>
          <c:yVal>
            <c:numRef>
              <c:f>'STEP-Analyse Brasilien'!$D$16</c:f>
              <c:numCache>
                <c:formatCode>General</c:formatCode>
                <c:ptCount val="1"/>
                <c:pt idx="0">
                  <c:v>0</c:v>
                </c:pt>
              </c:numCache>
            </c:numRef>
          </c:yVal>
          <c:bubbleSize>
            <c:numRef>
              <c:f>'STEP-Analyse Brasilien'!$E$16</c:f>
              <c:numCache>
                <c:formatCode>0%</c:formatCode>
                <c:ptCount val="1"/>
                <c:pt idx="0">
                  <c:v>0</c:v>
                </c:pt>
              </c:numCache>
            </c:numRef>
          </c:bubbleSize>
          <c:bubble3D val="0"/>
        </c:ser>
        <c:ser>
          <c:idx val="3"/>
          <c:order val="3"/>
          <c:tx>
            <c:v>Wirtschaftswachstum </c:v>
          </c:tx>
          <c:spPr>
            <a:ln w="25400">
              <a:noFill/>
            </a:ln>
          </c:spPr>
          <c:invertIfNegative val="0"/>
          <c:dLbls>
            <c:dLbl>
              <c:idx val="0"/>
              <c:tx>
                <c:rich>
                  <a:bodyPr/>
                  <a:lstStyle/>
                  <a:p>
                    <a:r>
                      <a:t>Wirtschaftswachstum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Brasilien'!$C$17</c:f>
              <c:numCache>
                <c:formatCode>General</c:formatCode>
                <c:ptCount val="1"/>
                <c:pt idx="0">
                  <c:v>0</c:v>
                </c:pt>
              </c:numCache>
            </c:numRef>
          </c:xVal>
          <c:yVal>
            <c:numRef>
              <c:f>'STEP-Analyse Brasilien'!$D$17</c:f>
              <c:numCache>
                <c:formatCode>General</c:formatCode>
                <c:ptCount val="1"/>
                <c:pt idx="0">
                  <c:v>0</c:v>
                </c:pt>
              </c:numCache>
            </c:numRef>
          </c:yVal>
          <c:bubbleSize>
            <c:numRef>
              <c:f>'STEP-Analyse Brasilien'!$E$17</c:f>
              <c:numCache>
                <c:formatCode>0%</c:formatCode>
                <c:ptCount val="1"/>
                <c:pt idx="0">
                  <c:v>0</c:v>
                </c:pt>
              </c:numCache>
            </c:numRef>
          </c:bubbleSize>
          <c:bubble3D val="0"/>
        </c:ser>
        <c:ser>
          <c:idx val="4"/>
          <c:order val="4"/>
          <c:tx>
            <c:v>Inflation, Zinsen, Wechselkurse </c:v>
          </c:tx>
          <c:spPr>
            <a:ln w="25400">
              <a:noFill/>
            </a:ln>
          </c:spPr>
          <c:invertIfNegative val="0"/>
          <c:dLbls>
            <c:dLbl>
              <c:idx val="0"/>
              <c:tx>
                <c:rich>
                  <a:bodyPr/>
                  <a:lstStyle/>
                  <a:p>
                    <a:r>
                      <a:t>Inflation, Zinsen, Wechselkurse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Brasilien'!$C$18</c:f>
              <c:numCache>
                <c:formatCode>General</c:formatCode>
                <c:ptCount val="1"/>
                <c:pt idx="0">
                  <c:v>0</c:v>
                </c:pt>
              </c:numCache>
            </c:numRef>
          </c:xVal>
          <c:yVal>
            <c:numRef>
              <c:f>'STEP-Analyse Brasilien'!$D$18</c:f>
              <c:numCache>
                <c:formatCode>General</c:formatCode>
                <c:ptCount val="1"/>
                <c:pt idx="0">
                  <c:v>0</c:v>
                </c:pt>
              </c:numCache>
            </c:numRef>
          </c:yVal>
          <c:bubbleSize>
            <c:numRef>
              <c:f>'STEP-Analyse Brasilien'!$E$18</c:f>
              <c:numCache>
                <c:formatCode>0%</c:formatCode>
                <c:ptCount val="1"/>
                <c:pt idx="0">
                  <c:v>0</c:v>
                </c:pt>
              </c:numCache>
            </c:numRef>
          </c:bubbleSize>
          <c:bubble3D val="0"/>
        </c:ser>
        <c:ser>
          <c:idx val="5"/>
          <c:order val="5"/>
          <c:tx>
            <c:v>Arbeitsmarkt (Quantität/ Qualität ...) </c:v>
          </c:tx>
          <c:spPr>
            <a:ln w="25400">
              <a:noFill/>
            </a:ln>
          </c:spPr>
          <c:invertIfNegative val="0"/>
          <c:dLbls>
            <c:dLbl>
              <c:idx val="0"/>
              <c:tx>
                <c:rich>
                  <a:bodyPr/>
                  <a:lstStyle/>
                  <a:p>
                    <a:r>
                      <a:t>Arbeitsmarkt (Quantität/ Qualität ...)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Brasilien'!$C$19</c:f>
              <c:numCache>
                <c:formatCode>General</c:formatCode>
                <c:ptCount val="1"/>
                <c:pt idx="0">
                  <c:v>0</c:v>
                </c:pt>
              </c:numCache>
            </c:numRef>
          </c:xVal>
          <c:yVal>
            <c:numRef>
              <c:f>'STEP-Analyse Brasilien'!$D$19</c:f>
              <c:numCache>
                <c:formatCode>General</c:formatCode>
                <c:ptCount val="1"/>
                <c:pt idx="0">
                  <c:v>0</c:v>
                </c:pt>
              </c:numCache>
            </c:numRef>
          </c:yVal>
          <c:bubbleSize>
            <c:numRef>
              <c:f>'STEP-Analyse Brasilien'!$E$19</c:f>
              <c:numCache>
                <c:formatCode>0%</c:formatCode>
                <c:ptCount val="1"/>
                <c:pt idx="0">
                  <c:v>0</c:v>
                </c:pt>
              </c:numCache>
            </c:numRef>
          </c:bubbleSize>
          <c:bubble3D val="0"/>
        </c:ser>
        <c:ser>
          <c:idx val="6"/>
          <c:order val="6"/>
          <c:tx>
            <c:v>Globalisierung/ Internationalisierung </c:v>
          </c:tx>
          <c:spPr>
            <a:ln w="25400">
              <a:noFill/>
            </a:ln>
          </c:spPr>
          <c:invertIfNegative val="0"/>
          <c:dLbls>
            <c:dLbl>
              <c:idx val="0"/>
              <c:tx>
                <c:rich>
                  <a:bodyPr/>
                  <a:lstStyle/>
                  <a:p>
                    <a:r>
                      <a:t>Globalisierung/ Internationalisierung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Brasilien'!$C$20</c:f>
              <c:numCache>
                <c:formatCode>General</c:formatCode>
                <c:ptCount val="1"/>
                <c:pt idx="0">
                  <c:v>0</c:v>
                </c:pt>
              </c:numCache>
            </c:numRef>
          </c:xVal>
          <c:yVal>
            <c:numRef>
              <c:f>'STEP-Analyse Brasilien'!$D$20</c:f>
              <c:numCache>
                <c:formatCode>General</c:formatCode>
                <c:ptCount val="1"/>
                <c:pt idx="0">
                  <c:v>0</c:v>
                </c:pt>
              </c:numCache>
            </c:numRef>
          </c:yVal>
          <c:bubbleSize>
            <c:numRef>
              <c:f>'STEP-Analyse Brasilien'!$E$20</c:f>
              <c:numCache>
                <c:formatCode>0%</c:formatCode>
                <c:ptCount val="1"/>
                <c:pt idx="0">
                  <c:v>0</c:v>
                </c:pt>
              </c:numCache>
            </c:numRef>
          </c:bubbleSize>
          <c:bubble3D val="0"/>
        </c:ser>
        <c:ser>
          <c:idx val="7"/>
          <c:order val="7"/>
          <c:tx>
            <c:v>Ressourcenverfügbarkeit </c:v>
          </c:tx>
          <c:spPr>
            <a:ln w="25400">
              <a:noFill/>
            </a:ln>
          </c:spPr>
          <c:invertIfNegative val="0"/>
          <c:dLbls>
            <c:dLbl>
              <c:idx val="0"/>
              <c:tx>
                <c:rich>
                  <a:bodyPr/>
                  <a:lstStyle/>
                  <a:p>
                    <a:r>
                      <a:t>Ressourcenverfügbarkeit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Brasilien'!$C$21</c:f>
              <c:numCache>
                <c:formatCode>General</c:formatCode>
                <c:ptCount val="1"/>
                <c:pt idx="0">
                  <c:v>0</c:v>
                </c:pt>
              </c:numCache>
            </c:numRef>
          </c:xVal>
          <c:yVal>
            <c:numRef>
              <c:f>'STEP-Analyse Brasilien'!$D$21</c:f>
              <c:numCache>
                <c:formatCode>General</c:formatCode>
                <c:ptCount val="1"/>
                <c:pt idx="0">
                  <c:v>0</c:v>
                </c:pt>
              </c:numCache>
            </c:numRef>
          </c:yVal>
          <c:bubbleSize>
            <c:numRef>
              <c:f>'STEP-Analyse Brasilien'!$E$21</c:f>
              <c:numCache>
                <c:formatCode>0%</c:formatCode>
                <c:ptCount val="1"/>
                <c:pt idx="0">
                  <c:v>0</c:v>
                </c:pt>
              </c:numCache>
            </c:numRef>
          </c:bubbleSize>
          <c:bubble3D val="0"/>
        </c:ser>
        <c:ser>
          <c:idx val="8"/>
          <c:order val="8"/>
          <c:tx>
            <c:v>Werte </c:v>
          </c:tx>
          <c:spPr>
            <a:ln w="25400">
              <a:noFill/>
            </a:ln>
          </c:spPr>
          <c:invertIfNegative val="0"/>
          <c:dLbls>
            <c:dLbl>
              <c:idx val="0"/>
              <c:tx>
                <c:rich>
                  <a:bodyPr/>
                  <a:lstStyle/>
                  <a:p>
                    <a:r>
                      <a:t>Werte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Brasilien'!$C$22</c:f>
              <c:numCache>
                <c:formatCode>General</c:formatCode>
                <c:ptCount val="1"/>
                <c:pt idx="0">
                  <c:v>0</c:v>
                </c:pt>
              </c:numCache>
            </c:numRef>
          </c:xVal>
          <c:yVal>
            <c:numRef>
              <c:f>'STEP-Analyse Brasilien'!$D$22</c:f>
              <c:numCache>
                <c:formatCode>General</c:formatCode>
                <c:ptCount val="1"/>
                <c:pt idx="0">
                  <c:v>0</c:v>
                </c:pt>
              </c:numCache>
            </c:numRef>
          </c:yVal>
          <c:bubbleSize>
            <c:numRef>
              <c:f>'STEP-Analyse Brasilien'!$E$22</c:f>
              <c:numCache>
                <c:formatCode>0%</c:formatCode>
                <c:ptCount val="1"/>
                <c:pt idx="0">
                  <c:v>0</c:v>
                </c:pt>
              </c:numCache>
            </c:numRef>
          </c:bubbleSize>
          <c:bubble3D val="0"/>
        </c:ser>
        <c:ser>
          <c:idx val="9"/>
          <c:order val="9"/>
          <c:tx>
            <c:v>Lebensstil/ Mentalitäten </c:v>
          </c:tx>
          <c:spPr>
            <a:ln w="25400">
              <a:noFill/>
            </a:ln>
          </c:spPr>
          <c:invertIfNegative val="0"/>
          <c:dLbls>
            <c:dLbl>
              <c:idx val="0"/>
              <c:tx>
                <c:rich>
                  <a:bodyPr/>
                  <a:lstStyle/>
                  <a:p>
                    <a:r>
                      <a:t>Lebensstil/ Mentalitäten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Brasilien'!$C$23</c:f>
              <c:numCache>
                <c:formatCode>General</c:formatCode>
                <c:ptCount val="1"/>
                <c:pt idx="0">
                  <c:v>0</c:v>
                </c:pt>
              </c:numCache>
            </c:numRef>
          </c:xVal>
          <c:yVal>
            <c:numRef>
              <c:f>'STEP-Analyse Brasilien'!$D$23</c:f>
              <c:numCache>
                <c:formatCode>General</c:formatCode>
                <c:ptCount val="1"/>
                <c:pt idx="0">
                  <c:v>0</c:v>
                </c:pt>
              </c:numCache>
            </c:numRef>
          </c:yVal>
          <c:bubbleSize>
            <c:numRef>
              <c:f>'STEP-Analyse Brasilien'!$E$23</c:f>
              <c:numCache>
                <c:formatCode>0%</c:formatCode>
                <c:ptCount val="1"/>
                <c:pt idx="0">
                  <c:v>0</c:v>
                </c:pt>
              </c:numCache>
            </c:numRef>
          </c:bubbleSize>
          <c:bubble3D val="0"/>
        </c:ser>
        <c:ser>
          <c:idx val="10"/>
          <c:order val="10"/>
          <c:tx>
            <c:v>Bildung</c:v>
          </c:tx>
          <c:spPr>
            <a:ln w="25400">
              <a:noFill/>
            </a:ln>
          </c:spPr>
          <c:invertIfNegative val="0"/>
          <c:dLbls>
            <c:dLbl>
              <c:idx val="0"/>
              <c:tx>
                <c:rich>
                  <a:bodyPr/>
                  <a:lstStyle/>
                  <a:p>
                    <a:r>
                      <a:t>Bildung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Brasilien'!$C$24</c:f>
              <c:numCache>
                <c:formatCode>General</c:formatCode>
                <c:ptCount val="1"/>
                <c:pt idx="0">
                  <c:v>0</c:v>
                </c:pt>
              </c:numCache>
            </c:numRef>
          </c:xVal>
          <c:yVal>
            <c:numRef>
              <c:f>'STEP-Analyse Brasilien'!$D$24</c:f>
              <c:numCache>
                <c:formatCode>General</c:formatCode>
                <c:ptCount val="1"/>
                <c:pt idx="0">
                  <c:v>0</c:v>
                </c:pt>
              </c:numCache>
            </c:numRef>
          </c:yVal>
          <c:bubbleSize>
            <c:numRef>
              <c:f>'STEP-Analyse Brasilien'!$E$24</c:f>
              <c:numCache>
                <c:formatCode>0%</c:formatCode>
                <c:ptCount val="1"/>
                <c:pt idx="0">
                  <c:v>0</c:v>
                </c:pt>
              </c:numCache>
            </c:numRef>
          </c:bubbleSize>
          <c:bubble3D val="0"/>
        </c:ser>
        <c:ser>
          <c:idx val="11"/>
          <c:order val="11"/>
          <c:tx>
            <c:v>Forschung </c:v>
          </c:tx>
          <c:spPr>
            <a:ln w="25400">
              <a:noFill/>
            </a:ln>
          </c:spPr>
          <c:invertIfNegative val="0"/>
          <c:dLbls>
            <c:dLbl>
              <c:idx val="0"/>
              <c:tx>
                <c:rich>
                  <a:bodyPr/>
                  <a:lstStyle/>
                  <a:p>
                    <a:r>
                      <a:t>Forschung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Brasilien'!$C$25</c:f>
              <c:numCache>
                <c:formatCode>General</c:formatCode>
                <c:ptCount val="1"/>
                <c:pt idx="0">
                  <c:v>0</c:v>
                </c:pt>
              </c:numCache>
            </c:numRef>
          </c:xVal>
          <c:yVal>
            <c:numRef>
              <c:f>'STEP-Analyse Brasilien'!$D$25</c:f>
              <c:numCache>
                <c:formatCode>General</c:formatCode>
                <c:ptCount val="1"/>
                <c:pt idx="0">
                  <c:v>0</c:v>
                </c:pt>
              </c:numCache>
            </c:numRef>
          </c:yVal>
          <c:bubbleSize>
            <c:numRef>
              <c:f>'STEP-Analyse Brasilien'!$E$25</c:f>
              <c:numCache>
                <c:formatCode>0%</c:formatCode>
                <c:ptCount val="1"/>
                <c:pt idx="0">
                  <c:v>0</c:v>
                </c:pt>
              </c:numCache>
            </c:numRef>
          </c:bubbleSize>
          <c:bubble3D val="0"/>
        </c:ser>
        <c:ser>
          <c:idx val="12"/>
          <c:order val="12"/>
          <c:tx>
            <c:v>neue Technologien und Produkte </c:v>
          </c:tx>
          <c:spPr>
            <a:ln w="25400">
              <a:noFill/>
            </a:ln>
          </c:spPr>
          <c:invertIfNegative val="0"/>
          <c:dLbls>
            <c:dLbl>
              <c:idx val="0"/>
              <c:tx>
                <c:rich>
                  <a:bodyPr/>
                  <a:lstStyle/>
                  <a:p>
                    <a:r>
                      <a:t>neue Technologien und Produkte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Brasilien'!$C$26</c:f>
              <c:numCache>
                <c:formatCode>General</c:formatCode>
                <c:ptCount val="1"/>
                <c:pt idx="0">
                  <c:v>0</c:v>
                </c:pt>
              </c:numCache>
            </c:numRef>
          </c:xVal>
          <c:yVal>
            <c:numRef>
              <c:f>'STEP-Analyse Brasilien'!$D$26</c:f>
              <c:numCache>
                <c:formatCode>General</c:formatCode>
                <c:ptCount val="1"/>
                <c:pt idx="0">
                  <c:v>0</c:v>
                </c:pt>
              </c:numCache>
            </c:numRef>
          </c:yVal>
          <c:bubbleSize>
            <c:numRef>
              <c:f>'STEP-Analyse Brasilien'!$E$26</c:f>
              <c:numCache>
                <c:formatCode>0%</c:formatCode>
                <c:ptCount val="1"/>
                <c:pt idx="0">
                  <c:v>0</c:v>
                </c:pt>
              </c:numCache>
            </c:numRef>
          </c:bubbleSize>
          <c:bubble3D val="0"/>
        </c:ser>
        <c:ser>
          <c:idx val="13"/>
          <c:order val="13"/>
          <c:tx>
            <c:v>neue Prozesse</c:v>
          </c:tx>
          <c:spPr>
            <a:ln w="25400">
              <a:noFill/>
            </a:ln>
          </c:spPr>
          <c:invertIfNegative val="0"/>
          <c:dLbls>
            <c:dLbl>
              <c:idx val="0"/>
              <c:tx>
                <c:rich>
                  <a:bodyPr/>
                  <a:lstStyle/>
                  <a:p>
                    <a:r>
                      <a:t>neue Prozesse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Brasilien'!$C$27</c:f>
              <c:numCache>
                <c:formatCode>General</c:formatCode>
                <c:ptCount val="1"/>
                <c:pt idx="0">
                  <c:v>0</c:v>
                </c:pt>
              </c:numCache>
            </c:numRef>
          </c:xVal>
          <c:yVal>
            <c:numRef>
              <c:f>'STEP-Analyse Brasilien'!$D$27</c:f>
              <c:numCache>
                <c:formatCode>General</c:formatCode>
                <c:ptCount val="1"/>
                <c:pt idx="0">
                  <c:v>0</c:v>
                </c:pt>
              </c:numCache>
            </c:numRef>
          </c:yVal>
          <c:bubbleSize>
            <c:numRef>
              <c:f>'STEP-Analyse Brasilien'!$E$27</c:f>
              <c:numCache>
                <c:formatCode>0%</c:formatCode>
                <c:ptCount val="1"/>
                <c:pt idx="0">
                  <c:v>0</c:v>
                </c:pt>
              </c:numCache>
            </c:numRef>
          </c:bubbleSize>
          <c:bubble3D val="0"/>
        </c:ser>
        <c:ser>
          <c:idx val="14"/>
          <c:order val="14"/>
          <c:tx>
            <c:v>Produktlebenszyklen</c:v>
          </c:tx>
          <c:spPr>
            <a:ln w="25400">
              <a:noFill/>
            </a:ln>
          </c:spPr>
          <c:invertIfNegative val="0"/>
          <c:dLbls>
            <c:dLbl>
              <c:idx val="0"/>
              <c:tx>
                <c:rich>
                  <a:bodyPr/>
                  <a:lstStyle/>
                  <a:p>
                    <a:r>
                      <a:t>Produktlebenszyklen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Brasilien'!$C$28</c:f>
              <c:numCache>
                <c:formatCode>General</c:formatCode>
                <c:ptCount val="1"/>
                <c:pt idx="0">
                  <c:v>0</c:v>
                </c:pt>
              </c:numCache>
            </c:numRef>
          </c:xVal>
          <c:yVal>
            <c:numRef>
              <c:f>'STEP-Analyse Brasilien'!$D$28</c:f>
              <c:numCache>
                <c:formatCode>General</c:formatCode>
                <c:ptCount val="1"/>
                <c:pt idx="0">
                  <c:v>0</c:v>
                </c:pt>
              </c:numCache>
            </c:numRef>
          </c:yVal>
          <c:bubbleSize>
            <c:numRef>
              <c:f>'STEP-Analyse Brasilien'!$E$28</c:f>
              <c:numCache>
                <c:formatCode>0%</c:formatCode>
                <c:ptCount val="1"/>
                <c:pt idx="0">
                  <c:v>0</c:v>
                </c:pt>
              </c:numCache>
            </c:numRef>
          </c:bubbleSize>
          <c:bubble3D val="0"/>
        </c:ser>
        <c:dLbls>
          <c:showLegendKey val="0"/>
          <c:showVal val="0"/>
          <c:showCatName val="0"/>
          <c:showSerName val="0"/>
          <c:showPercent val="0"/>
          <c:showBubbleSize val="0"/>
        </c:dLbls>
        <c:bubbleScale val="100"/>
        <c:showNegBubbles val="0"/>
        <c:axId val="32715136"/>
        <c:axId val="32717056"/>
      </c:bubbleChart>
      <c:valAx>
        <c:axId val="32715136"/>
        <c:scaling>
          <c:orientation val="minMax"/>
          <c:max val="5"/>
          <c:min val="0"/>
        </c:scaling>
        <c:delete val="0"/>
        <c:axPos val="b"/>
        <c:title>
          <c:tx>
            <c:rich>
              <a:bodyPr/>
              <a:lstStyle/>
              <a:p>
                <a:pPr>
                  <a:defRPr sz="1600"/>
                </a:pPr>
                <a:r>
                  <a:rPr lang="de-DE" sz="1600"/>
                  <a:t>Risikoverteilung relativ zum höchsten Risikowert aller Einflussfaktoren</a:t>
                </a:r>
              </a:p>
            </c:rich>
          </c:tx>
          <c:overlay val="0"/>
        </c:title>
        <c:numFmt formatCode="General" sourceLinked="1"/>
        <c:majorTickMark val="out"/>
        <c:minorTickMark val="none"/>
        <c:tickLblPos val="nextTo"/>
        <c:txPr>
          <a:bodyPr/>
          <a:lstStyle/>
          <a:p>
            <a:pPr>
              <a:defRPr>
                <a:solidFill>
                  <a:schemeClr val="bg1"/>
                </a:solidFill>
              </a:defRPr>
            </a:pPr>
            <a:endParaRPr lang="de-DE"/>
          </a:p>
        </c:txPr>
        <c:crossAx val="32717056"/>
        <c:crosses val="autoZero"/>
        <c:crossBetween val="midCat"/>
      </c:valAx>
      <c:valAx>
        <c:axId val="32717056"/>
        <c:scaling>
          <c:orientation val="minMax"/>
          <c:max val="6.3"/>
          <c:min val="0"/>
        </c:scaling>
        <c:delete val="0"/>
        <c:axPos val="l"/>
        <c:title>
          <c:tx>
            <c:rich>
              <a:bodyPr rot="-5400000" vert="horz"/>
              <a:lstStyle/>
              <a:p>
                <a:pPr>
                  <a:defRPr sz="1600"/>
                </a:pPr>
                <a:r>
                  <a:rPr lang="de-DE" sz="1600" b="1">
                    <a:latin typeface="+mn-lt"/>
                  </a:rPr>
                  <a:t>Abbruchsrisiko innerhalb des</a:t>
                </a:r>
                <a:r>
                  <a:rPr lang="de-DE" sz="1600" b="1" baseline="0">
                    <a:latin typeface="+mn-lt"/>
                  </a:rPr>
                  <a:t> Einflussfaktors</a:t>
                </a:r>
                <a:endParaRPr lang="de-DE" sz="1600" b="1">
                  <a:latin typeface="+mn-lt"/>
                </a:endParaRPr>
              </a:p>
            </c:rich>
          </c:tx>
          <c:overlay val="0"/>
        </c:title>
        <c:numFmt formatCode="General" sourceLinked="1"/>
        <c:majorTickMark val="out"/>
        <c:minorTickMark val="none"/>
        <c:tickLblPos val="nextTo"/>
        <c:txPr>
          <a:bodyPr/>
          <a:lstStyle/>
          <a:p>
            <a:pPr>
              <a:defRPr>
                <a:solidFill>
                  <a:schemeClr val="bg1"/>
                </a:solidFill>
              </a:defRPr>
            </a:pPr>
            <a:endParaRPr lang="de-DE"/>
          </a:p>
        </c:txPr>
        <c:crossAx val="32715136"/>
        <c:crosses val="autoZero"/>
        <c:crossBetween val="midCat"/>
        <c:majorUnit val="1"/>
        <c:minorUnit val="1"/>
      </c:valAx>
      <c:spPr>
        <a:blipFill dpi="0" rotWithShape="1">
          <a:blip xmlns:r="http://schemas.openxmlformats.org/officeDocument/2006/relationships" r:embed="rId1">
            <a:alphaModFix amt="45000"/>
          </a:blip>
          <a:srcRect/>
          <a:stretch>
            <a:fillRect/>
          </a:stretch>
        </a:blipFill>
      </c:spPr>
    </c:plotArea>
    <c:legend>
      <c:legendPos val="r"/>
      <c:layout>
        <c:manualLayout>
          <c:xMode val="edge"/>
          <c:yMode val="edge"/>
          <c:x val="0.65537897556461211"/>
          <c:y val="2.0365932621743226E-2"/>
          <c:w val="0.33996985617604808"/>
          <c:h val="0.9642488908666661"/>
        </c:manualLayout>
      </c:layout>
      <c:overlay val="0"/>
      <c:txPr>
        <a:bodyPr/>
        <a:lstStyle/>
        <a:p>
          <a:pPr>
            <a:defRPr sz="1400" b="1"/>
          </a:pPr>
          <a:endParaRPr lang="de-DE"/>
        </a:p>
      </c:txPr>
    </c:legend>
    <c:plotVisOnly val="0"/>
    <c:dispBlanksAs val="gap"/>
    <c:showDLblsOverMax val="0"/>
  </c:chart>
  <c:spPr>
    <a:ln>
      <a:noFill/>
    </a:ln>
  </c:sp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00"/>
            </a:pPr>
            <a:r>
              <a:rPr lang="de-DE" sz="3200"/>
              <a:t>Risikoverteilung einzelner Einflussfaktoren</a:t>
            </a:r>
          </a:p>
        </c:rich>
      </c:tx>
      <c:layout>
        <c:manualLayout>
          <c:xMode val="edge"/>
          <c:yMode val="edge"/>
          <c:x val="0.17655100914747826"/>
          <c:y val="7.5290892588352675E-3"/>
        </c:manualLayout>
      </c:layout>
      <c:overlay val="0"/>
    </c:title>
    <c:autoTitleDeleted val="0"/>
    <c:plotArea>
      <c:layout>
        <c:manualLayout>
          <c:layoutTarget val="inner"/>
          <c:xMode val="edge"/>
          <c:yMode val="edge"/>
          <c:x val="1.6256519232299142E-2"/>
          <c:y val="2.457632689536007E-2"/>
          <c:w val="0.68301378603877538"/>
          <c:h val="0.96610975692267498"/>
        </c:manualLayout>
      </c:layout>
      <c:barChart>
        <c:barDir val="col"/>
        <c:grouping val="clustered"/>
        <c:varyColors val="0"/>
        <c:ser>
          <c:idx val="0"/>
          <c:order val="0"/>
          <c:tx>
            <c:strRef>
              <c:f>'STEP-Analyse Nigeria'!$C$38:$J$38</c:f>
              <c:strCache>
                <c:ptCount val="1"/>
                <c:pt idx="0">
                  <c:v>Risikomaßzahl:  Gesetzgebung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Nigeria'!$K$38</c:f>
              <c:numCache>
                <c:formatCode>General</c:formatCode>
                <c:ptCount val="1"/>
                <c:pt idx="0">
                  <c:v>0</c:v>
                </c:pt>
              </c:numCache>
            </c:numRef>
          </c:val>
        </c:ser>
        <c:ser>
          <c:idx val="1"/>
          <c:order val="1"/>
          <c:tx>
            <c:strRef>
              <c:f>'STEP-Analyse Nigeria'!$C$44:$J$44</c:f>
              <c:strCache>
                <c:ptCount val="1"/>
                <c:pt idx="0">
                  <c:v>Risikomaßzahl:  politische Stabilität/ Rechtssicherheit</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Nigeria'!$K$44</c:f>
              <c:numCache>
                <c:formatCode>General</c:formatCode>
                <c:ptCount val="1"/>
                <c:pt idx="0">
                  <c:v>0</c:v>
                </c:pt>
              </c:numCache>
            </c:numRef>
          </c:val>
        </c:ser>
        <c:ser>
          <c:idx val="2"/>
          <c:order val="2"/>
          <c:tx>
            <c:strRef>
              <c:f>'STEP-Analyse Nigeria'!$C$50:$J$50</c:f>
              <c:strCache>
                <c:ptCount val="1"/>
                <c:pt idx="0">
                  <c:v>Risikomaßzahl:  Handelshemmnisse (Zölle/ Schranken/ regolatorische Hemmnisse ...)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Nigeria'!$K$50</c:f>
              <c:numCache>
                <c:formatCode>General</c:formatCode>
                <c:ptCount val="1"/>
                <c:pt idx="0">
                  <c:v>0</c:v>
                </c:pt>
              </c:numCache>
            </c:numRef>
          </c:val>
        </c:ser>
        <c:ser>
          <c:idx val="3"/>
          <c:order val="3"/>
          <c:tx>
            <c:strRef>
              <c:f>'STEP-Analyse Nigeria'!$C$56:$J$56</c:f>
              <c:strCache>
                <c:ptCount val="1"/>
                <c:pt idx="0">
                  <c:v>Risikomaßzahl:  Wirtschaftswachstum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Nigeria'!$K$56</c:f>
              <c:numCache>
                <c:formatCode>General</c:formatCode>
                <c:ptCount val="1"/>
                <c:pt idx="0">
                  <c:v>0</c:v>
                </c:pt>
              </c:numCache>
            </c:numRef>
          </c:val>
        </c:ser>
        <c:ser>
          <c:idx val="4"/>
          <c:order val="4"/>
          <c:tx>
            <c:strRef>
              <c:f>'STEP-Analyse Nigeria'!$C$62:$J$62</c:f>
              <c:strCache>
                <c:ptCount val="1"/>
                <c:pt idx="0">
                  <c:v>Risikomaßzahl:  Inflation, Zinsen, Wechselkurse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Nigeria'!$K$62</c:f>
              <c:numCache>
                <c:formatCode>General</c:formatCode>
                <c:ptCount val="1"/>
                <c:pt idx="0">
                  <c:v>0</c:v>
                </c:pt>
              </c:numCache>
            </c:numRef>
          </c:val>
        </c:ser>
        <c:ser>
          <c:idx val="5"/>
          <c:order val="5"/>
          <c:tx>
            <c:strRef>
              <c:f>'STEP-Analyse Nigeria'!$C$68:$J$68</c:f>
              <c:strCache>
                <c:ptCount val="1"/>
                <c:pt idx="0">
                  <c:v>Risikomaßzahl:  Arbeitsmarkt (Quantität/ Qualität ...)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Nigeria'!$K$68</c:f>
              <c:numCache>
                <c:formatCode>General</c:formatCode>
                <c:ptCount val="1"/>
                <c:pt idx="0">
                  <c:v>0</c:v>
                </c:pt>
              </c:numCache>
            </c:numRef>
          </c:val>
        </c:ser>
        <c:ser>
          <c:idx val="6"/>
          <c:order val="6"/>
          <c:tx>
            <c:strRef>
              <c:f>'STEP-Analyse Nigeria'!$C$74:$J$74</c:f>
              <c:strCache>
                <c:ptCount val="1"/>
                <c:pt idx="0">
                  <c:v>Risikomaßzahl:  Globalisierung/ Internationalisierung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Nigeria'!$K$74</c:f>
              <c:numCache>
                <c:formatCode>General</c:formatCode>
                <c:ptCount val="1"/>
                <c:pt idx="0">
                  <c:v>0</c:v>
                </c:pt>
              </c:numCache>
            </c:numRef>
          </c:val>
        </c:ser>
        <c:ser>
          <c:idx val="7"/>
          <c:order val="7"/>
          <c:tx>
            <c:strRef>
              <c:f>'STEP-Analyse Nigeria'!$C$80:$J$80</c:f>
              <c:strCache>
                <c:ptCount val="1"/>
                <c:pt idx="0">
                  <c:v>Risikomaßzahl:  Ressourcenverfügbarkeit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Nigeria'!$K$80</c:f>
              <c:numCache>
                <c:formatCode>General</c:formatCode>
                <c:ptCount val="1"/>
                <c:pt idx="0">
                  <c:v>0</c:v>
                </c:pt>
              </c:numCache>
            </c:numRef>
          </c:val>
        </c:ser>
        <c:ser>
          <c:idx val="8"/>
          <c:order val="8"/>
          <c:tx>
            <c:strRef>
              <c:f>'STEP-Analyse Nigeria'!$C$86:$J$86</c:f>
              <c:strCache>
                <c:ptCount val="1"/>
                <c:pt idx="0">
                  <c:v>Risikomaßzahl:  Werte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Nigeria'!$K$86</c:f>
              <c:numCache>
                <c:formatCode>General</c:formatCode>
                <c:ptCount val="1"/>
                <c:pt idx="0">
                  <c:v>0</c:v>
                </c:pt>
              </c:numCache>
            </c:numRef>
          </c:val>
        </c:ser>
        <c:ser>
          <c:idx val="9"/>
          <c:order val="9"/>
          <c:tx>
            <c:strRef>
              <c:f>'STEP-Analyse Nigeria'!$C$92:$J$92</c:f>
              <c:strCache>
                <c:ptCount val="1"/>
                <c:pt idx="0">
                  <c:v>Risikomaßzahl:  Lebensstil/ Mentalitäten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Nigeria'!$K$92</c:f>
              <c:numCache>
                <c:formatCode>General</c:formatCode>
                <c:ptCount val="1"/>
                <c:pt idx="0">
                  <c:v>0</c:v>
                </c:pt>
              </c:numCache>
            </c:numRef>
          </c:val>
        </c:ser>
        <c:ser>
          <c:idx val="10"/>
          <c:order val="10"/>
          <c:tx>
            <c:strRef>
              <c:f>'STEP-Analyse Nigeria'!$C$98:$J$98</c:f>
              <c:strCache>
                <c:ptCount val="1"/>
                <c:pt idx="0">
                  <c:v>Risikomaßzahl:  Bildung</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Nigeria'!$K$98</c:f>
              <c:numCache>
                <c:formatCode>General</c:formatCode>
                <c:ptCount val="1"/>
                <c:pt idx="0">
                  <c:v>0</c:v>
                </c:pt>
              </c:numCache>
            </c:numRef>
          </c:val>
        </c:ser>
        <c:ser>
          <c:idx val="11"/>
          <c:order val="11"/>
          <c:tx>
            <c:strRef>
              <c:f>'STEP-Analyse Nigeria'!$C$104:$J$104</c:f>
              <c:strCache>
                <c:ptCount val="1"/>
                <c:pt idx="0">
                  <c:v>Risikomaßzahl:  Forschung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Nigeria'!$K$104</c:f>
              <c:numCache>
                <c:formatCode>General</c:formatCode>
                <c:ptCount val="1"/>
                <c:pt idx="0">
                  <c:v>0</c:v>
                </c:pt>
              </c:numCache>
            </c:numRef>
          </c:val>
        </c:ser>
        <c:ser>
          <c:idx val="12"/>
          <c:order val="12"/>
          <c:tx>
            <c:strRef>
              <c:f>'STEP-Analyse Nigeria'!$C$110:$J$110</c:f>
              <c:strCache>
                <c:ptCount val="1"/>
                <c:pt idx="0">
                  <c:v>Risikomaßzahl:  neue Technologien und Produkte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Nigeria'!$K$110</c:f>
              <c:numCache>
                <c:formatCode>General</c:formatCode>
                <c:ptCount val="1"/>
                <c:pt idx="0">
                  <c:v>0</c:v>
                </c:pt>
              </c:numCache>
            </c:numRef>
          </c:val>
        </c:ser>
        <c:ser>
          <c:idx val="13"/>
          <c:order val="13"/>
          <c:tx>
            <c:strRef>
              <c:f>'STEP-Analyse Nigeria'!$C$116:$J$116</c:f>
              <c:strCache>
                <c:ptCount val="1"/>
                <c:pt idx="0">
                  <c:v>Risikomaßzahl:  neue Prozesse</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Nigeria'!$K$116</c:f>
              <c:numCache>
                <c:formatCode>General</c:formatCode>
                <c:ptCount val="1"/>
                <c:pt idx="0">
                  <c:v>0</c:v>
                </c:pt>
              </c:numCache>
            </c:numRef>
          </c:val>
        </c:ser>
        <c:ser>
          <c:idx val="14"/>
          <c:order val="14"/>
          <c:tx>
            <c:strRef>
              <c:f>'STEP-Analyse Nigeria'!$C$122:$J$122</c:f>
              <c:strCache>
                <c:ptCount val="1"/>
                <c:pt idx="0">
                  <c:v>Risikomaßzahl:  Produktlebenszyklen</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Nigeria'!$K$122</c:f>
              <c:numCache>
                <c:formatCode>General</c:formatCode>
                <c:ptCount val="1"/>
                <c:pt idx="0">
                  <c:v>0</c:v>
                </c:pt>
              </c:numCache>
            </c:numRef>
          </c:val>
        </c:ser>
        <c:dLbls>
          <c:showLegendKey val="0"/>
          <c:showVal val="0"/>
          <c:showCatName val="0"/>
          <c:showSerName val="0"/>
          <c:showPercent val="0"/>
          <c:showBubbleSize val="0"/>
        </c:dLbls>
        <c:gapWidth val="150"/>
        <c:axId val="94755456"/>
        <c:axId val="94769536"/>
      </c:barChart>
      <c:catAx>
        <c:axId val="94755456"/>
        <c:scaling>
          <c:orientation val="minMax"/>
        </c:scaling>
        <c:delete val="1"/>
        <c:axPos val="b"/>
        <c:majorTickMark val="out"/>
        <c:minorTickMark val="none"/>
        <c:tickLblPos val="nextTo"/>
        <c:crossAx val="94769536"/>
        <c:crosses val="autoZero"/>
        <c:auto val="1"/>
        <c:lblAlgn val="ctr"/>
        <c:lblOffset val="100"/>
        <c:noMultiLvlLbl val="0"/>
      </c:catAx>
      <c:valAx>
        <c:axId val="94769536"/>
        <c:scaling>
          <c:orientation val="minMax"/>
        </c:scaling>
        <c:delete val="0"/>
        <c:axPos val="l"/>
        <c:numFmt formatCode="General" sourceLinked="1"/>
        <c:majorTickMark val="out"/>
        <c:minorTickMark val="none"/>
        <c:tickLblPos val="nextTo"/>
        <c:crossAx val="94755456"/>
        <c:crosses val="autoZero"/>
        <c:crossBetween val="between"/>
      </c:valAx>
    </c:plotArea>
    <c:legend>
      <c:legendPos val="r"/>
      <c:layout>
        <c:manualLayout>
          <c:xMode val="edge"/>
          <c:yMode val="edge"/>
          <c:x val="0.72569829811741227"/>
          <c:y val="3.3151998978902121E-2"/>
          <c:w val="0.25029793633319214"/>
          <c:h val="0.92404485194286257"/>
        </c:manualLayout>
      </c:layout>
      <c:overlay val="0"/>
      <c:txPr>
        <a:bodyPr/>
        <a:lstStyle/>
        <a:p>
          <a:pPr>
            <a:defRPr sz="1400"/>
          </a:pPr>
          <a:endParaRPr lang="de-DE"/>
        </a:p>
      </c:txPr>
    </c:legend>
    <c:plotVisOnly val="1"/>
    <c:dispBlanksAs val="gap"/>
    <c:showDLblsOverMax val="0"/>
  </c:chart>
  <c:spPr>
    <a:ln>
      <a:noFill/>
    </a:ln>
  </c:spPr>
  <c:printSettings>
    <c:headerFooter/>
    <c:pageMargins b="0.78740157499999996" l="0.7" r="0.7" t="0.78740157499999996" header="0.3" footer="0.3"/>
    <c:pageSetup paperSize="8"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00"/>
            </a:pPr>
            <a:r>
              <a:rPr lang="de-DE" sz="3200"/>
              <a:t>Risikoclusterung einzelner</a:t>
            </a:r>
            <a:r>
              <a:rPr lang="de-DE" sz="3200" baseline="0"/>
              <a:t> </a:t>
            </a:r>
            <a:r>
              <a:rPr lang="de-DE" sz="3200"/>
              <a:t>Einflussfaktoren</a:t>
            </a:r>
          </a:p>
        </c:rich>
      </c:tx>
      <c:layout>
        <c:manualLayout>
          <c:xMode val="edge"/>
          <c:yMode val="edge"/>
          <c:x val="0.11370795423845105"/>
          <c:y val="9.8528467911139957E-3"/>
        </c:manualLayout>
      </c:layout>
      <c:overlay val="0"/>
    </c:title>
    <c:autoTitleDeleted val="0"/>
    <c:plotArea>
      <c:layout>
        <c:manualLayout>
          <c:layoutTarget val="inner"/>
          <c:xMode val="edge"/>
          <c:yMode val="edge"/>
          <c:x val="4.0960340896680131E-2"/>
          <c:y val="8.3281270624895473E-2"/>
          <c:w val="0.57916170017751334"/>
          <c:h val="0.84129989749271095"/>
        </c:manualLayout>
      </c:layout>
      <c:bubbleChart>
        <c:varyColors val="0"/>
        <c:ser>
          <c:idx val="0"/>
          <c:order val="0"/>
          <c:tx>
            <c:v>Gesetzgebung </c:v>
          </c:tx>
          <c:spPr>
            <a:ln w="25400">
              <a:noFill/>
            </a:ln>
          </c:spPr>
          <c:invertIfNegative val="0"/>
          <c:dLbls>
            <c:dLbl>
              <c:idx val="0"/>
              <c:tx>
                <c:rich>
                  <a:bodyPr/>
                  <a:lstStyle/>
                  <a:p>
                    <a:r>
                      <a:t>Gesetzgebung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Nigeria'!$C$14</c:f>
              <c:numCache>
                <c:formatCode>General</c:formatCode>
                <c:ptCount val="1"/>
                <c:pt idx="0">
                  <c:v>0</c:v>
                </c:pt>
              </c:numCache>
            </c:numRef>
          </c:xVal>
          <c:yVal>
            <c:numRef>
              <c:f>'STEP-Analyse Nigeria'!$D$14</c:f>
              <c:numCache>
                <c:formatCode>General</c:formatCode>
                <c:ptCount val="1"/>
                <c:pt idx="0">
                  <c:v>0</c:v>
                </c:pt>
              </c:numCache>
            </c:numRef>
          </c:yVal>
          <c:bubbleSize>
            <c:numRef>
              <c:f>'STEP-Analyse Nigeria'!$E$14</c:f>
              <c:numCache>
                <c:formatCode>0%</c:formatCode>
                <c:ptCount val="1"/>
                <c:pt idx="0">
                  <c:v>0</c:v>
                </c:pt>
              </c:numCache>
            </c:numRef>
          </c:bubbleSize>
          <c:bubble3D val="0"/>
        </c:ser>
        <c:ser>
          <c:idx val="1"/>
          <c:order val="1"/>
          <c:tx>
            <c:v>politische Stabilität/ Rechtssicherheit</c:v>
          </c:tx>
          <c:spPr>
            <a:ln w="25400">
              <a:noFill/>
            </a:ln>
          </c:spPr>
          <c:invertIfNegative val="0"/>
          <c:dLbls>
            <c:dLbl>
              <c:idx val="0"/>
              <c:tx>
                <c:rich>
                  <a:bodyPr/>
                  <a:lstStyle/>
                  <a:p>
                    <a:r>
                      <a:t>politische Stabilität/ Rechtssicherheit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Nigeria'!$C$15</c:f>
              <c:numCache>
                <c:formatCode>General</c:formatCode>
                <c:ptCount val="1"/>
                <c:pt idx="0">
                  <c:v>0</c:v>
                </c:pt>
              </c:numCache>
            </c:numRef>
          </c:xVal>
          <c:yVal>
            <c:numRef>
              <c:f>'STEP-Analyse Nigeria'!$D$15</c:f>
              <c:numCache>
                <c:formatCode>General</c:formatCode>
                <c:ptCount val="1"/>
                <c:pt idx="0">
                  <c:v>0</c:v>
                </c:pt>
              </c:numCache>
            </c:numRef>
          </c:yVal>
          <c:bubbleSize>
            <c:numRef>
              <c:f>'STEP-Analyse Nigeria'!$E$15</c:f>
              <c:numCache>
                <c:formatCode>0%</c:formatCode>
                <c:ptCount val="1"/>
                <c:pt idx="0">
                  <c:v>0</c:v>
                </c:pt>
              </c:numCache>
            </c:numRef>
          </c:bubbleSize>
          <c:bubble3D val="0"/>
        </c:ser>
        <c:ser>
          <c:idx val="2"/>
          <c:order val="2"/>
          <c:tx>
            <c:v>Handelshemmnisse (Zölle/ Schranken/ regolatorische Hemmnisse ...) </c:v>
          </c:tx>
          <c:spPr>
            <a:ln w="25400">
              <a:noFill/>
            </a:ln>
          </c:spPr>
          <c:invertIfNegative val="0"/>
          <c:dLbls>
            <c:dLbl>
              <c:idx val="0"/>
              <c:tx>
                <c:rich>
                  <a:bodyPr/>
                  <a:lstStyle/>
                  <a:p>
                    <a:r>
                      <a:t>Handelshemmnisse (Zölle/ Schranken/ regolatorische Hemmnisse ...)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Nigeria'!$C$16</c:f>
              <c:numCache>
                <c:formatCode>General</c:formatCode>
                <c:ptCount val="1"/>
                <c:pt idx="0">
                  <c:v>0</c:v>
                </c:pt>
              </c:numCache>
            </c:numRef>
          </c:xVal>
          <c:yVal>
            <c:numRef>
              <c:f>'STEP-Analyse Nigeria'!$D$16</c:f>
              <c:numCache>
                <c:formatCode>General</c:formatCode>
                <c:ptCount val="1"/>
                <c:pt idx="0">
                  <c:v>0</c:v>
                </c:pt>
              </c:numCache>
            </c:numRef>
          </c:yVal>
          <c:bubbleSize>
            <c:numRef>
              <c:f>'STEP-Analyse Nigeria'!$E$16</c:f>
              <c:numCache>
                <c:formatCode>0%</c:formatCode>
                <c:ptCount val="1"/>
                <c:pt idx="0">
                  <c:v>0</c:v>
                </c:pt>
              </c:numCache>
            </c:numRef>
          </c:bubbleSize>
          <c:bubble3D val="0"/>
        </c:ser>
        <c:ser>
          <c:idx val="3"/>
          <c:order val="3"/>
          <c:tx>
            <c:v>Wirtschaftswachstum </c:v>
          </c:tx>
          <c:spPr>
            <a:ln w="25400">
              <a:noFill/>
            </a:ln>
          </c:spPr>
          <c:invertIfNegative val="0"/>
          <c:dLbls>
            <c:dLbl>
              <c:idx val="0"/>
              <c:tx>
                <c:rich>
                  <a:bodyPr/>
                  <a:lstStyle/>
                  <a:p>
                    <a:r>
                      <a:t>Wirtschaftswachstum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Nigeria'!$C$17</c:f>
              <c:numCache>
                <c:formatCode>General</c:formatCode>
                <c:ptCount val="1"/>
                <c:pt idx="0">
                  <c:v>0</c:v>
                </c:pt>
              </c:numCache>
            </c:numRef>
          </c:xVal>
          <c:yVal>
            <c:numRef>
              <c:f>'STEP-Analyse Nigeria'!$D$17</c:f>
              <c:numCache>
                <c:formatCode>General</c:formatCode>
                <c:ptCount val="1"/>
                <c:pt idx="0">
                  <c:v>0</c:v>
                </c:pt>
              </c:numCache>
            </c:numRef>
          </c:yVal>
          <c:bubbleSize>
            <c:numRef>
              <c:f>'STEP-Analyse Nigeria'!$E$17</c:f>
              <c:numCache>
                <c:formatCode>0%</c:formatCode>
                <c:ptCount val="1"/>
                <c:pt idx="0">
                  <c:v>0</c:v>
                </c:pt>
              </c:numCache>
            </c:numRef>
          </c:bubbleSize>
          <c:bubble3D val="0"/>
        </c:ser>
        <c:ser>
          <c:idx val="4"/>
          <c:order val="4"/>
          <c:tx>
            <c:v>Inflation, Zinsen, Wechselkurse </c:v>
          </c:tx>
          <c:spPr>
            <a:ln w="25400">
              <a:noFill/>
            </a:ln>
          </c:spPr>
          <c:invertIfNegative val="0"/>
          <c:dLbls>
            <c:dLbl>
              <c:idx val="0"/>
              <c:tx>
                <c:rich>
                  <a:bodyPr/>
                  <a:lstStyle/>
                  <a:p>
                    <a:r>
                      <a:t>Inflation, Zinsen, Wechselkurse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Nigeria'!$C$18</c:f>
              <c:numCache>
                <c:formatCode>General</c:formatCode>
                <c:ptCount val="1"/>
                <c:pt idx="0">
                  <c:v>0</c:v>
                </c:pt>
              </c:numCache>
            </c:numRef>
          </c:xVal>
          <c:yVal>
            <c:numRef>
              <c:f>'STEP-Analyse Nigeria'!$D$18</c:f>
              <c:numCache>
                <c:formatCode>General</c:formatCode>
                <c:ptCount val="1"/>
                <c:pt idx="0">
                  <c:v>0</c:v>
                </c:pt>
              </c:numCache>
            </c:numRef>
          </c:yVal>
          <c:bubbleSize>
            <c:numRef>
              <c:f>'STEP-Analyse Nigeria'!$E$18</c:f>
              <c:numCache>
                <c:formatCode>0%</c:formatCode>
                <c:ptCount val="1"/>
                <c:pt idx="0">
                  <c:v>0</c:v>
                </c:pt>
              </c:numCache>
            </c:numRef>
          </c:bubbleSize>
          <c:bubble3D val="0"/>
        </c:ser>
        <c:ser>
          <c:idx val="5"/>
          <c:order val="5"/>
          <c:tx>
            <c:v>Arbeitsmarkt (Quantität/ Qualität ...) </c:v>
          </c:tx>
          <c:spPr>
            <a:ln w="25400">
              <a:noFill/>
            </a:ln>
          </c:spPr>
          <c:invertIfNegative val="0"/>
          <c:dLbls>
            <c:dLbl>
              <c:idx val="0"/>
              <c:tx>
                <c:rich>
                  <a:bodyPr/>
                  <a:lstStyle/>
                  <a:p>
                    <a:r>
                      <a:t>Arbeitsmarkt (Quantität/ Qualität ...)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Nigeria'!$C$19</c:f>
              <c:numCache>
                <c:formatCode>General</c:formatCode>
                <c:ptCount val="1"/>
                <c:pt idx="0">
                  <c:v>0</c:v>
                </c:pt>
              </c:numCache>
            </c:numRef>
          </c:xVal>
          <c:yVal>
            <c:numRef>
              <c:f>'STEP-Analyse Nigeria'!$D$19</c:f>
              <c:numCache>
                <c:formatCode>General</c:formatCode>
                <c:ptCount val="1"/>
                <c:pt idx="0">
                  <c:v>0</c:v>
                </c:pt>
              </c:numCache>
            </c:numRef>
          </c:yVal>
          <c:bubbleSize>
            <c:numRef>
              <c:f>'STEP-Analyse Nigeria'!$E$19</c:f>
              <c:numCache>
                <c:formatCode>0%</c:formatCode>
                <c:ptCount val="1"/>
                <c:pt idx="0">
                  <c:v>0</c:v>
                </c:pt>
              </c:numCache>
            </c:numRef>
          </c:bubbleSize>
          <c:bubble3D val="0"/>
        </c:ser>
        <c:ser>
          <c:idx val="6"/>
          <c:order val="6"/>
          <c:tx>
            <c:v>Globalisierung/ Internationalisierung </c:v>
          </c:tx>
          <c:spPr>
            <a:ln w="25400">
              <a:noFill/>
            </a:ln>
          </c:spPr>
          <c:invertIfNegative val="0"/>
          <c:dLbls>
            <c:dLbl>
              <c:idx val="0"/>
              <c:tx>
                <c:rich>
                  <a:bodyPr/>
                  <a:lstStyle/>
                  <a:p>
                    <a:r>
                      <a:t>Globalisierung/ Internationalisierung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Nigeria'!$C$20</c:f>
              <c:numCache>
                <c:formatCode>General</c:formatCode>
                <c:ptCount val="1"/>
                <c:pt idx="0">
                  <c:v>0</c:v>
                </c:pt>
              </c:numCache>
            </c:numRef>
          </c:xVal>
          <c:yVal>
            <c:numRef>
              <c:f>'STEP-Analyse Nigeria'!$D$20</c:f>
              <c:numCache>
                <c:formatCode>General</c:formatCode>
                <c:ptCount val="1"/>
                <c:pt idx="0">
                  <c:v>0</c:v>
                </c:pt>
              </c:numCache>
            </c:numRef>
          </c:yVal>
          <c:bubbleSize>
            <c:numRef>
              <c:f>'STEP-Analyse Nigeria'!$E$20</c:f>
              <c:numCache>
                <c:formatCode>0%</c:formatCode>
                <c:ptCount val="1"/>
                <c:pt idx="0">
                  <c:v>0</c:v>
                </c:pt>
              </c:numCache>
            </c:numRef>
          </c:bubbleSize>
          <c:bubble3D val="0"/>
        </c:ser>
        <c:ser>
          <c:idx val="7"/>
          <c:order val="7"/>
          <c:tx>
            <c:v>Ressourcenverfügbarkeit </c:v>
          </c:tx>
          <c:spPr>
            <a:ln w="25400">
              <a:noFill/>
            </a:ln>
          </c:spPr>
          <c:invertIfNegative val="0"/>
          <c:dLbls>
            <c:dLbl>
              <c:idx val="0"/>
              <c:tx>
                <c:rich>
                  <a:bodyPr/>
                  <a:lstStyle/>
                  <a:p>
                    <a:r>
                      <a:t>Ressourcenverfügbarkeit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Nigeria'!$C$21</c:f>
              <c:numCache>
                <c:formatCode>General</c:formatCode>
                <c:ptCount val="1"/>
                <c:pt idx="0">
                  <c:v>0</c:v>
                </c:pt>
              </c:numCache>
            </c:numRef>
          </c:xVal>
          <c:yVal>
            <c:numRef>
              <c:f>'STEP-Analyse Nigeria'!$D$21</c:f>
              <c:numCache>
                <c:formatCode>General</c:formatCode>
                <c:ptCount val="1"/>
                <c:pt idx="0">
                  <c:v>0</c:v>
                </c:pt>
              </c:numCache>
            </c:numRef>
          </c:yVal>
          <c:bubbleSize>
            <c:numRef>
              <c:f>'STEP-Analyse Nigeria'!$E$21</c:f>
              <c:numCache>
                <c:formatCode>0%</c:formatCode>
                <c:ptCount val="1"/>
                <c:pt idx="0">
                  <c:v>0</c:v>
                </c:pt>
              </c:numCache>
            </c:numRef>
          </c:bubbleSize>
          <c:bubble3D val="0"/>
        </c:ser>
        <c:ser>
          <c:idx val="8"/>
          <c:order val="8"/>
          <c:tx>
            <c:v>Werte </c:v>
          </c:tx>
          <c:spPr>
            <a:ln w="25400">
              <a:noFill/>
            </a:ln>
          </c:spPr>
          <c:invertIfNegative val="0"/>
          <c:dLbls>
            <c:dLbl>
              <c:idx val="0"/>
              <c:tx>
                <c:rich>
                  <a:bodyPr/>
                  <a:lstStyle/>
                  <a:p>
                    <a:r>
                      <a:t>Werte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Nigeria'!$C$22</c:f>
              <c:numCache>
                <c:formatCode>General</c:formatCode>
                <c:ptCount val="1"/>
                <c:pt idx="0">
                  <c:v>0</c:v>
                </c:pt>
              </c:numCache>
            </c:numRef>
          </c:xVal>
          <c:yVal>
            <c:numRef>
              <c:f>'STEP-Analyse Nigeria'!$D$22</c:f>
              <c:numCache>
                <c:formatCode>General</c:formatCode>
                <c:ptCount val="1"/>
                <c:pt idx="0">
                  <c:v>0</c:v>
                </c:pt>
              </c:numCache>
            </c:numRef>
          </c:yVal>
          <c:bubbleSize>
            <c:numRef>
              <c:f>'STEP-Analyse Nigeria'!$E$22</c:f>
              <c:numCache>
                <c:formatCode>0%</c:formatCode>
                <c:ptCount val="1"/>
                <c:pt idx="0">
                  <c:v>0</c:v>
                </c:pt>
              </c:numCache>
            </c:numRef>
          </c:bubbleSize>
          <c:bubble3D val="0"/>
        </c:ser>
        <c:ser>
          <c:idx val="9"/>
          <c:order val="9"/>
          <c:tx>
            <c:v>Lebensstil/ Mentalitäten </c:v>
          </c:tx>
          <c:spPr>
            <a:ln w="25400">
              <a:noFill/>
            </a:ln>
          </c:spPr>
          <c:invertIfNegative val="0"/>
          <c:dLbls>
            <c:dLbl>
              <c:idx val="0"/>
              <c:tx>
                <c:rich>
                  <a:bodyPr/>
                  <a:lstStyle/>
                  <a:p>
                    <a:r>
                      <a:t>Lebensstil/ Mentalitäten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Nigeria'!$C$23</c:f>
              <c:numCache>
                <c:formatCode>General</c:formatCode>
                <c:ptCount val="1"/>
                <c:pt idx="0">
                  <c:v>0</c:v>
                </c:pt>
              </c:numCache>
            </c:numRef>
          </c:xVal>
          <c:yVal>
            <c:numRef>
              <c:f>'STEP-Analyse Nigeria'!$D$23</c:f>
              <c:numCache>
                <c:formatCode>General</c:formatCode>
                <c:ptCount val="1"/>
                <c:pt idx="0">
                  <c:v>0</c:v>
                </c:pt>
              </c:numCache>
            </c:numRef>
          </c:yVal>
          <c:bubbleSize>
            <c:numRef>
              <c:f>'STEP-Analyse Nigeria'!$E$23</c:f>
              <c:numCache>
                <c:formatCode>0%</c:formatCode>
                <c:ptCount val="1"/>
                <c:pt idx="0">
                  <c:v>0</c:v>
                </c:pt>
              </c:numCache>
            </c:numRef>
          </c:bubbleSize>
          <c:bubble3D val="0"/>
        </c:ser>
        <c:ser>
          <c:idx val="10"/>
          <c:order val="10"/>
          <c:tx>
            <c:v>Bildung</c:v>
          </c:tx>
          <c:spPr>
            <a:ln w="25400">
              <a:noFill/>
            </a:ln>
          </c:spPr>
          <c:invertIfNegative val="0"/>
          <c:dLbls>
            <c:dLbl>
              <c:idx val="0"/>
              <c:tx>
                <c:rich>
                  <a:bodyPr/>
                  <a:lstStyle/>
                  <a:p>
                    <a:r>
                      <a:t>Bildung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Nigeria'!$C$24</c:f>
              <c:numCache>
                <c:formatCode>General</c:formatCode>
                <c:ptCount val="1"/>
                <c:pt idx="0">
                  <c:v>0</c:v>
                </c:pt>
              </c:numCache>
            </c:numRef>
          </c:xVal>
          <c:yVal>
            <c:numRef>
              <c:f>'STEP-Analyse Nigeria'!$D$24</c:f>
              <c:numCache>
                <c:formatCode>General</c:formatCode>
                <c:ptCount val="1"/>
                <c:pt idx="0">
                  <c:v>0</c:v>
                </c:pt>
              </c:numCache>
            </c:numRef>
          </c:yVal>
          <c:bubbleSize>
            <c:numRef>
              <c:f>'STEP-Analyse Nigeria'!$E$24</c:f>
              <c:numCache>
                <c:formatCode>0%</c:formatCode>
                <c:ptCount val="1"/>
                <c:pt idx="0">
                  <c:v>0</c:v>
                </c:pt>
              </c:numCache>
            </c:numRef>
          </c:bubbleSize>
          <c:bubble3D val="0"/>
        </c:ser>
        <c:ser>
          <c:idx val="11"/>
          <c:order val="11"/>
          <c:tx>
            <c:v>Forschung </c:v>
          </c:tx>
          <c:spPr>
            <a:ln w="25400">
              <a:noFill/>
            </a:ln>
          </c:spPr>
          <c:invertIfNegative val="0"/>
          <c:dLbls>
            <c:dLbl>
              <c:idx val="0"/>
              <c:tx>
                <c:rich>
                  <a:bodyPr/>
                  <a:lstStyle/>
                  <a:p>
                    <a:r>
                      <a:t>Forschung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Nigeria'!$C$25</c:f>
              <c:numCache>
                <c:formatCode>General</c:formatCode>
                <c:ptCount val="1"/>
                <c:pt idx="0">
                  <c:v>0</c:v>
                </c:pt>
              </c:numCache>
            </c:numRef>
          </c:xVal>
          <c:yVal>
            <c:numRef>
              <c:f>'STEP-Analyse Nigeria'!$D$25</c:f>
              <c:numCache>
                <c:formatCode>General</c:formatCode>
                <c:ptCount val="1"/>
                <c:pt idx="0">
                  <c:v>0</c:v>
                </c:pt>
              </c:numCache>
            </c:numRef>
          </c:yVal>
          <c:bubbleSize>
            <c:numRef>
              <c:f>'STEP-Analyse Nigeria'!$E$25</c:f>
              <c:numCache>
                <c:formatCode>0%</c:formatCode>
                <c:ptCount val="1"/>
                <c:pt idx="0">
                  <c:v>0</c:v>
                </c:pt>
              </c:numCache>
            </c:numRef>
          </c:bubbleSize>
          <c:bubble3D val="0"/>
        </c:ser>
        <c:ser>
          <c:idx val="12"/>
          <c:order val="12"/>
          <c:tx>
            <c:v>neue Technologien und Produkte </c:v>
          </c:tx>
          <c:spPr>
            <a:ln w="25400">
              <a:noFill/>
            </a:ln>
          </c:spPr>
          <c:invertIfNegative val="0"/>
          <c:dLbls>
            <c:dLbl>
              <c:idx val="0"/>
              <c:tx>
                <c:rich>
                  <a:bodyPr/>
                  <a:lstStyle/>
                  <a:p>
                    <a:r>
                      <a:t>neue Technologien und Produkte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Nigeria'!$C$26</c:f>
              <c:numCache>
                <c:formatCode>General</c:formatCode>
                <c:ptCount val="1"/>
                <c:pt idx="0">
                  <c:v>0</c:v>
                </c:pt>
              </c:numCache>
            </c:numRef>
          </c:xVal>
          <c:yVal>
            <c:numRef>
              <c:f>'STEP-Analyse Nigeria'!$D$26</c:f>
              <c:numCache>
                <c:formatCode>General</c:formatCode>
                <c:ptCount val="1"/>
                <c:pt idx="0">
                  <c:v>0</c:v>
                </c:pt>
              </c:numCache>
            </c:numRef>
          </c:yVal>
          <c:bubbleSize>
            <c:numRef>
              <c:f>'STEP-Analyse Nigeria'!$E$26</c:f>
              <c:numCache>
                <c:formatCode>0%</c:formatCode>
                <c:ptCount val="1"/>
                <c:pt idx="0">
                  <c:v>0</c:v>
                </c:pt>
              </c:numCache>
            </c:numRef>
          </c:bubbleSize>
          <c:bubble3D val="0"/>
        </c:ser>
        <c:ser>
          <c:idx val="13"/>
          <c:order val="13"/>
          <c:tx>
            <c:v>neue Prozesse</c:v>
          </c:tx>
          <c:spPr>
            <a:ln w="25400">
              <a:noFill/>
            </a:ln>
          </c:spPr>
          <c:invertIfNegative val="0"/>
          <c:dLbls>
            <c:dLbl>
              <c:idx val="0"/>
              <c:tx>
                <c:rich>
                  <a:bodyPr/>
                  <a:lstStyle/>
                  <a:p>
                    <a:r>
                      <a:t>neue Prozesse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Nigeria'!$C$27</c:f>
              <c:numCache>
                <c:formatCode>General</c:formatCode>
                <c:ptCount val="1"/>
                <c:pt idx="0">
                  <c:v>0</c:v>
                </c:pt>
              </c:numCache>
            </c:numRef>
          </c:xVal>
          <c:yVal>
            <c:numRef>
              <c:f>'STEP-Analyse Nigeria'!$D$27</c:f>
              <c:numCache>
                <c:formatCode>General</c:formatCode>
                <c:ptCount val="1"/>
                <c:pt idx="0">
                  <c:v>0</c:v>
                </c:pt>
              </c:numCache>
            </c:numRef>
          </c:yVal>
          <c:bubbleSize>
            <c:numRef>
              <c:f>'STEP-Analyse Nigeria'!$E$27</c:f>
              <c:numCache>
                <c:formatCode>0%</c:formatCode>
                <c:ptCount val="1"/>
                <c:pt idx="0">
                  <c:v>0</c:v>
                </c:pt>
              </c:numCache>
            </c:numRef>
          </c:bubbleSize>
          <c:bubble3D val="0"/>
        </c:ser>
        <c:ser>
          <c:idx val="14"/>
          <c:order val="14"/>
          <c:tx>
            <c:v>Produktlebenszyklen</c:v>
          </c:tx>
          <c:spPr>
            <a:ln w="25400">
              <a:noFill/>
            </a:ln>
          </c:spPr>
          <c:invertIfNegative val="0"/>
          <c:dLbls>
            <c:dLbl>
              <c:idx val="0"/>
              <c:tx>
                <c:rich>
                  <a:bodyPr/>
                  <a:lstStyle/>
                  <a:p>
                    <a:r>
                      <a:t>Produktlebenszyklen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Nigeria'!$C$28</c:f>
              <c:numCache>
                <c:formatCode>General</c:formatCode>
                <c:ptCount val="1"/>
                <c:pt idx="0">
                  <c:v>0</c:v>
                </c:pt>
              </c:numCache>
            </c:numRef>
          </c:xVal>
          <c:yVal>
            <c:numRef>
              <c:f>'STEP-Analyse Nigeria'!$D$28</c:f>
              <c:numCache>
                <c:formatCode>General</c:formatCode>
                <c:ptCount val="1"/>
                <c:pt idx="0">
                  <c:v>0</c:v>
                </c:pt>
              </c:numCache>
            </c:numRef>
          </c:yVal>
          <c:bubbleSize>
            <c:numRef>
              <c:f>'STEP-Analyse Nigeria'!$E$28</c:f>
              <c:numCache>
                <c:formatCode>0%</c:formatCode>
                <c:ptCount val="1"/>
                <c:pt idx="0">
                  <c:v>0</c:v>
                </c:pt>
              </c:numCache>
            </c:numRef>
          </c:bubbleSize>
          <c:bubble3D val="0"/>
        </c:ser>
        <c:dLbls>
          <c:showLegendKey val="0"/>
          <c:showVal val="0"/>
          <c:showCatName val="0"/>
          <c:showSerName val="0"/>
          <c:showPercent val="0"/>
          <c:showBubbleSize val="0"/>
        </c:dLbls>
        <c:bubbleScale val="100"/>
        <c:showNegBubbles val="0"/>
        <c:axId val="95532928"/>
        <c:axId val="95596544"/>
      </c:bubbleChart>
      <c:valAx>
        <c:axId val="95532928"/>
        <c:scaling>
          <c:orientation val="minMax"/>
          <c:max val="5"/>
          <c:min val="0"/>
        </c:scaling>
        <c:delete val="0"/>
        <c:axPos val="b"/>
        <c:title>
          <c:tx>
            <c:rich>
              <a:bodyPr/>
              <a:lstStyle/>
              <a:p>
                <a:pPr>
                  <a:defRPr sz="1600"/>
                </a:pPr>
                <a:r>
                  <a:rPr lang="de-DE" sz="1600"/>
                  <a:t>Risikoverteilung relativ zum höchsten Risikowert aller Einflussfaktoren</a:t>
                </a:r>
              </a:p>
            </c:rich>
          </c:tx>
          <c:overlay val="0"/>
        </c:title>
        <c:numFmt formatCode="General" sourceLinked="1"/>
        <c:majorTickMark val="out"/>
        <c:minorTickMark val="none"/>
        <c:tickLblPos val="nextTo"/>
        <c:txPr>
          <a:bodyPr/>
          <a:lstStyle/>
          <a:p>
            <a:pPr>
              <a:defRPr>
                <a:solidFill>
                  <a:schemeClr val="bg1"/>
                </a:solidFill>
              </a:defRPr>
            </a:pPr>
            <a:endParaRPr lang="de-DE"/>
          </a:p>
        </c:txPr>
        <c:crossAx val="95596544"/>
        <c:crosses val="autoZero"/>
        <c:crossBetween val="midCat"/>
      </c:valAx>
      <c:valAx>
        <c:axId val="95596544"/>
        <c:scaling>
          <c:orientation val="minMax"/>
          <c:max val="6.3"/>
          <c:min val="0"/>
        </c:scaling>
        <c:delete val="0"/>
        <c:axPos val="l"/>
        <c:title>
          <c:tx>
            <c:rich>
              <a:bodyPr rot="-5400000" vert="horz"/>
              <a:lstStyle/>
              <a:p>
                <a:pPr>
                  <a:defRPr sz="1600"/>
                </a:pPr>
                <a:r>
                  <a:rPr lang="de-DE" sz="1600" b="1">
                    <a:latin typeface="+mn-lt"/>
                  </a:rPr>
                  <a:t>Abbruchsrisiko innerhalb des</a:t>
                </a:r>
                <a:r>
                  <a:rPr lang="de-DE" sz="1600" b="1" baseline="0">
                    <a:latin typeface="+mn-lt"/>
                  </a:rPr>
                  <a:t> Einflussfaktors</a:t>
                </a:r>
                <a:endParaRPr lang="de-DE" sz="1600" b="1">
                  <a:latin typeface="+mn-lt"/>
                </a:endParaRPr>
              </a:p>
            </c:rich>
          </c:tx>
          <c:overlay val="0"/>
        </c:title>
        <c:numFmt formatCode="General" sourceLinked="1"/>
        <c:majorTickMark val="out"/>
        <c:minorTickMark val="none"/>
        <c:tickLblPos val="nextTo"/>
        <c:txPr>
          <a:bodyPr/>
          <a:lstStyle/>
          <a:p>
            <a:pPr>
              <a:defRPr>
                <a:solidFill>
                  <a:schemeClr val="bg1"/>
                </a:solidFill>
              </a:defRPr>
            </a:pPr>
            <a:endParaRPr lang="de-DE"/>
          </a:p>
        </c:txPr>
        <c:crossAx val="95532928"/>
        <c:crosses val="autoZero"/>
        <c:crossBetween val="midCat"/>
        <c:majorUnit val="1"/>
        <c:minorUnit val="1"/>
      </c:valAx>
      <c:spPr>
        <a:blipFill dpi="0" rotWithShape="1">
          <a:blip xmlns:r="http://schemas.openxmlformats.org/officeDocument/2006/relationships" r:embed="rId1">
            <a:alphaModFix amt="45000"/>
          </a:blip>
          <a:srcRect/>
          <a:stretch>
            <a:fillRect/>
          </a:stretch>
        </a:blipFill>
      </c:spPr>
    </c:plotArea>
    <c:legend>
      <c:legendPos val="r"/>
      <c:layout>
        <c:manualLayout>
          <c:xMode val="edge"/>
          <c:yMode val="edge"/>
          <c:x val="0.65537897556461211"/>
          <c:y val="2.0365932621743226E-2"/>
          <c:w val="0.33996985617604808"/>
          <c:h val="0.9642488908666661"/>
        </c:manualLayout>
      </c:layout>
      <c:overlay val="0"/>
      <c:txPr>
        <a:bodyPr/>
        <a:lstStyle/>
        <a:p>
          <a:pPr>
            <a:defRPr sz="1400" b="1"/>
          </a:pPr>
          <a:endParaRPr lang="de-DE"/>
        </a:p>
      </c:txPr>
    </c:legend>
    <c:plotVisOnly val="0"/>
    <c:dispBlanksAs val="gap"/>
    <c:showDLblsOverMax val="0"/>
  </c:chart>
  <c:spPr>
    <a:ln>
      <a:noFill/>
    </a:ln>
  </c:sp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00"/>
            </a:pPr>
            <a:r>
              <a:rPr lang="de-DE" sz="3200"/>
              <a:t>Risikoverteilung einzelner Einflussfaktoren</a:t>
            </a:r>
          </a:p>
        </c:rich>
      </c:tx>
      <c:layout>
        <c:manualLayout>
          <c:xMode val="edge"/>
          <c:yMode val="edge"/>
          <c:x val="0.17655100914747826"/>
          <c:y val="7.5290892588352675E-3"/>
        </c:manualLayout>
      </c:layout>
      <c:overlay val="0"/>
    </c:title>
    <c:autoTitleDeleted val="0"/>
    <c:plotArea>
      <c:layout>
        <c:manualLayout>
          <c:layoutTarget val="inner"/>
          <c:xMode val="edge"/>
          <c:yMode val="edge"/>
          <c:x val="1.6256519232299142E-2"/>
          <c:y val="2.457632689536007E-2"/>
          <c:w val="0.68301378603877538"/>
          <c:h val="0.96610975692267498"/>
        </c:manualLayout>
      </c:layout>
      <c:barChart>
        <c:barDir val="col"/>
        <c:grouping val="clustered"/>
        <c:varyColors val="0"/>
        <c:ser>
          <c:idx val="0"/>
          <c:order val="0"/>
          <c:tx>
            <c:strRef>
              <c:f>'STEP-Analyse Russland'!$C$38:$J$38</c:f>
              <c:strCache>
                <c:ptCount val="1"/>
                <c:pt idx="0">
                  <c:v>Risikomaßzahl:  Gesetzgebung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Russland'!$K$38</c:f>
              <c:numCache>
                <c:formatCode>General</c:formatCode>
                <c:ptCount val="1"/>
                <c:pt idx="0">
                  <c:v>0</c:v>
                </c:pt>
              </c:numCache>
            </c:numRef>
          </c:val>
        </c:ser>
        <c:ser>
          <c:idx val="1"/>
          <c:order val="1"/>
          <c:tx>
            <c:strRef>
              <c:f>'STEP-Analyse Russland'!$C$44:$J$44</c:f>
              <c:strCache>
                <c:ptCount val="1"/>
                <c:pt idx="0">
                  <c:v>Risikomaßzahl:  politische Stabilität/ Rechtssicherheit</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Russland'!$K$44</c:f>
              <c:numCache>
                <c:formatCode>General</c:formatCode>
                <c:ptCount val="1"/>
                <c:pt idx="0">
                  <c:v>0</c:v>
                </c:pt>
              </c:numCache>
            </c:numRef>
          </c:val>
        </c:ser>
        <c:ser>
          <c:idx val="2"/>
          <c:order val="2"/>
          <c:tx>
            <c:strRef>
              <c:f>'STEP-Analyse Russland'!$C$50:$J$50</c:f>
              <c:strCache>
                <c:ptCount val="1"/>
                <c:pt idx="0">
                  <c:v>Risikomaßzahl:  Handelshemmnisse (Zölle/ Schranken/ regolatorische Hemmnisse ...)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Russland'!$K$50</c:f>
              <c:numCache>
                <c:formatCode>General</c:formatCode>
                <c:ptCount val="1"/>
                <c:pt idx="0">
                  <c:v>0</c:v>
                </c:pt>
              </c:numCache>
            </c:numRef>
          </c:val>
        </c:ser>
        <c:ser>
          <c:idx val="3"/>
          <c:order val="3"/>
          <c:tx>
            <c:strRef>
              <c:f>'STEP-Analyse Russland'!$C$56:$J$56</c:f>
              <c:strCache>
                <c:ptCount val="1"/>
                <c:pt idx="0">
                  <c:v>Risikomaßzahl:  Wirtschaftswachstum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Russland'!$K$56</c:f>
              <c:numCache>
                <c:formatCode>General</c:formatCode>
                <c:ptCount val="1"/>
                <c:pt idx="0">
                  <c:v>0</c:v>
                </c:pt>
              </c:numCache>
            </c:numRef>
          </c:val>
        </c:ser>
        <c:ser>
          <c:idx val="4"/>
          <c:order val="4"/>
          <c:tx>
            <c:strRef>
              <c:f>'STEP-Analyse Russland'!$C$62:$J$62</c:f>
              <c:strCache>
                <c:ptCount val="1"/>
                <c:pt idx="0">
                  <c:v>Risikomaßzahl:  Inflation, Zinsen, Wechselkurse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Russland'!$K$62</c:f>
              <c:numCache>
                <c:formatCode>General</c:formatCode>
                <c:ptCount val="1"/>
                <c:pt idx="0">
                  <c:v>0</c:v>
                </c:pt>
              </c:numCache>
            </c:numRef>
          </c:val>
        </c:ser>
        <c:ser>
          <c:idx val="5"/>
          <c:order val="5"/>
          <c:tx>
            <c:strRef>
              <c:f>'STEP-Analyse Russland'!$C$68:$J$68</c:f>
              <c:strCache>
                <c:ptCount val="1"/>
                <c:pt idx="0">
                  <c:v>Risikomaßzahl:  Arbeitsmarkt (Quantität/ Qualität ...)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Russland'!$K$68</c:f>
              <c:numCache>
                <c:formatCode>General</c:formatCode>
                <c:ptCount val="1"/>
                <c:pt idx="0">
                  <c:v>0</c:v>
                </c:pt>
              </c:numCache>
            </c:numRef>
          </c:val>
        </c:ser>
        <c:ser>
          <c:idx val="6"/>
          <c:order val="6"/>
          <c:tx>
            <c:strRef>
              <c:f>'STEP-Analyse Russland'!$C$74:$J$74</c:f>
              <c:strCache>
                <c:ptCount val="1"/>
                <c:pt idx="0">
                  <c:v>Risikomaßzahl:  Globalisierung/ Internationalisierung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Russland'!$K$74</c:f>
              <c:numCache>
                <c:formatCode>General</c:formatCode>
                <c:ptCount val="1"/>
                <c:pt idx="0">
                  <c:v>0</c:v>
                </c:pt>
              </c:numCache>
            </c:numRef>
          </c:val>
        </c:ser>
        <c:ser>
          <c:idx val="7"/>
          <c:order val="7"/>
          <c:tx>
            <c:strRef>
              <c:f>'STEP-Analyse Russland'!$C$80:$J$80</c:f>
              <c:strCache>
                <c:ptCount val="1"/>
                <c:pt idx="0">
                  <c:v>Risikomaßzahl:  Ressourcenverfügbarkeit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Russland'!$K$80</c:f>
              <c:numCache>
                <c:formatCode>General</c:formatCode>
                <c:ptCount val="1"/>
                <c:pt idx="0">
                  <c:v>0</c:v>
                </c:pt>
              </c:numCache>
            </c:numRef>
          </c:val>
        </c:ser>
        <c:ser>
          <c:idx val="8"/>
          <c:order val="8"/>
          <c:tx>
            <c:strRef>
              <c:f>'STEP-Analyse Russland'!$C$86:$J$86</c:f>
              <c:strCache>
                <c:ptCount val="1"/>
                <c:pt idx="0">
                  <c:v>Risikomaßzahl:  Werte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Russland'!$K$86</c:f>
              <c:numCache>
                <c:formatCode>General</c:formatCode>
                <c:ptCount val="1"/>
                <c:pt idx="0">
                  <c:v>0</c:v>
                </c:pt>
              </c:numCache>
            </c:numRef>
          </c:val>
        </c:ser>
        <c:ser>
          <c:idx val="9"/>
          <c:order val="9"/>
          <c:tx>
            <c:strRef>
              <c:f>'STEP-Analyse Russland'!$C$92:$J$92</c:f>
              <c:strCache>
                <c:ptCount val="1"/>
                <c:pt idx="0">
                  <c:v>Risikomaßzahl:  Lebensstil/ Mentalitäten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Russland'!$K$92</c:f>
              <c:numCache>
                <c:formatCode>General</c:formatCode>
                <c:ptCount val="1"/>
                <c:pt idx="0">
                  <c:v>0</c:v>
                </c:pt>
              </c:numCache>
            </c:numRef>
          </c:val>
        </c:ser>
        <c:ser>
          <c:idx val="10"/>
          <c:order val="10"/>
          <c:tx>
            <c:strRef>
              <c:f>'STEP-Analyse Russland'!$C$98:$J$98</c:f>
              <c:strCache>
                <c:ptCount val="1"/>
                <c:pt idx="0">
                  <c:v>Risikomaßzahl:  Bildung</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Russland'!$K$98</c:f>
              <c:numCache>
                <c:formatCode>General</c:formatCode>
                <c:ptCount val="1"/>
                <c:pt idx="0">
                  <c:v>0</c:v>
                </c:pt>
              </c:numCache>
            </c:numRef>
          </c:val>
        </c:ser>
        <c:ser>
          <c:idx val="11"/>
          <c:order val="11"/>
          <c:tx>
            <c:strRef>
              <c:f>'STEP-Analyse Russland'!$C$104:$J$104</c:f>
              <c:strCache>
                <c:ptCount val="1"/>
                <c:pt idx="0">
                  <c:v>Risikomaßzahl:  Forschung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Russland'!$K$104</c:f>
              <c:numCache>
                <c:formatCode>General</c:formatCode>
                <c:ptCount val="1"/>
                <c:pt idx="0">
                  <c:v>0</c:v>
                </c:pt>
              </c:numCache>
            </c:numRef>
          </c:val>
        </c:ser>
        <c:ser>
          <c:idx val="12"/>
          <c:order val="12"/>
          <c:tx>
            <c:strRef>
              <c:f>'STEP-Analyse Russland'!$C$110:$J$110</c:f>
              <c:strCache>
                <c:ptCount val="1"/>
                <c:pt idx="0">
                  <c:v>Risikomaßzahl:  neue Technologien und Produkte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Russland'!$K$110</c:f>
              <c:numCache>
                <c:formatCode>General</c:formatCode>
                <c:ptCount val="1"/>
                <c:pt idx="0">
                  <c:v>0</c:v>
                </c:pt>
              </c:numCache>
            </c:numRef>
          </c:val>
        </c:ser>
        <c:ser>
          <c:idx val="13"/>
          <c:order val="13"/>
          <c:tx>
            <c:strRef>
              <c:f>'STEP-Analyse Russland'!$C$116:$J$116</c:f>
              <c:strCache>
                <c:ptCount val="1"/>
                <c:pt idx="0">
                  <c:v>Risikomaßzahl:  neue Prozesse</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Russland'!$K$116</c:f>
              <c:numCache>
                <c:formatCode>General</c:formatCode>
                <c:ptCount val="1"/>
                <c:pt idx="0">
                  <c:v>0</c:v>
                </c:pt>
              </c:numCache>
            </c:numRef>
          </c:val>
        </c:ser>
        <c:ser>
          <c:idx val="14"/>
          <c:order val="14"/>
          <c:tx>
            <c:strRef>
              <c:f>'STEP-Analyse Russland'!$C$122:$J$122</c:f>
              <c:strCache>
                <c:ptCount val="1"/>
                <c:pt idx="0">
                  <c:v>Risikomaßzahl:  Produktlebenszyklen</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Russland'!$K$122</c:f>
              <c:numCache>
                <c:formatCode>General</c:formatCode>
                <c:ptCount val="1"/>
                <c:pt idx="0">
                  <c:v>0</c:v>
                </c:pt>
              </c:numCache>
            </c:numRef>
          </c:val>
        </c:ser>
        <c:dLbls>
          <c:showLegendKey val="0"/>
          <c:showVal val="0"/>
          <c:showCatName val="0"/>
          <c:showSerName val="0"/>
          <c:showPercent val="0"/>
          <c:showBubbleSize val="0"/>
        </c:dLbls>
        <c:gapWidth val="150"/>
        <c:axId val="106401792"/>
        <c:axId val="106403328"/>
      </c:barChart>
      <c:catAx>
        <c:axId val="106401792"/>
        <c:scaling>
          <c:orientation val="minMax"/>
        </c:scaling>
        <c:delete val="1"/>
        <c:axPos val="b"/>
        <c:majorTickMark val="out"/>
        <c:minorTickMark val="none"/>
        <c:tickLblPos val="nextTo"/>
        <c:crossAx val="106403328"/>
        <c:crosses val="autoZero"/>
        <c:auto val="1"/>
        <c:lblAlgn val="ctr"/>
        <c:lblOffset val="100"/>
        <c:noMultiLvlLbl val="0"/>
      </c:catAx>
      <c:valAx>
        <c:axId val="106403328"/>
        <c:scaling>
          <c:orientation val="minMax"/>
        </c:scaling>
        <c:delete val="0"/>
        <c:axPos val="l"/>
        <c:numFmt formatCode="General" sourceLinked="1"/>
        <c:majorTickMark val="out"/>
        <c:minorTickMark val="none"/>
        <c:tickLblPos val="nextTo"/>
        <c:crossAx val="106401792"/>
        <c:crosses val="autoZero"/>
        <c:crossBetween val="between"/>
      </c:valAx>
    </c:plotArea>
    <c:legend>
      <c:legendPos val="r"/>
      <c:layout>
        <c:manualLayout>
          <c:xMode val="edge"/>
          <c:yMode val="edge"/>
          <c:x val="0.72569829811741227"/>
          <c:y val="3.3151998978902121E-2"/>
          <c:w val="0.25029793633319214"/>
          <c:h val="0.92404485194286257"/>
        </c:manualLayout>
      </c:layout>
      <c:overlay val="0"/>
      <c:txPr>
        <a:bodyPr/>
        <a:lstStyle/>
        <a:p>
          <a:pPr>
            <a:defRPr sz="1400"/>
          </a:pPr>
          <a:endParaRPr lang="de-DE"/>
        </a:p>
      </c:txPr>
    </c:legend>
    <c:plotVisOnly val="1"/>
    <c:dispBlanksAs val="gap"/>
    <c:showDLblsOverMax val="0"/>
  </c:chart>
  <c:spPr>
    <a:ln>
      <a:noFill/>
    </a:ln>
  </c:spPr>
  <c:printSettings>
    <c:headerFooter/>
    <c:pageMargins b="0.78740157499999996" l="0.7" r="0.7" t="0.78740157499999996" header="0.3" footer="0.3"/>
    <c:pageSetup paperSize="8"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00"/>
            </a:pPr>
            <a:r>
              <a:rPr lang="de-DE" sz="3200"/>
              <a:t>Risikoclusterung einzelner</a:t>
            </a:r>
            <a:r>
              <a:rPr lang="de-DE" sz="3200" baseline="0"/>
              <a:t> </a:t>
            </a:r>
            <a:r>
              <a:rPr lang="de-DE" sz="3200"/>
              <a:t>Einflussfaktoren</a:t>
            </a:r>
          </a:p>
        </c:rich>
      </c:tx>
      <c:layout>
        <c:manualLayout>
          <c:xMode val="edge"/>
          <c:yMode val="edge"/>
          <c:x val="0.11370795423845105"/>
          <c:y val="9.8528467911139957E-3"/>
        </c:manualLayout>
      </c:layout>
      <c:overlay val="0"/>
    </c:title>
    <c:autoTitleDeleted val="0"/>
    <c:plotArea>
      <c:layout>
        <c:manualLayout>
          <c:layoutTarget val="inner"/>
          <c:xMode val="edge"/>
          <c:yMode val="edge"/>
          <c:x val="4.0960340896680131E-2"/>
          <c:y val="8.3281270624895473E-2"/>
          <c:w val="0.57916170017751334"/>
          <c:h val="0.84129989749271095"/>
        </c:manualLayout>
      </c:layout>
      <c:bubbleChart>
        <c:varyColors val="0"/>
        <c:ser>
          <c:idx val="0"/>
          <c:order val="0"/>
          <c:tx>
            <c:v>Gesetzgebung </c:v>
          </c:tx>
          <c:spPr>
            <a:ln w="25400">
              <a:noFill/>
            </a:ln>
          </c:spPr>
          <c:invertIfNegative val="0"/>
          <c:dLbls>
            <c:dLbl>
              <c:idx val="0"/>
              <c:tx>
                <c:rich>
                  <a:bodyPr/>
                  <a:lstStyle/>
                  <a:p>
                    <a:r>
                      <a:t>Gesetzgebung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Russland'!$C$14</c:f>
              <c:numCache>
                <c:formatCode>General</c:formatCode>
                <c:ptCount val="1"/>
                <c:pt idx="0">
                  <c:v>0</c:v>
                </c:pt>
              </c:numCache>
            </c:numRef>
          </c:xVal>
          <c:yVal>
            <c:numRef>
              <c:f>'STEP-Analyse Russland'!$D$14</c:f>
              <c:numCache>
                <c:formatCode>General</c:formatCode>
                <c:ptCount val="1"/>
                <c:pt idx="0">
                  <c:v>0</c:v>
                </c:pt>
              </c:numCache>
            </c:numRef>
          </c:yVal>
          <c:bubbleSize>
            <c:numRef>
              <c:f>'STEP-Analyse Russland'!$E$14</c:f>
              <c:numCache>
                <c:formatCode>0%</c:formatCode>
                <c:ptCount val="1"/>
                <c:pt idx="0">
                  <c:v>0</c:v>
                </c:pt>
              </c:numCache>
            </c:numRef>
          </c:bubbleSize>
          <c:bubble3D val="0"/>
        </c:ser>
        <c:ser>
          <c:idx val="1"/>
          <c:order val="1"/>
          <c:tx>
            <c:v>politische Stabilität/ Rechtssicherheit</c:v>
          </c:tx>
          <c:spPr>
            <a:ln w="25400">
              <a:noFill/>
            </a:ln>
          </c:spPr>
          <c:invertIfNegative val="0"/>
          <c:dLbls>
            <c:dLbl>
              <c:idx val="0"/>
              <c:tx>
                <c:rich>
                  <a:bodyPr/>
                  <a:lstStyle/>
                  <a:p>
                    <a:r>
                      <a:t>politische Stabilität/ Rechtssicherheit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Russland'!$C$15</c:f>
              <c:numCache>
                <c:formatCode>General</c:formatCode>
                <c:ptCount val="1"/>
                <c:pt idx="0">
                  <c:v>0</c:v>
                </c:pt>
              </c:numCache>
            </c:numRef>
          </c:xVal>
          <c:yVal>
            <c:numRef>
              <c:f>'STEP-Analyse Russland'!$D$15</c:f>
              <c:numCache>
                <c:formatCode>General</c:formatCode>
                <c:ptCount val="1"/>
                <c:pt idx="0">
                  <c:v>0</c:v>
                </c:pt>
              </c:numCache>
            </c:numRef>
          </c:yVal>
          <c:bubbleSize>
            <c:numRef>
              <c:f>'STEP-Analyse Russland'!$E$15</c:f>
              <c:numCache>
                <c:formatCode>0%</c:formatCode>
                <c:ptCount val="1"/>
                <c:pt idx="0">
                  <c:v>0</c:v>
                </c:pt>
              </c:numCache>
            </c:numRef>
          </c:bubbleSize>
          <c:bubble3D val="0"/>
        </c:ser>
        <c:ser>
          <c:idx val="2"/>
          <c:order val="2"/>
          <c:tx>
            <c:v>Handelshemmnisse (Zölle/ Schranken/ regolatorische Hemmnisse ...) </c:v>
          </c:tx>
          <c:spPr>
            <a:ln w="25400">
              <a:noFill/>
            </a:ln>
          </c:spPr>
          <c:invertIfNegative val="0"/>
          <c:dLbls>
            <c:dLbl>
              <c:idx val="0"/>
              <c:tx>
                <c:rich>
                  <a:bodyPr/>
                  <a:lstStyle/>
                  <a:p>
                    <a:r>
                      <a:t>Handelshemmnisse (Zölle/ Schranken/ regolatorische Hemmnisse ...)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Russland'!$C$16</c:f>
              <c:numCache>
                <c:formatCode>General</c:formatCode>
                <c:ptCount val="1"/>
                <c:pt idx="0">
                  <c:v>0</c:v>
                </c:pt>
              </c:numCache>
            </c:numRef>
          </c:xVal>
          <c:yVal>
            <c:numRef>
              <c:f>'STEP-Analyse Russland'!$D$16</c:f>
              <c:numCache>
                <c:formatCode>General</c:formatCode>
                <c:ptCount val="1"/>
                <c:pt idx="0">
                  <c:v>0</c:v>
                </c:pt>
              </c:numCache>
            </c:numRef>
          </c:yVal>
          <c:bubbleSize>
            <c:numRef>
              <c:f>'STEP-Analyse Russland'!$E$16</c:f>
              <c:numCache>
                <c:formatCode>0%</c:formatCode>
                <c:ptCount val="1"/>
                <c:pt idx="0">
                  <c:v>0</c:v>
                </c:pt>
              </c:numCache>
            </c:numRef>
          </c:bubbleSize>
          <c:bubble3D val="0"/>
        </c:ser>
        <c:ser>
          <c:idx val="3"/>
          <c:order val="3"/>
          <c:tx>
            <c:v>Wirtschaftswachstum </c:v>
          </c:tx>
          <c:spPr>
            <a:ln w="25400">
              <a:noFill/>
            </a:ln>
          </c:spPr>
          <c:invertIfNegative val="0"/>
          <c:dLbls>
            <c:dLbl>
              <c:idx val="0"/>
              <c:tx>
                <c:rich>
                  <a:bodyPr/>
                  <a:lstStyle/>
                  <a:p>
                    <a:r>
                      <a:t>Wirtschaftswachstum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Russland'!$C$17</c:f>
              <c:numCache>
                <c:formatCode>General</c:formatCode>
                <c:ptCount val="1"/>
                <c:pt idx="0">
                  <c:v>0</c:v>
                </c:pt>
              </c:numCache>
            </c:numRef>
          </c:xVal>
          <c:yVal>
            <c:numRef>
              <c:f>'STEP-Analyse Russland'!$D$17</c:f>
              <c:numCache>
                <c:formatCode>General</c:formatCode>
                <c:ptCount val="1"/>
                <c:pt idx="0">
                  <c:v>0</c:v>
                </c:pt>
              </c:numCache>
            </c:numRef>
          </c:yVal>
          <c:bubbleSize>
            <c:numRef>
              <c:f>'STEP-Analyse Russland'!$E$17</c:f>
              <c:numCache>
                <c:formatCode>0%</c:formatCode>
                <c:ptCount val="1"/>
                <c:pt idx="0">
                  <c:v>0</c:v>
                </c:pt>
              </c:numCache>
            </c:numRef>
          </c:bubbleSize>
          <c:bubble3D val="0"/>
        </c:ser>
        <c:ser>
          <c:idx val="4"/>
          <c:order val="4"/>
          <c:tx>
            <c:v>Inflation, Zinsen, Wechselkurse </c:v>
          </c:tx>
          <c:spPr>
            <a:ln w="25400">
              <a:noFill/>
            </a:ln>
          </c:spPr>
          <c:invertIfNegative val="0"/>
          <c:dLbls>
            <c:dLbl>
              <c:idx val="0"/>
              <c:tx>
                <c:rich>
                  <a:bodyPr/>
                  <a:lstStyle/>
                  <a:p>
                    <a:r>
                      <a:t>Inflation, Zinsen, Wechselkurse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Russland'!$C$18</c:f>
              <c:numCache>
                <c:formatCode>General</c:formatCode>
                <c:ptCount val="1"/>
                <c:pt idx="0">
                  <c:v>0</c:v>
                </c:pt>
              </c:numCache>
            </c:numRef>
          </c:xVal>
          <c:yVal>
            <c:numRef>
              <c:f>'STEP-Analyse Russland'!$D$18</c:f>
              <c:numCache>
                <c:formatCode>General</c:formatCode>
                <c:ptCount val="1"/>
                <c:pt idx="0">
                  <c:v>0</c:v>
                </c:pt>
              </c:numCache>
            </c:numRef>
          </c:yVal>
          <c:bubbleSize>
            <c:numRef>
              <c:f>'STEP-Analyse Russland'!$E$18</c:f>
              <c:numCache>
                <c:formatCode>0%</c:formatCode>
                <c:ptCount val="1"/>
                <c:pt idx="0">
                  <c:v>0</c:v>
                </c:pt>
              </c:numCache>
            </c:numRef>
          </c:bubbleSize>
          <c:bubble3D val="0"/>
        </c:ser>
        <c:ser>
          <c:idx val="5"/>
          <c:order val="5"/>
          <c:tx>
            <c:v>Arbeitsmarkt (Quantität/ Qualität ...) </c:v>
          </c:tx>
          <c:spPr>
            <a:ln w="25400">
              <a:noFill/>
            </a:ln>
          </c:spPr>
          <c:invertIfNegative val="0"/>
          <c:dLbls>
            <c:dLbl>
              <c:idx val="0"/>
              <c:tx>
                <c:rich>
                  <a:bodyPr/>
                  <a:lstStyle/>
                  <a:p>
                    <a:r>
                      <a:t>Arbeitsmarkt (Quantität/ Qualität ...)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Russland'!$C$19</c:f>
              <c:numCache>
                <c:formatCode>General</c:formatCode>
                <c:ptCount val="1"/>
                <c:pt idx="0">
                  <c:v>0</c:v>
                </c:pt>
              </c:numCache>
            </c:numRef>
          </c:xVal>
          <c:yVal>
            <c:numRef>
              <c:f>'STEP-Analyse Russland'!$D$19</c:f>
              <c:numCache>
                <c:formatCode>General</c:formatCode>
                <c:ptCount val="1"/>
                <c:pt idx="0">
                  <c:v>0</c:v>
                </c:pt>
              </c:numCache>
            </c:numRef>
          </c:yVal>
          <c:bubbleSize>
            <c:numRef>
              <c:f>'STEP-Analyse Russland'!$E$19</c:f>
              <c:numCache>
                <c:formatCode>0%</c:formatCode>
                <c:ptCount val="1"/>
                <c:pt idx="0">
                  <c:v>0</c:v>
                </c:pt>
              </c:numCache>
            </c:numRef>
          </c:bubbleSize>
          <c:bubble3D val="0"/>
        </c:ser>
        <c:ser>
          <c:idx val="6"/>
          <c:order val="6"/>
          <c:tx>
            <c:v>Globalisierung/ Internationalisierung </c:v>
          </c:tx>
          <c:spPr>
            <a:ln w="25400">
              <a:noFill/>
            </a:ln>
          </c:spPr>
          <c:invertIfNegative val="0"/>
          <c:dLbls>
            <c:dLbl>
              <c:idx val="0"/>
              <c:tx>
                <c:rich>
                  <a:bodyPr/>
                  <a:lstStyle/>
                  <a:p>
                    <a:r>
                      <a:t>Globalisierung/ Internationalisierung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Russland'!$C$20</c:f>
              <c:numCache>
                <c:formatCode>General</c:formatCode>
                <c:ptCount val="1"/>
                <c:pt idx="0">
                  <c:v>0</c:v>
                </c:pt>
              </c:numCache>
            </c:numRef>
          </c:xVal>
          <c:yVal>
            <c:numRef>
              <c:f>'STEP-Analyse Russland'!$D$20</c:f>
              <c:numCache>
                <c:formatCode>General</c:formatCode>
                <c:ptCount val="1"/>
                <c:pt idx="0">
                  <c:v>0</c:v>
                </c:pt>
              </c:numCache>
            </c:numRef>
          </c:yVal>
          <c:bubbleSize>
            <c:numRef>
              <c:f>'STEP-Analyse Russland'!$E$20</c:f>
              <c:numCache>
                <c:formatCode>0%</c:formatCode>
                <c:ptCount val="1"/>
                <c:pt idx="0">
                  <c:v>0</c:v>
                </c:pt>
              </c:numCache>
            </c:numRef>
          </c:bubbleSize>
          <c:bubble3D val="0"/>
        </c:ser>
        <c:ser>
          <c:idx val="7"/>
          <c:order val="7"/>
          <c:tx>
            <c:v>Ressourcenverfügbarkeit </c:v>
          </c:tx>
          <c:spPr>
            <a:ln w="25400">
              <a:noFill/>
            </a:ln>
          </c:spPr>
          <c:invertIfNegative val="0"/>
          <c:dLbls>
            <c:dLbl>
              <c:idx val="0"/>
              <c:tx>
                <c:rich>
                  <a:bodyPr/>
                  <a:lstStyle/>
                  <a:p>
                    <a:r>
                      <a:t>Ressourcenverfügbarkeit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Russland'!$C$21</c:f>
              <c:numCache>
                <c:formatCode>General</c:formatCode>
                <c:ptCount val="1"/>
                <c:pt idx="0">
                  <c:v>0</c:v>
                </c:pt>
              </c:numCache>
            </c:numRef>
          </c:xVal>
          <c:yVal>
            <c:numRef>
              <c:f>'STEP-Analyse Russland'!$D$21</c:f>
              <c:numCache>
                <c:formatCode>General</c:formatCode>
                <c:ptCount val="1"/>
                <c:pt idx="0">
                  <c:v>0</c:v>
                </c:pt>
              </c:numCache>
            </c:numRef>
          </c:yVal>
          <c:bubbleSize>
            <c:numRef>
              <c:f>'STEP-Analyse Russland'!$E$21</c:f>
              <c:numCache>
                <c:formatCode>0%</c:formatCode>
                <c:ptCount val="1"/>
                <c:pt idx="0">
                  <c:v>0</c:v>
                </c:pt>
              </c:numCache>
            </c:numRef>
          </c:bubbleSize>
          <c:bubble3D val="0"/>
        </c:ser>
        <c:ser>
          <c:idx val="8"/>
          <c:order val="8"/>
          <c:tx>
            <c:v>Werte </c:v>
          </c:tx>
          <c:spPr>
            <a:ln w="25400">
              <a:noFill/>
            </a:ln>
          </c:spPr>
          <c:invertIfNegative val="0"/>
          <c:dLbls>
            <c:dLbl>
              <c:idx val="0"/>
              <c:tx>
                <c:rich>
                  <a:bodyPr/>
                  <a:lstStyle/>
                  <a:p>
                    <a:r>
                      <a:t>Werte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Russland'!$C$22</c:f>
              <c:numCache>
                <c:formatCode>General</c:formatCode>
                <c:ptCount val="1"/>
                <c:pt idx="0">
                  <c:v>0</c:v>
                </c:pt>
              </c:numCache>
            </c:numRef>
          </c:xVal>
          <c:yVal>
            <c:numRef>
              <c:f>'STEP-Analyse Russland'!$D$22</c:f>
              <c:numCache>
                <c:formatCode>General</c:formatCode>
                <c:ptCount val="1"/>
                <c:pt idx="0">
                  <c:v>0</c:v>
                </c:pt>
              </c:numCache>
            </c:numRef>
          </c:yVal>
          <c:bubbleSize>
            <c:numRef>
              <c:f>'STEP-Analyse Russland'!$E$22</c:f>
              <c:numCache>
                <c:formatCode>0%</c:formatCode>
                <c:ptCount val="1"/>
                <c:pt idx="0">
                  <c:v>0</c:v>
                </c:pt>
              </c:numCache>
            </c:numRef>
          </c:bubbleSize>
          <c:bubble3D val="0"/>
        </c:ser>
        <c:ser>
          <c:idx val="9"/>
          <c:order val="9"/>
          <c:tx>
            <c:v>Lebensstil/ Mentalitäten </c:v>
          </c:tx>
          <c:spPr>
            <a:ln w="25400">
              <a:noFill/>
            </a:ln>
          </c:spPr>
          <c:invertIfNegative val="0"/>
          <c:dLbls>
            <c:dLbl>
              <c:idx val="0"/>
              <c:tx>
                <c:rich>
                  <a:bodyPr/>
                  <a:lstStyle/>
                  <a:p>
                    <a:r>
                      <a:t>Lebensstil/ Mentalitäten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Russland'!$C$23</c:f>
              <c:numCache>
                <c:formatCode>General</c:formatCode>
                <c:ptCount val="1"/>
                <c:pt idx="0">
                  <c:v>0</c:v>
                </c:pt>
              </c:numCache>
            </c:numRef>
          </c:xVal>
          <c:yVal>
            <c:numRef>
              <c:f>'STEP-Analyse Russland'!$D$23</c:f>
              <c:numCache>
                <c:formatCode>General</c:formatCode>
                <c:ptCount val="1"/>
                <c:pt idx="0">
                  <c:v>0</c:v>
                </c:pt>
              </c:numCache>
            </c:numRef>
          </c:yVal>
          <c:bubbleSize>
            <c:numRef>
              <c:f>'STEP-Analyse Russland'!$E$23</c:f>
              <c:numCache>
                <c:formatCode>0%</c:formatCode>
                <c:ptCount val="1"/>
                <c:pt idx="0">
                  <c:v>0</c:v>
                </c:pt>
              </c:numCache>
            </c:numRef>
          </c:bubbleSize>
          <c:bubble3D val="0"/>
        </c:ser>
        <c:ser>
          <c:idx val="10"/>
          <c:order val="10"/>
          <c:tx>
            <c:v>Bildung</c:v>
          </c:tx>
          <c:spPr>
            <a:ln w="25400">
              <a:noFill/>
            </a:ln>
          </c:spPr>
          <c:invertIfNegative val="0"/>
          <c:dLbls>
            <c:dLbl>
              <c:idx val="0"/>
              <c:tx>
                <c:rich>
                  <a:bodyPr/>
                  <a:lstStyle/>
                  <a:p>
                    <a:r>
                      <a:t>Bildung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Russland'!$C$24</c:f>
              <c:numCache>
                <c:formatCode>General</c:formatCode>
                <c:ptCount val="1"/>
                <c:pt idx="0">
                  <c:v>0</c:v>
                </c:pt>
              </c:numCache>
            </c:numRef>
          </c:xVal>
          <c:yVal>
            <c:numRef>
              <c:f>'STEP-Analyse Russland'!$D$24</c:f>
              <c:numCache>
                <c:formatCode>General</c:formatCode>
                <c:ptCount val="1"/>
                <c:pt idx="0">
                  <c:v>0</c:v>
                </c:pt>
              </c:numCache>
            </c:numRef>
          </c:yVal>
          <c:bubbleSize>
            <c:numRef>
              <c:f>'STEP-Analyse Russland'!$E$24</c:f>
              <c:numCache>
                <c:formatCode>0%</c:formatCode>
                <c:ptCount val="1"/>
                <c:pt idx="0">
                  <c:v>0</c:v>
                </c:pt>
              </c:numCache>
            </c:numRef>
          </c:bubbleSize>
          <c:bubble3D val="0"/>
        </c:ser>
        <c:ser>
          <c:idx val="11"/>
          <c:order val="11"/>
          <c:tx>
            <c:v>Forschung </c:v>
          </c:tx>
          <c:spPr>
            <a:ln w="25400">
              <a:noFill/>
            </a:ln>
          </c:spPr>
          <c:invertIfNegative val="0"/>
          <c:dLbls>
            <c:dLbl>
              <c:idx val="0"/>
              <c:tx>
                <c:rich>
                  <a:bodyPr/>
                  <a:lstStyle/>
                  <a:p>
                    <a:r>
                      <a:t>Forschung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Russland'!$C$25</c:f>
              <c:numCache>
                <c:formatCode>General</c:formatCode>
                <c:ptCount val="1"/>
                <c:pt idx="0">
                  <c:v>0</c:v>
                </c:pt>
              </c:numCache>
            </c:numRef>
          </c:xVal>
          <c:yVal>
            <c:numRef>
              <c:f>'STEP-Analyse Russland'!$D$25</c:f>
              <c:numCache>
                <c:formatCode>General</c:formatCode>
                <c:ptCount val="1"/>
                <c:pt idx="0">
                  <c:v>0</c:v>
                </c:pt>
              </c:numCache>
            </c:numRef>
          </c:yVal>
          <c:bubbleSize>
            <c:numRef>
              <c:f>'STEP-Analyse Russland'!$E$25</c:f>
              <c:numCache>
                <c:formatCode>0%</c:formatCode>
                <c:ptCount val="1"/>
                <c:pt idx="0">
                  <c:v>0</c:v>
                </c:pt>
              </c:numCache>
            </c:numRef>
          </c:bubbleSize>
          <c:bubble3D val="0"/>
        </c:ser>
        <c:ser>
          <c:idx val="12"/>
          <c:order val="12"/>
          <c:tx>
            <c:v>neue Technologien und Produkte </c:v>
          </c:tx>
          <c:spPr>
            <a:ln w="25400">
              <a:noFill/>
            </a:ln>
          </c:spPr>
          <c:invertIfNegative val="0"/>
          <c:dLbls>
            <c:dLbl>
              <c:idx val="0"/>
              <c:tx>
                <c:rich>
                  <a:bodyPr/>
                  <a:lstStyle/>
                  <a:p>
                    <a:r>
                      <a:t>neue Technologien und Produkte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Russland'!$C$26</c:f>
              <c:numCache>
                <c:formatCode>General</c:formatCode>
                <c:ptCount val="1"/>
                <c:pt idx="0">
                  <c:v>0</c:v>
                </c:pt>
              </c:numCache>
            </c:numRef>
          </c:xVal>
          <c:yVal>
            <c:numRef>
              <c:f>'STEP-Analyse Russland'!$D$26</c:f>
              <c:numCache>
                <c:formatCode>General</c:formatCode>
                <c:ptCount val="1"/>
                <c:pt idx="0">
                  <c:v>0</c:v>
                </c:pt>
              </c:numCache>
            </c:numRef>
          </c:yVal>
          <c:bubbleSize>
            <c:numRef>
              <c:f>'STEP-Analyse Russland'!$E$26</c:f>
              <c:numCache>
                <c:formatCode>0%</c:formatCode>
                <c:ptCount val="1"/>
                <c:pt idx="0">
                  <c:v>0</c:v>
                </c:pt>
              </c:numCache>
            </c:numRef>
          </c:bubbleSize>
          <c:bubble3D val="0"/>
        </c:ser>
        <c:ser>
          <c:idx val="13"/>
          <c:order val="13"/>
          <c:tx>
            <c:v>neue Prozesse</c:v>
          </c:tx>
          <c:spPr>
            <a:ln w="25400">
              <a:noFill/>
            </a:ln>
          </c:spPr>
          <c:invertIfNegative val="0"/>
          <c:dLbls>
            <c:dLbl>
              <c:idx val="0"/>
              <c:tx>
                <c:rich>
                  <a:bodyPr/>
                  <a:lstStyle/>
                  <a:p>
                    <a:r>
                      <a:t>neue Prozesse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Russland'!$C$27</c:f>
              <c:numCache>
                <c:formatCode>General</c:formatCode>
                <c:ptCount val="1"/>
                <c:pt idx="0">
                  <c:v>0</c:v>
                </c:pt>
              </c:numCache>
            </c:numRef>
          </c:xVal>
          <c:yVal>
            <c:numRef>
              <c:f>'STEP-Analyse Russland'!$D$27</c:f>
              <c:numCache>
                <c:formatCode>General</c:formatCode>
                <c:ptCount val="1"/>
                <c:pt idx="0">
                  <c:v>0</c:v>
                </c:pt>
              </c:numCache>
            </c:numRef>
          </c:yVal>
          <c:bubbleSize>
            <c:numRef>
              <c:f>'STEP-Analyse Russland'!$E$27</c:f>
              <c:numCache>
                <c:formatCode>0%</c:formatCode>
                <c:ptCount val="1"/>
                <c:pt idx="0">
                  <c:v>0</c:v>
                </c:pt>
              </c:numCache>
            </c:numRef>
          </c:bubbleSize>
          <c:bubble3D val="0"/>
        </c:ser>
        <c:ser>
          <c:idx val="14"/>
          <c:order val="14"/>
          <c:tx>
            <c:v>Produktlebenszyklen</c:v>
          </c:tx>
          <c:spPr>
            <a:ln w="25400">
              <a:noFill/>
            </a:ln>
          </c:spPr>
          <c:invertIfNegative val="0"/>
          <c:dLbls>
            <c:dLbl>
              <c:idx val="0"/>
              <c:tx>
                <c:rich>
                  <a:bodyPr/>
                  <a:lstStyle/>
                  <a:p>
                    <a:r>
                      <a:t>Produktlebenszyklen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Russland'!$C$28</c:f>
              <c:numCache>
                <c:formatCode>General</c:formatCode>
                <c:ptCount val="1"/>
                <c:pt idx="0">
                  <c:v>0</c:v>
                </c:pt>
              </c:numCache>
            </c:numRef>
          </c:xVal>
          <c:yVal>
            <c:numRef>
              <c:f>'STEP-Analyse Russland'!$D$28</c:f>
              <c:numCache>
                <c:formatCode>General</c:formatCode>
                <c:ptCount val="1"/>
                <c:pt idx="0">
                  <c:v>0</c:v>
                </c:pt>
              </c:numCache>
            </c:numRef>
          </c:yVal>
          <c:bubbleSize>
            <c:numRef>
              <c:f>'STEP-Analyse Russland'!$E$28</c:f>
              <c:numCache>
                <c:formatCode>0%</c:formatCode>
                <c:ptCount val="1"/>
                <c:pt idx="0">
                  <c:v>0</c:v>
                </c:pt>
              </c:numCache>
            </c:numRef>
          </c:bubbleSize>
          <c:bubble3D val="0"/>
        </c:ser>
        <c:dLbls>
          <c:showLegendKey val="0"/>
          <c:showVal val="0"/>
          <c:showCatName val="0"/>
          <c:showSerName val="0"/>
          <c:showPercent val="0"/>
          <c:showBubbleSize val="0"/>
        </c:dLbls>
        <c:bubbleScale val="100"/>
        <c:showNegBubbles val="0"/>
        <c:axId val="106707968"/>
        <c:axId val="106734720"/>
      </c:bubbleChart>
      <c:valAx>
        <c:axId val="106707968"/>
        <c:scaling>
          <c:orientation val="minMax"/>
          <c:max val="5"/>
          <c:min val="0"/>
        </c:scaling>
        <c:delete val="0"/>
        <c:axPos val="b"/>
        <c:title>
          <c:tx>
            <c:rich>
              <a:bodyPr/>
              <a:lstStyle/>
              <a:p>
                <a:pPr>
                  <a:defRPr sz="1600"/>
                </a:pPr>
                <a:r>
                  <a:rPr lang="de-DE" sz="1600"/>
                  <a:t>Risikoverteilung relativ zum höchsten Risikowert aller Einflussfaktoren</a:t>
                </a:r>
              </a:p>
            </c:rich>
          </c:tx>
          <c:overlay val="0"/>
        </c:title>
        <c:numFmt formatCode="General" sourceLinked="1"/>
        <c:majorTickMark val="out"/>
        <c:minorTickMark val="none"/>
        <c:tickLblPos val="nextTo"/>
        <c:txPr>
          <a:bodyPr/>
          <a:lstStyle/>
          <a:p>
            <a:pPr>
              <a:defRPr>
                <a:solidFill>
                  <a:schemeClr val="bg1"/>
                </a:solidFill>
              </a:defRPr>
            </a:pPr>
            <a:endParaRPr lang="de-DE"/>
          </a:p>
        </c:txPr>
        <c:crossAx val="106734720"/>
        <c:crosses val="autoZero"/>
        <c:crossBetween val="midCat"/>
      </c:valAx>
      <c:valAx>
        <c:axId val="106734720"/>
        <c:scaling>
          <c:orientation val="minMax"/>
          <c:max val="6.3"/>
          <c:min val="0"/>
        </c:scaling>
        <c:delete val="0"/>
        <c:axPos val="l"/>
        <c:title>
          <c:tx>
            <c:rich>
              <a:bodyPr rot="-5400000" vert="horz"/>
              <a:lstStyle/>
              <a:p>
                <a:pPr>
                  <a:defRPr sz="1600"/>
                </a:pPr>
                <a:r>
                  <a:rPr lang="de-DE" sz="1600" b="1">
                    <a:latin typeface="+mn-lt"/>
                  </a:rPr>
                  <a:t>Abbruchsrisiko innerhalb des</a:t>
                </a:r>
                <a:r>
                  <a:rPr lang="de-DE" sz="1600" b="1" baseline="0">
                    <a:latin typeface="+mn-lt"/>
                  </a:rPr>
                  <a:t> Einflussfaktors</a:t>
                </a:r>
                <a:endParaRPr lang="de-DE" sz="1600" b="1">
                  <a:latin typeface="+mn-lt"/>
                </a:endParaRPr>
              </a:p>
            </c:rich>
          </c:tx>
          <c:overlay val="0"/>
        </c:title>
        <c:numFmt formatCode="General" sourceLinked="1"/>
        <c:majorTickMark val="out"/>
        <c:minorTickMark val="none"/>
        <c:tickLblPos val="nextTo"/>
        <c:txPr>
          <a:bodyPr/>
          <a:lstStyle/>
          <a:p>
            <a:pPr>
              <a:defRPr>
                <a:solidFill>
                  <a:schemeClr val="bg1"/>
                </a:solidFill>
              </a:defRPr>
            </a:pPr>
            <a:endParaRPr lang="de-DE"/>
          </a:p>
        </c:txPr>
        <c:crossAx val="106707968"/>
        <c:crosses val="autoZero"/>
        <c:crossBetween val="midCat"/>
        <c:majorUnit val="1"/>
        <c:minorUnit val="1"/>
      </c:valAx>
      <c:spPr>
        <a:blipFill dpi="0" rotWithShape="1">
          <a:blip xmlns:r="http://schemas.openxmlformats.org/officeDocument/2006/relationships" r:embed="rId1">
            <a:alphaModFix amt="45000"/>
          </a:blip>
          <a:srcRect/>
          <a:stretch>
            <a:fillRect/>
          </a:stretch>
        </a:blipFill>
      </c:spPr>
    </c:plotArea>
    <c:legend>
      <c:legendPos val="r"/>
      <c:layout>
        <c:manualLayout>
          <c:xMode val="edge"/>
          <c:yMode val="edge"/>
          <c:x val="0.65537897556461211"/>
          <c:y val="2.0365932621743226E-2"/>
          <c:w val="0.33996985617604808"/>
          <c:h val="0.9642488908666661"/>
        </c:manualLayout>
      </c:layout>
      <c:overlay val="0"/>
      <c:txPr>
        <a:bodyPr/>
        <a:lstStyle/>
        <a:p>
          <a:pPr>
            <a:defRPr sz="1400" b="1"/>
          </a:pPr>
          <a:endParaRPr lang="de-DE"/>
        </a:p>
      </c:txPr>
    </c:legend>
    <c:plotVisOnly val="0"/>
    <c:dispBlanksAs val="gap"/>
    <c:showDLblsOverMax val="0"/>
  </c:chart>
  <c:spPr>
    <a:ln>
      <a:noFill/>
    </a:ln>
  </c:sp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00"/>
            </a:pPr>
            <a:r>
              <a:rPr lang="de-DE" sz="3200"/>
              <a:t>Risikoverteilung einzelner Einflussfaktoren</a:t>
            </a:r>
          </a:p>
        </c:rich>
      </c:tx>
      <c:layout>
        <c:manualLayout>
          <c:xMode val="edge"/>
          <c:yMode val="edge"/>
          <c:x val="0.17655100914747826"/>
          <c:y val="7.5290892588352675E-3"/>
        </c:manualLayout>
      </c:layout>
      <c:overlay val="0"/>
    </c:title>
    <c:autoTitleDeleted val="0"/>
    <c:plotArea>
      <c:layout>
        <c:manualLayout>
          <c:layoutTarget val="inner"/>
          <c:xMode val="edge"/>
          <c:yMode val="edge"/>
          <c:x val="1.6256519232299142E-2"/>
          <c:y val="2.457632689536007E-2"/>
          <c:w val="0.68301378603877538"/>
          <c:h val="0.96610975692267498"/>
        </c:manualLayout>
      </c:layout>
      <c:barChart>
        <c:barDir val="col"/>
        <c:grouping val="clustered"/>
        <c:varyColors val="0"/>
        <c:ser>
          <c:idx val="0"/>
          <c:order val="0"/>
          <c:tx>
            <c:strRef>
              <c:f>'STEP-Analyse China'!$C$38:$J$38</c:f>
              <c:strCache>
                <c:ptCount val="1"/>
                <c:pt idx="0">
                  <c:v>Risikomaßzahl:  Gesetzgebung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China'!$K$38</c:f>
              <c:numCache>
                <c:formatCode>General</c:formatCode>
                <c:ptCount val="1"/>
                <c:pt idx="0">
                  <c:v>0</c:v>
                </c:pt>
              </c:numCache>
            </c:numRef>
          </c:val>
        </c:ser>
        <c:ser>
          <c:idx val="1"/>
          <c:order val="1"/>
          <c:tx>
            <c:strRef>
              <c:f>'STEP-Analyse China'!$C$44:$J$44</c:f>
              <c:strCache>
                <c:ptCount val="1"/>
                <c:pt idx="0">
                  <c:v>Risikomaßzahl:  politische Stabilität/ Rechtssicherheit</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China'!$K$44</c:f>
              <c:numCache>
                <c:formatCode>General</c:formatCode>
                <c:ptCount val="1"/>
                <c:pt idx="0">
                  <c:v>0</c:v>
                </c:pt>
              </c:numCache>
            </c:numRef>
          </c:val>
        </c:ser>
        <c:ser>
          <c:idx val="2"/>
          <c:order val="2"/>
          <c:tx>
            <c:strRef>
              <c:f>'STEP-Analyse China'!$C$50:$J$50</c:f>
              <c:strCache>
                <c:ptCount val="1"/>
                <c:pt idx="0">
                  <c:v>Risikomaßzahl:  Handelshemmnisse (Zölle/ Schranken/ regolatorische Hemmnisse ...)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China'!$K$50</c:f>
              <c:numCache>
                <c:formatCode>General</c:formatCode>
                <c:ptCount val="1"/>
                <c:pt idx="0">
                  <c:v>0</c:v>
                </c:pt>
              </c:numCache>
            </c:numRef>
          </c:val>
        </c:ser>
        <c:ser>
          <c:idx val="3"/>
          <c:order val="3"/>
          <c:tx>
            <c:strRef>
              <c:f>'STEP-Analyse China'!$C$56:$J$56</c:f>
              <c:strCache>
                <c:ptCount val="1"/>
                <c:pt idx="0">
                  <c:v>Risikomaßzahl:  Wirtschaftswachstum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China'!$K$56</c:f>
              <c:numCache>
                <c:formatCode>General</c:formatCode>
                <c:ptCount val="1"/>
                <c:pt idx="0">
                  <c:v>0</c:v>
                </c:pt>
              </c:numCache>
            </c:numRef>
          </c:val>
        </c:ser>
        <c:ser>
          <c:idx val="4"/>
          <c:order val="4"/>
          <c:tx>
            <c:strRef>
              <c:f>'STEP-Analyse China'!$C$62:$J$62</c:f>
              <c:strCache>
                <c:ptCount val="1"/>
                <c:pt idx="0">
                  <c:v>Risikomaßzahl:  Inflation, Zinsen, Wechselkurse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China'!$K$62</c:f>
              <c:numCache>
                <c:formatCode>General</c:formatCode>
                <c:ptCount val="1"/>
                <c:pt idx="0">
                  <c:v>0</c:v>
                </c:pt>
              </c:numCache>
            </c:numRef>
          </c:val>
        </c:ser>
        <c:ser>
          <c:idx val="5"/>
          <c:order val="5"/>
          <c:tx>
            <c:strRef>
              <c:f>'STEP-Analyse China'!$C$68:$J$68</c:f>
              <c:strCache>
                <c:ptCount val="1"/>
                <c:pt idx="0">
                  <c:v>Risikomaßzahl:  Arbeitsmarkt (Quantität/ Qualität ...)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China'!$K$68</c:f>
              <c:numCache>
                <c:formatCode>General</c:formatCode>
                <c:ptCount val="1"/>
                <c:pt idx="0">
                  <c:v>0</c:v>
                </c:pt>
              </c:numCache>
            </c:numRef>
          </c:val>
        </c:ser>
        <c:ser>
          <c:idx val="6"/>
          <c:order val="6"/>
          <c:tx>
            <c:strRef>
              <c:f>'STEP-Analyse China'!$C$74:$J$74</c:f>
              <c:strCache>
                <c:ptCount val="1"/>
                <c:pt idx="0">
                  <c:v>Risikomaßzahl:  Globalisierung/ Internationalisierung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China'!$K$74</c:f>
              <c:numCache>
                <c:formatCode>General</c:formatCode>
                <c:ptCount val="1"/>
                <c:pt idx="0">
                  <c:v>0</c:v>
                </c:pt>
              </c:numCache>
            </c:numRef>
          </c:val>
        </c:ser>
        <c:ser>
          <c:idx val="7"/>
          <c:order val="7"/>
          <c:tx>
            <c:strRef>
              <c:f>'STEP-Analyse China'!$C$80:$J$80</c:f>
              <c:strCache>
                <c:ptCount val="1"/>
                <c:pt idx="0">
                  <c:v>Risikomaßzahl:  Ressourcenverfügbarkeit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China'!$K$80</c:f>
              <c:numCache>
                <c:formatCode>General</c:formatCode>
                <c:ptCount val="1"/>
                <c:pt idx="0">
                  <c:v>0</c:v>
                </c:pt>
              </c:numCache>
            </c:numRef>
          </c:val>
        </c:ser>
        <c:ser>
          <c:idx val="8"/>
          <c:order val="8"/>
          <c:tx>
            <c:strRef>
              <c:f>'STEP-Analyse China'!$C$86:$J$86</c:f>
              <c:strCache>
                <c:ptCount val="1"/>
                <c:pt idx="0">
                  <c:v>Risikomaßzahl:  Werte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China'!$K$86</c:f>
              <c:numCache>
                <c:formatCode>General</c:formatCode>
                <c:ptCount val="1"/>
                <c:pt idx="0">
                  <c:v>0</c:v>
                </c:pt>
              </c:numCache>
            </c:numRef>
          </c:val>
        </c:ser>
        <c:ser>
          <c:idx val="9"/>
          <c:order val="9"/>
          <c:tx>
            <c:strRef>
              <c:f>'STEP-Analyse China'!$C$92:$J$92</c:f>
              <c:strCache>
                <c:ptCount val="1"/>
                <c:pt idx="0">
                  <c:v>Risikomaßzahl:  Lebensstil/ Mentalitäten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China'!$K$92</c:f>
              <c:numCache>
                <c:formatCode>General</c:formatCode>
                <c:ptCount val="1"/>
                <c:pt idx="0">
                  <c:v>0</c:v>
                </c:pt>
              </c:numCache>
            </c:numRef>
          </c:val>
        </c:ser>
        <c:ser>
          <c:idx val="10"/>
          <c:order val="10"/>
          <c:tx>
            <c:strRef>
              <c:f>'STEP-Analyse China'!$C$98:$J$98</c:f>
              <c:strCache>
                <c:ptCount val="1"/>
                <c:pt idx="0">
                  <c:v>Risikomaßzahl:  Bildung</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China'!$K$98</c:f>
              <c:numCache>
                <c:formatCode>General</c:formatCode>
                <c:ptCount val="1"/>
                <c:pt idx="0">
                  <c:v>0</c:v>
                </c:pt>
              </c:numCache>
            </c:numRef>
          </c:val>
        </c:ser>
        <c:ser>
          <c:idx val="11"/>
          <c:order val="11"/>
          <c:tx>
            <c:strRef>
              <c:f>'STEP-Analyse China'!$C$104:$J$104</c:f>
              <c:strCache>
                <c:ptCount val="1"/>
                <c:pt idx="0">
                  <c:v>Risikomaßzahl:  Forschung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China'!$K$104</c:f>
              <c:numCache>
                <c:formatCode>General</c:formatCode>
                <c:ptCount val="1"/>
                <c:pt idx="0">
                  <c:v>0</c:v>
                </c:pt>
              </c:numCache>
            </c:numRef>
          </c:val>
        </c:ser>
        <c:ser>
          <c:idx val="12"/>
          <c:order val="12"/>
          <c:tx>
            <c:strRef>
              <c:f>'STEP-Analyse China'!$C$110:$J$110</c:f>
              <c:strCache>
                <c:ptCount val="1"/>
                <c:pt idx="0">
                  <c:v>Risikomaßzahl:  neue Technologien und Produkte </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China'!$K$110</c:f>
              <c:numCache>
                <c:formatCode>General</c:formatCode>
                <c:ptCount val="1"/>
                <c:pt idx="0">
                  <c:v>0</c:v>
                </c:pt>
              </c:numCache>
            </c:numRef>
          </c:val>
        </c:ser>
        <c:ser>
          <c:idx val="13"/>
          <c:order val="13"/>
          <c:tx>
            <c:strRef>
              <c:f>'STEP-Analyse China'!$C$116:$J$116</c:f>
              <c:strCache>
                <c:ptCount val="1"/>
                <c:pt idx="0">
                  <c:v>Risikomaßzahl:  neue Prozesse</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China'!$K$116</c:f>
              <c:numCache>
                <c:formatCode>General</c:formatCode>
                <c:ptCount val="1"/>
                <c:pt idx="0">
                  <c:v>0</c:v>
                </c:pt>
              </c:numCache>
            </c:numRef>
          </c:val>
        </c:ser>
        <c:ser>
          <c:idx val="14"/>
          <c:order val="14"/>
          <c:tx>
            <c:strRef>
              <c:f>'STEP-Analyse China'!$C$122:$J$122</c:f>
              <c:strCache>
                <c:ptCount val="1"/>
                <c:pt idx="0">
                  <c:v>Risikomaßzahl:  Produktlebenszyklen</c:v>
                </c:pt>
              </c:strCache>
            </c:strRef>
          </c:tx>
          <c:invertIfNegative val="0"/>
          <c:dLbls>
            <c:txPr>
              <a:bodyPr/>
              <a:lstStyle/>
              <a:p>
                <a:pPr>
                  <a:defRPr sz="2800"/>
                </a:pPr>
                <a:endParaRPr lang="de-DE"/>
              </a:p>
            </c:txPr>
            <c:showLegendKey val="0"/>
            <c:showVal val="1"/>
            <c:showCatName val="0"/>
            <c:showSerName val="0"/>
            <c:showPercent val="0"/>
            <c:showBubbleSize val="0"/>
            <c:showLeaderLines val="0"/>
          </c:dLbls>
          <c:val>
            <c:numRef>
              <c:f>'STEP-Analyse China'!$K$122</c:f>
              <c:numCache>
                <c:formatCode>General</c:formatCode>
                <c:ptCount val="1"/>
                <c:pt idx="0">
                  <c:v>0</c:v>
                </c:pt>
              </c:numCache>
            </c:numRef>
          </c:val>
        </c:ser>
        <c:dLbls>
          <c:showLegendKey val="0"/>
          <c:showVal val="0"/>
          <c:showCatName val="0"/>
          <c:showSerName val="0"/>
          <c:showPercent val="0"/>
          <c:showBubbleSize val="0"/>
        </c:dLbls>
        <c:gapWidth val="150"/>
        <c:axId val="28345856"/>
        <c:axId val="28347392"/>
      </c:barChart>
      <c:catAx>
        <c:axId val="28345856"/>
        <c:scaling>
          <c:orientation val="minMax"/>
        </c:scaling>
        <c:delete val="1"/>
        <c:axPos val="b"/>
        <c:majorTickMark val="out"/>
        <c:minorTickMark val="none"/>
        <c:tickLblPos val="nextTo"/>
        <c:crossAx val="28347392"/>
        <c:crosses val="autoZero"/>
        <c:auto val="1"/>
        <c:lblAlgn val="ctr"/>
        <c:lblOffset val="100"/>
        <c:noMultiLvlLbl val="0"/>
      </c:catAx>
      <c:valAx>
        <c:axId val="28347392"/>
        <c:scaling>
          <c:orientation val="minMax"/>
        </c:scaling>
        <c:delete val="0"/>
        <c:axPos val="l"/>
        <c:numFmt formatCode="General" sourceLinked="1"/>
        <c:majorTickMark val="out"/>
        <c:minorTickMark val="none"/>
        <c:tickLblPos val="nextTo"/>
        <c:crossAx val="28345856"/>
        <c:crosses val="autoZero"/>
        <c:crossBetween val="between"/>
      </c:valAx>
    </c:plotArea>
    <c:legend>
      <c:legendPos val="r"/>
      <c:layout>
        <c:manualLayout>
          <c:xMode val="edge"/>
          <c:yMode val="edge"/>
          <c:x val="0.72569829811741227"/>
          <c:y val="3.3151998978902121E-2"/>
          <c:w val="0.25029793633319214"/>
          <c:h val="0.92404485194286257"/>
        </c:manualLayout>
      </c:layout>
      <c:overlay val="0"/>
      <c:txPr>
        <a:bodyPr/>
        <a:lstStyle/>
        <a:p>
          <a:pPr>
            <a:defRPr sz="1400"/>
          </a:pPr>
          <a:endParaRPr lang="de-DE"/>
        </a:p>
      </c:txPr>
    </c:legend>
    <c:plotVisOnly val="1"/>
    <c:dispBlanksAs val="gap"/>
    <c:showDLblsOverMax val="0"/>
  </c:chart>
  <c:spPr>
    <a:ln>
      <a:noFill/>
    </a:ln>
  </c:spPr>
  <c:printSettings>
    <c:headerFooter/>
    <c:pageMargins b="0.78740157499999996" l="0.7" r="0.7" t="0.78740157499999996" header="0.3" footer="0.3"/>
    <c:pageSetup paperSize="8"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00"/>
            </a:pPr>
            <a:r>
              <a:rPr lang="de-DE" sz="3200"/>
              <a:t>Risikoclusterung einzelner</a:t>
            </a:r>
            <a:r>
              <a:rPr lang="de-DE" sz="3200" baseline="0"/>
              <a:t> </a:t>
            </a:r>
            <a:r>
              <a:rPr lang="de-DE" sz="3200"/>
              <a:t>Einflussfaktoren</a:t>
            </a:r>
          </a:p>
        </c:rich>
      </c:tx>
      <c:layout>
        <c:manualLayout>
          <c:xMode val="edge"/>
          <c:yMode val="edge"/>
          <c:x val="0.11370795423845105"/>
          <c:y val="9.8528467911139957E-3"/>
        </c:manualLayout>
      </c:layout>
      <c:overlay val="0"/>
    </c:title>
    <c:autoTitleDeleted val="0"/>
    <c:plotArea>
      <c:layout>
        <c:manualLayout>
          <c:layoutTarget val="inner"/>
          <c:xMode val="edge"/>
          <c:yMode val="edge"/>
          <c:x val="4.0960340896680131E-2"/>
          <c:y val="8.3281270624895473E-2"/>
          <c:w val="0.57916170017751334"/>
          <c:h val="0.84129989749271095"/>
        </c:manualLayout>
      </c:layout>
      <c:bubbleChart>
        <c:varyColors val="0"/>
        <c:ser>
          <c:idx val="0"/>
          <c:order val="0"/>
          <c:tx>
            <c:v>Gesetzgebung </c:v>
          </c:tx>
          <c:spPr>
            <a:ln w="25400">
              <a:noFill/>
            </a:ln>
          </c:spPr>
          <c:invertIfNegative val="0"/>
          <c:dLbls>
            <c:dLbl>
              <c:idx val="0"/>
              <c:tx>
                <c:rich>
                  <a:bodyPr/>
                  <a:lstStyle/>
                  <a:p>
                    <a:r>
                      <a:t>Gesetzgebung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China'!$C$14</c:f>
              <c:numCache>
                <c:formatCode>General</c:formatCode>
                <c:ptCount val="1"/>
                <c:pt idx="0">
                  <c:v>0</c:v>
                </c:pt>
              </c:numCache>
            </c:numRef>
          </c:xVal>
          <c:yVal>
            <c:numRef>
              <c:f>'STEP-Analyse China'!$D$14</c:f>
              <c:numCache>
                <c:formatCode>General</c:formatCode>
                <c:ptCount val="1"/>
                <c:pt idx="0">
                  <c:v>0</c:v>
                </c:pt>
              </c:numCache>
            </c:numRef>
          </c:yVal>
          <c:bubbleSize>
            <c:numRef>
              <c:f>'STEP-Analyse China'!$E$14</c:f>
              <c:numCache>
                <c:formatCode>0%</c:formatCode>
                <c:ptCount val="1"/>
                <c:pt idx="0">
                  <c:v>0</c:v>
                </c:pt>
              </c:numCache>
            </c:numRef>
          </c:bubbleSize>
          <c:bubble3D val="0"/>
        </c:ser>
        <c:ser>
          <c:idx val="1"/>
          <c:order val="1"/>
          <c:tx>
            <c:v>politische Stabilität/ Rechtssicherheit</c:v>
          </c:tx>
          <c:spPr>
            <a:ln w="25400">
              <a:noFill/>
            </a:ln>
          </c:spPr>
          <c:invertIfNegative val="0"/>
          <c:dLbls>
            <c:dLbl>
              <c:idx val="0"/>
              <c:tx>
                <c:rich>
                  <a:bodyPr/>
                  <a:lstStyle/>
                  <a:p>
                    <a:r>
                      <a:t>politische Stabilität/ Rechtssicherheit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China'!$C$15</c:f>
              <c:numCache>
                <c:formatCode>General</c:formatCode>
                <c:ptCount val="1"/>
                <c:pt idx="0">
                  <c:v>0</c:v>
                </c:pt>
              </c:numCache>
            </c:numRef>
          </c:xVal>
          <c:yVal>
            <c:numRef>
              <c:f>'STEP-Analyse China'!$D$15</c:f>
              <c:numCache>
                <c:formatCode>General</c:formatCode>
                <c:ptCount val="1"/>
                <c:pt idx="0">
                  <c:v>0</c:v>
                </c:pt>
              </c:numCache>
            </c:numRef>
          </c:yVal>
          <c:bubbleSize>
            <c:numRef>
              <c:f>'STEP-Analyse China'!$E$15</c:f>
              <c:numCache>
                <c:formatCode>0%</c:formatCode>
                <c:ptCount val="1"/>
                <c:pt idx="0">
                  <c:v>0</c:v>
                </c:pt>
              </c:numCache>
            </c:numRef>
          </c:bubbleSize>
          <c:bubble3D val="0"/>
        </c:ser>
        <c:ser>
          <c:idx val="2"/>
          <c:order val="2"/>
          <c:tx>
            <c:v>Handelshemmnisse (Zölle/ Schranken/ regolatorische Hemmnisse ...) </c:v>
          </c:tx>
          <c:spPr>
            <a:ln w="25400">
              <a:noFill/>
            </a:ln>
          </c:spPr>
          <c:invertIfNegative val="0"/>
          <c:dLbls>
            <c:dLbl>
              <c:idx val="0"/>
              <c:tx>
                <c:rich>
                  <a:bodyPr/>
                  <a:lstStyle/>
                  <a:p>
                    <a:r>
                      <a:t>Handelshemmnisse (Zölle/ Schranken/ regolatorische Hemmnisse ...) 
Political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China'!$C$16</c:f>
              <c:numCache>
                <c:formatCode>General</c:formatCode>
                <c:ptCount val="1"/>
                <c:pt idx="0">
                  <c:v>0</c:v>
                </c:pt>
              </c:numCache>
            </c:numRef>
          </c:xVal>
          <c:yVal>
            <c:numRef>
              <c:f>'STEP-Analyse China'!$D$16</c:f>
              <c:numCache>
                <c:formatCode>General</c:formatCode>
                <c:ptCount val="1"/>
                <c:pt idx="0">
                  <c:v>0</c:v>
                </c:pt>
              </c:numCache>
            </c:numRef>
          </c:yVal>
          <c:bubbleSize>
            <c:numRef>
              <c:f>'STEP-Analyse China'!$E$16</c:f>
              <c:numCache>
                <c:formatCode>0%</c:formatCode>
                <c:ptCount val="1"/>
                <c:pt idx="0">
                  <c:v>0</c:v>
                </c:pt>
              </c:numCache>
            </c:numRef>
          </c:bubbleSize>
          <c:bubble3D val="0"/>
        </c:ser>
        <c:ser>
          <c:idx val="3"/>
          <c:order val="3"/>
          <c:tx>
            <c:v>Wirtschaftswachstum </c:v>
          </c:tx>
          <c:spPr>
            <a:ln w="25400">
              <a:noFill/>
            </a:ln>
          </c:spPr>
          <c:invertIfNegative val="0"/>
          <c:dLbls>
            <c:dLbl>
              <c:idx val="0"/>
              <c:tx>
                <c:rich>
                  <a:bodyPr/>
                  <a:lstStyle/>
                  <a:p>
                    <a:r>
                      <a:t>Wirtschaftswachstum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China'!$C$17</c:f>
              <c:numCache>
                <c:formatCode>General</c:formatCode>
                <c:ptCount val="1"/>
                <c:pt idx="0">
                  <c:v>0</c:v>
                </c:pt>
              </c:numCache>
            </c:numRef>
          </c:xVal>
          <c:yVal>
            <c:numRef>
              <c:f>'STEP-Analyse China'!$D$17</c:f>
              <c:numCache>
                <c:formatCode>General</c:formatCode>
                <c:ptCount val="1"/>
                <c:pt idx="0">
                  <c:v>0</c:v>
                </c:pt>
              </c:numCache>
            </c:numRef>
          </c:yVal>
          <c:bubbleSize>
            <c:numRef>
              <c:f>'STEP-Analyse China'!$E$17</c:f>
              <c:numCache>
                <c:formatCode>0%</c:formatCode>
                <c:ptCount val="1"/>
                <c:pt idx="0">
                  <c:v>0</c:v>
                </c:pt>
              </c:numCache>
            </c:numRef>
          </c:bubbleSize>
          <c:bubble3D val="0"/>
        </c:ser>
        <c:ser>
          <c:idx val="4"/>
          <c:order val="4"/>
          <c:tx>
            <c:v>Inflation, Zinsen, Wechselkurse </c:v>
          </c:tx>
          <c:spPr>
            <a:ln w="25400">
              <a:noFill/>
            </a:ln>
          </c:spPr>
          <c:invertIfNegative val="0"/>
          <c:dLbls>
            <c:dLbl>
              <c:idx val="0"/>
              <c:tx>
                <c:rich>
                  <a:bodyPr/>
                  <a:lstStyle/>
                  <a:p>
                    <a:r>
                      <a:t>Inflation, Zinsen, Wechselkurse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China'!$C$18</c:f>
              <c:numCache>
                <c:formatCode>General</c:formatCode>
                <c:ptCount val="1"/>
                <c:pt idx="0">
                  <c:v>0</c:v>
                </c:pt>
              </c:numCache>
            </c:numRef>
          </c:xVal>
          <c:yVal>
            <c:numRef>
              <c:f>'STEP-Analyse China'!$D$18</c:f>
              <c:numCache>
                <c:formatCode>General</c:formatCode>
                <c:ptCount val="1"/>
                <c:pt idx="0">
                  <c:v>0</c:v>
                </c:pt>
              </c:numCache>
            </c:numRef>
          </c:yVal>
          <c:bubbleSize>
            <c:numRef>
              <c:f>'STEP-Analyse China'!$E$18</c:f>
              <c:numCache>
                <c:formatCode>0%</c:formatCode>
                <c:ptCount val="1"/>
                <c:pt idx="0">
                  <c:v>0</c:v>
                </c:pt>
              </c:numCache>
            </c:numRef>
          </c:bubbleSize>
          <c:bubble3D val="0"/>
        </c:ser>
        <c:ser>
          <c:idx val="5"/>
          <c:order val="5"/>
          <c:tx>
            <c:v>Arbeitsmarkt (Quantität/ Qualität ...) </c:v>
          </c:tx>
          <c:spPr>
            <a:ln w="25400">
              <a:noFill/>
            </a:ln>
          </c:spPr>
          <c:invertIfNegative val="0"/>
          <c:dLbls>
            <c:dLbl>
              <c:idx val="0"/>
              <c:tx>
                <c:rich>
                  <a:bodyPr/>
                  <a:lstStyle/>
                  <a:p>
                    <a:r>
                      <a:t>Arbeitsmarkt (Quantität/ Qualität ...)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China'!$C$19</c:f>
              <c:numCache>
                <c:formatCode>General</c:formatCode>
                <c:ptCount val="1"/>
                <c:pt idx="0">
                  <c:v>0</c:v>
                </c:pt>
              </c:numCache>
            </c:numRef>
          </c:xVal>
          <c:yVal>
            <c:numRef>
              <c:f>'STEP-Analyse China'!$D$19</c:f>
              <c:numCache>
                <c:formatCode>General</c:formatCode>
                <c:ptCount val="1"/>
                <c:pt idx="0">
                  <c:v>0</c:v>
                </c:pt>
              </c:numCache>
            </c:numRef>
          </c:yVal>
          <c:bubbleSize>
            <c:numRef>
              <c:f>'STEP-Analyse China'!$E$19</c:f>
              <c:numCache>
                <c:formatCode>0%</c:formatCode>
                <c:ptCount val="1"/>
                <c:pt idx="0">
                  <c:v>0</c:v>
                </c:pt>
              </c:numCache>
            </c:numRef>
          </c:bubbleSize>
          <c:bubble3D val="0"/>
        </c:ser>
        <c:ser>
          <c:idx val="6"/>
          <c:order val="6"/>
          <c:tx>
            <c:v>Globalisierung/ Internationalisierung </c:v>
          </c:tx>
          <c:spPr>
            <a:ln w="25400">
              <a:noFill/>
            </a:ln>
          </c:spPr>
          <c:invertIfNegative val="0"/>
          <c:dLbls>
            <c:dLbl>
              <c:idx val="0"/>
              <c:tx>
                <c:rich>
                  <a:bodyPr/>
                  <a:lstStyle/>
                  <a:p>
                    <a:r>
                      <a:t>Globalisierung/ Internationalisierung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China'!$C$20</c:f>
              <c:numCache>
                <c:formatCode>General</c:formatCode>
                <c:ptCount val="1"/>
                <c:pt idx="0">
                  <c:v>0</c:v>
                </c:pt>
              </c:numCache>
            </c:numRef>
          </c:xVal>
          <c:yVal>
            <c:numRef>
              <c:f>'STEP-Analyse China'!$D$20</c:f>
              <c:numCache>
                <c:formatCode>General</c:formatCode>
                <c:ptCount val="1"/>
                <c:pt idx="0">
                  <c:v>0</c:v>
                </c:pt>
              </c:numCache>
            </c:numRef>
          </c:yVal>
          <c:bubbleSize>
            <c:numRef>
              <c:f>'STEP-Analyse China'!$E$20</c:f>
              <c:numCache>
                <c:formatCode>0%</c:formatCode>
                <c:ptCount val="1"/>
                <c:pt idx="0">
                  <c:v>0</c:v>
                </c:pt>
              </c:numCache>
            </c:numRef>
          </c:bubbleSize>
          <c:bubble3D val="0"/>
        </c:ser>
        <c:ser>
          <c:idx val="7"/>
          <c:order val="7"/>
          <c:tx>
            <c:v>Ressourcenverfügbarkeit </c:v>
          </c:tx>
          <c:spPr>
            <a:ln w="25400">
              <a:noFill/>
            </a:ln>
          </c:spPr>
          <c:invertIfNegative val="0"/>
          <c:dLbls>
            <c:dLbl>
              <c:idx val="0"/>
              <c:tx>
                <c:rich>
                  <a:bodyPr/>
                  <a:lstStyle/>
                  <a:p>
                    <a:r>
                      <a:t>Ressourcenverfügbarkeit 
Economical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China'!$C$21</c:f>
              <c:numCache>
                <c:formatCode>General</c:formatCode>
                <c:ptCount val="1"/>
                <c:pt idx="0">
                  <c:v>0</c:v>
                </c:pt>
              </c:numCache>
            </c:numRef>
          </c:xVal>
          <c:yVal>
            <c:numRef>
              <c:f>'STEP-Analyse China'!$D$21</c:f>
              <c:numCache>
                <c:formatCode>General</c:formatCode>
                <c:ptCount val="1"/>
                <c:pt idx="0">
                  <c:v>0</c:v>
                </c:pt>
              </c:numCache>
            </c:numRef>
          </c:yVal>
          <c:bubbleSize>
            <c:numRef>
              <c:f>'STEP-Analyse China'!$E$21</c:f>
              <c:numCache>
                <c:formatCode>0%</c:formatCode>
                <c:ptCount val="1"/>
                <c:pt idx="0">
                  <c:v>0</c:v>
                </c:pt>
              </c:numCache>
            </c:numRef>
          </c:bubbleSize>
          <c:bubble3D val="0"/>
        </c:ser>
        <c:ser>
          <c:idx val="8"/>
          <c:order val="8"/>
          <c:tx>
            <c:v>Werte </c:v>
          </c:tx>
          <c:spPr>
            <a:ln w="25400">
              <a:noFill/>
            </a:ln>
          </c:spPr>
          <c:invertIfNegative val="0"/>
          <c:dLbls>
            <c:dLbl>
              <c:idx val="0"/>
              <c:tx>
                <c:rich>
                  <a:bodyPr/>
                  <a:lstStyle/>
                  <a:p>
                    <a:r>
                      <a:t>Werte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China'!$C$22</c:f>
              <c:numCache>
                <c:formatCode>General</c:formatCode>
                <c:ptCount val="1"/>
                <c:pt idx="0">
                  <c:v>0</c:v>
                </c:pt>
              </c:numCache>
            </c:numRef>
          </c:xVal>
          <c:yVal>
            <c:numRef>
              <c:f>'STEP-Analyse China'!$D$22</c:f>
              <c:numCache>
                <c:formatCode>General</c:formatCode>
                <c:ptCount val="1"/>
                <c:pt idx="0">
                  <c:v>0</c:v>
                </c:pt>
              </c:numCache>
            </c:numRef>
          </c:yVal>
          <c:bubbleSize>
            <c:numRef>
              <c:f>'STEP-Analyse China'!$E$22</c:f>
              <c:numCache>
                <c:formatCode>0%</c:formatCode>
                <c:ptCount val="1"/>
                <c:pt idx="0">
                  <c:v>0</c:v>
                </c:pt>
              </c:numCache>
            </c:numRef>
          </c:bubbleSize>
          <c:bubble3D val="0"/>
        </c:ser>
        <c:ser>
          <c:idx val="9"/>
          <c:order val="9"/>
          <c:tx>
            <c:v>Lebensstil/ Mentalitäten </c:v>
          </c:tx>
          <c:spPr>
            <a:ln w="25400">
              <a:noFill/>
            </a:ln>
          </c:spPr>
          <c:invertIfNegative val="0"/>
          <c:dLbls>
            <c:dLbl>
              <c:idx val="0"/>
              <c:tx>
                <c:rich>
                  <a:bodyPr/>
                  <a:lstStyle/>
                  <a:p>
                    <a:r>
                      <a:t>Lebensstil/ Mentalitäten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China'!$C$23</c:f>
              <c:numCache>
                <c:formatCode>General</c:formatCode>
                <c:ptCount val="1"/>
                <c:pt idx="0">
                  <c:v>0</c:v>
                </c:pt>
              </c:numCache>
            </c:numRef>
          </c:xVal>
          <c:yVal>
            <c:numRef>
              <c:f>'STEP-Analyse China'!$D$23</c:f>
              <c:numCache>
                <c:formatCode>General</c:formatCode>
                <c:ptCount val="1"/>
                <c:pt idx="0">
                  <c:v>0</c:v>
                </c:pt>
              </c:numCache>
            </c:numRef>
          </c:yVal>
          <c:bubbleSize>
            <c:numRef>
              <c:f>'STEP-Analyse China'!$E$23</c:f>
              <c:numCache>
                <c:formatCode>0%</c:formatCode>
                <c:ptCount val="1"/>
                <c:pt idx="0">
                  <c:v>0</c:v>
                </c:pt>
              </c:numCache>
            </c:numRef>
          </c:bubbleSize>
          <c:bubble3D val="0"/>
        </c:ser>
        <c:ser>
          <c:idx val="10"/>
          <c:order val="10"/>
          <c:tx>
            <c:v>Bildung</c:v>
          </c:tx>
          <c:spPr>
            <a:ln w="25400">
              <a:noFill/>
            </a:ln>
          </c:spPr>
          <c:invertIfNegative val="0"/>
          <c:dLbls>
            <c:dLbl>
              <c:idx val="0"/>
              <c:tx>
                <c:rich>
                  <a:bodyPr/>
                  <a:lstStyle/>
                  <a:p>
                    <a:r>
                      <a:t>Bildung
Social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China'!$C$24</c:f>
              <c:numCache>
                <c:formatCode>General</c:formatCode>
                <c:ptCount val="1"/>
                <c:pt idx="0">
                  <c:v>0</c:v>
                </c:pt>
              </c:numCache>
            </c:numRef>
          </c:xVal>
          <c:yVal>
            <c:numRef>
              <c:f>'STEP-Analyse China'!$D$24</c:f>
              <c:numCache>
                <c:formatCode>General</c:formatCode>
                <c:ptCount val="1"/>
                <c:pt idx="0">
                  <c:v>0</c:v>
                </c:pt>
              </c:numCache>
            </c:numRef>
          </c:yVal>
          <c:bubbleSize>
            <c:numRef>
              <c:f>'STEP-Analyse China'!$E$24</c:f>
              <c:numCache>
                <c:formatCode>0%</c:formatCode>
                <c:ptCount val="1"/>
                <c:pt idx="0">
                  <c:v>0</c:v>
                </c:pt>
              </c:numCache>
            </c:numRef>
          </c:bubbleSize>
          <c:bubble3D val="0"/>
        </c:ser>
        <c:ser>
          <c:idx val="11"/>
          <c:order val="11"/>
          <c:tx>
            <c:v>Forschung </c:v>
          </c:tx>
          <c:spPr>
            <a:ln w="25400">
              <a:noFill/>
            </a:ln>
          </c:spPr>
          <c:invertIfNegative val="0"/>
          <c:dLbls>
            <c:dLbl>
              <c:idx val="0"/>
              <c:tx>
                <c:rich>
                  <a:bodyPr/>
                  <a:lstStyle/>
                  <a:p>
                    <a:r>
                      <a:t>Forschung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China'!$C$25</c:f>
              <c:numCache>
                <c:formatCode>General</c:formatCode>
                <c:ptCount val="1"/>
                <c:pt idx="0">
                  <c:v>0</c:v>
                </c:pt>
              </c:numCache>
            </c:numRef>
          </c:xVal>
          <c:yVal>
            <c:numRef>
              <c:f>'STEP-Analyse China'!$D$25</c:f>
              <c:numCache>
                <c:formatCode>General</c:formatCode>
                <c:ptCount val="1"/>
                <c:pt idx="0">
                  <c:v>0</c:v>
                </c:pt>
              </c:numCache>
            </c:numRef>
          </c:yVal>
          <c:bubbleSize>
            <c:numRef>
              <c:f>'STEP-Analyse China'!$E$25</c:f>
              <c:numCache>
                <c:formatCode>0%</c:formatCode>
                <c:ptCount val="1"/>
                <c:pt idx="0">
                  <c:v>0</c:v>
                </c:pt>
              </c:numCache>
            </c:numRef>
          </c:bubbleSize>
          <c:bubble3D val="0"/>
        </c:ser>
        <c:ser>
          <c:idx val="12"/>
          <c:order val="12"/>
          <c:tx>
            <c:v>neue Technologien und Produkte </c:v>
          </c:tx>
          <c:spPr>
            <a:ln w="25400">
              <a:noFill/>
            </a:ln>
          </c:spPr>
          <c:invertIfNegative val="0"/>
          <c:dLbls>
            <c:dLbl>
              <c:idx val="0"/>
              <c:tx>
                <c:rich>
                  <a:bodyPr/>
                  <a:lstStyle/>
                  <a:p>
                    <a:r>
                      <a:t>neue Technologien und Produkte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China'!$C$26</c:f>
              <c:numCache>
                <c:formatCode>General</c:formatCode>
                <c:ptCount val="1"/>
                <c:pt idx="0">
                  <c:v>0</c:v>
                </c:pt>
              </c:numCache>
            </c:numRef>
          </c:xVal>
          <c:yVal>
            <c:numRef>
              <c:f>'STEP-Analyse China'!$D$26</c:f>
              <c:numCache>
                <c:formatCode>General</c:formatCode>
                <c:ptCount val="1"/>
                <c:pt idx="0">
                  <c:v>0</c:v>
                </c:pt>
              </c:numCache>
            </c:numRef>
          </c:yVal>
          <c:bubbleSize>
            <c:numRef>
              <c:f>'STEP-Analyse China'!$E$26</c:f>
              <c:numCache>
                <c:formatCode>0%</c:formatCode>
                <c:ptCount val="1"/>
                <c:pt idx="0">
                  <c:v>0</c:v>
                </c:pt>
              </c:numCache>
            </c:numRef>
          </c:bubbleSize>
          <c:bubble3D val="0"/>
        </c:ser>
        <c:ser>
          <c:idx val="13"/>
          <c:order val="13"/>
          <c:tx>
            <c:v>neue Prozesse</c:v>
          </c:tx>
          <c:spPr>
            <a:ln w="25400">
              <a:noFill/>
            </a:ln>
          </c:spPr>
          <c:invertIfNegative val="0"/>
          <c:dLbls>
            <c:dLbl>
              <c:idx val="0"/>
              <c:tx>
                <c:rich>
                  <a:bodyPr/>
                  <a:lstStyle/>
                  <a:p>
                    <a:r>
                      <a:t>neue Prozesse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China'!$C$27</c:f>
              <c:numCache>
                <c:formatCode>General</c:formatCode>
                <c:ptCount val="1"/>
                <c:pt idx="0">
                  <c:v>0</c:v>
                </c:pt>
              </c:numCache>
            </c:numRef>
          </c:xVal>
          <c:yVal>
            <c:numRef>
              <c:f>'STEP-Analyse China'!$D$27</c:f>
              <c:numCache>
                <c:formatCode>General</c:formatCode>
                <c:ptCount val="1"/>
                <c:pt idx="0">
                  <c:v>0</c:v>
                </c:pt>
              </c:numCache>
            </c:numRef>
          </c:yVal>
          <c:bubbleSize>
            <c:numRef>
              <c:f>'STEP-Analyse China'!$E$27</c:f>
              <c:numCache>
                <c:formatCode>0%</c:formatCode>
                <c:ptCount val="1"/>
                <c:pt idx="0">
                  <c:v>0</c:v>
                </c:pt>
              </c:numCache>
            </c:numRef>
          </c:bubbleSize>
          <c:bubble3D val="0"/>
        </c:ser>
        <c:ser>
          <c:idx val="14"/>
          <c:order val="14"/>
          <c:tx>
            <c:v>Produktlebenszyklen</c:v>
          </c:tx>
          <c:spPr>
            <a:ln w="25400">
              <a:noFill/>
            </a:ln>
          </c:spPr>
          <c:invertIfNegative val="0"/>
          <c:dLbls>
            <c:dLbl>
              <c:idx val="0"/>
              <c:tx>
                <c:rich>
                  <a:bodyPr/>
                  <a:lstStyle/>
                  <a:p>
                    <a:r>
                      <a:t>Produktlebenszyklen
Technological</a:t>
                    </a:r>
                  </a:p>
                </c:rich>
              </c:tx>
              <c:dLblPos val="ctr"/>
              <c:showLegendKey val="0"/>
              <c:showVal val="1"/>
              <c:showCatName val="0"/>
              <c:showSerName val="0"/>
              <c:showPercent val="0"/>
              <c:showBubbleSize val="0"/>
            </c:dLbl>
            <c:dLblPos val="ctr"/>
            <c:showLegendKey val="0"/>
            <c:showVal val="1"/>
            <c:showCatName val="0"/>
            <c:showSerName val="0"/>
            <c:showPercent val="0"/>
            <c:showBubbleSize val="0"/>
            <c:showLeaderLines val="0"/>
          </c:dLbls>
          <c:xVal>
            <c:numRef>
              <c:f>'STEP-Analyse China'!$C$28</c:f>
              <c:numCache>
                <c:formatCode>General</c:formatCode>
                <c:ptCount val="1"/>
                <c:pt idx="0">
                  <c:v>0</c:v>
                </c:pt>
              </c:numCache>
            </c:numRef>
          </c:xVal>
          <c:yVal>
            <c:numRef>
              <c:f>'STEP-Analyse China'!$D$28</c:f>
              <c:numCache>
                <c:formatCode>General</c:formatCode>
                <c:ptCount val="1"/>
                <c:pt idx="0">
                  <c:v>0</c:v>
                </c:pt>
              </c:numCache>
            </c:numRef>
          </c:yVal>
          <c:bubbleSize>
            <c:numRef>
              <c:f>'STEP-Analyse China'!$E$28</c:f>
              <c:numCache>
                <c:formatCode>0%</c:formatCode>
                <c:ptCount val="1"/>
                <c:pt idx="0">
                  <c:v>0</c:v>
                </c:pt>
              </c:numCache>
            </c:numRef>
          </c:bubbleSize>
          <c:bubble3D val="0"/>
        </c:ser>
        <c:dLbls>
          <c:showLegendKey val="0"/>
          <c:showVal val="0"/>
          <c:showCatName val="0"/>
          <c:showSerName val="0"/>
          <c:showPercent val="0"/>
          <c:showBubbleSize val="0"/>
        </c:dLbls>
        <c:bubbleScale val="100"/>
        <c:showNegBubbles val="0"/>
        <c:axId val="28676864"/>
        <c:axId val="28678784"/>
      </c:bubbleChart>
      <c:valAx>
        <c:axId val="28676864"/>
        <c:scaling>
          <c:orientation val="minMax"/>
          <c:max val="5"/>
          <c:min val="0"/>
        </c:scaling>
        <c:delete val="0"/>
        <c:axPos val="b"/>
        <c:title>
          <c:tx>
            <c:rich>
              <a:bodyPr/>
              <a:lstStyle/>
              <a:p>
                <a:pPr>
                  <a:defRPr sz="1600"/>
                </a:pPr>
                <a:r>
                  <a:rPr lang="de-DE" sz="1600"/>
                  <a:t>Risikoverteilung relativ zum höchsten Risikowert aller Einflussfaktoren</a:t>
                </a:r>
              </a:p>
            </c:rich>
          </c:tx>
          <c:overlay val="0"/>
        </c:title>
        <c:numFmt formatCode="General" sourceLinked="1"/>
        <c:majorTickMark val="out"/>
        <c:minorTickMark val="none"/>
        <c:tickLblPos val="nextTo"/>
        <c:txPr>
          <a:bodyPr/>
          <a:lstStyle/>
          <a:p>
            <a:pPr>
              <a:defRPr>
                <a:solidFill>
                  <a:schemeClr val="bg1"/>
                </a:solidFill>
              </a:defRPr>
            </a:pPr>
            <a:endParaRPr lang="de-DE"/>
          </a:p>
        </c:txPr>
        <c:crossAx val="28678784"/>
        <c:crosses val="autoZero"/>
        <c:crossBetween val="midCat"/>
      </c:valAx>
      <c:valAx>
        <c:axId val="28678784"/>
        <c:scaling>
          <c:orientation val="minMax"/>
          <c:max val="6.3"/>
          <c:min val="0"/>
        </c:scaling>
        <c:delete val="0"/>
        <c:axPos val="l"/>
        <c:title>
          <c:tx>
            <c:rich>
              <a:bodyPr rot="-5400000" vert="horz"/>
              <a:lstStyle/>
              <a:p>
                <a:pPr>
                  <a:defRPr sz="1600"/>
                </a:pPr>
                <a:r>
                  <a:rPr lang="de-DE" sz="1600" b="1">
                    <a:latin typeface="+mn-lt"/>
                  </a:rPr>
                  <a:t>Abbruchsrisiko innerhalb des</a:t>
                </a:r>
                <a:r>
                  <a:rPr lang="de-DE" sz="1600" b="1" baseline="0">
                    <a:latin typeface="+mn-lt"/>
                  </a:rPr>
                  <a:t> Einflussfaktors</a:t>
                </a:r>
                <a:endParaRPr lang="de-DE" sz="1600" b="1">
                  <a:latin typeface="+mn-lt"/>
                </a:endParaRPr>
              </a:p>
            </c:rich>
          </c:tx>
          <c:overlay val="0"/>
        </c:title>
        <c:numFmt formatCode="General" sourceLinked="1"/>
        <c:majorTickMark val="out"/>
        <c:minorTickMark val="none"/>
        <c:tickLblPos val="nextTo"/>
        <c:txPr>
          <a:bodyPr/>
          <a:lstStyle/>
          <a:p>
            <a:pPr>
              <a:defRPr>
                <a:solidFill>
                  <a:schemeClr val="bg1"/>
                </a:solidFill>
              </a:defRPr>
            </a:pPr>
            <a:endParaRPr lang="de-DE"/>
          </a:p>
        </c:txPr>
        <c:crossAx val="28676864"/>
        <c:crosses val="autoZero"/>
        <c:crossBetween val="midCat"/>
        <c:majorUnit val="1"/>
        <c:minorUnit val="1"/>
      </c:valAx>
      <c:spPr>
        <a:blipFill dpi="0" rotWithShape="1">
          <a:blip xmlns:r="http://schemas.openxmlformats.org/officeDocument/2006/relationships" r:embed="rId1">
            <a:alphaModFix amt="45000"/>
          </a:blip>
          <a:srcRect/>
          <a:stretch>
            <a:fillRect/>
          </a:stretch>
        </a:blipFill>
      </c:spPr>
    </c:plotArea>
    <c:legend>
      <c:legendPos val="r"/>
      <c:layout>
        <c:manualLayout>
          <c:xMode val="edge"/>
          <c:yMode val="edge"/>
          <c:x val="0.65537897556461211"/>
          <c:y val="2.0365932621743226E-2"/>
          <c:w val="0.33996985617604808"/>
          <c:h val="0.9642488908666661"/>
        </c:manualLayout>
      </c:layout>
      <c:overlay val="0"/>
      <c:txPr>
        <a:bodyPr/>
        <a:lstStyle/>
        <a:p>
          <a:pPr>
            <a:defRPr sz="1400" b="1"/>
          </a:pPr>
          <a:endParaRPr lang="de-DE"/>
        </a:p>
      </c:txPr>
    </c:legend>
    <c:plotVisOnly val="0"/>
    <c:dispBlanksAs val="gap"/>
    <c:showDLblsOverMax val="0"/>
  </c:chart>
  <c:spPr>
    <a:ln>
      <a:noFill/>
    </a:ln>
  </c:spPr>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 Id="rId4"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8.emf"/><Relationship Id="rId5" Type="http://schemas.openxmlformats.org/officeDocument/2006/relationships/image" Target="../media/image22.emf"/><Relationship Id="rId4" Type="http://schemas.openxmlformats.org/officeDocument/2006/relationships/image" Target="../media/image21.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8.emf"/><Relationship Id="rId5" Type="http://schemas.openxmlformats.org/officeDocument/2006/relationships/image" Target="../media/image28.emf"/><Relationship Id="rId4" Type="http://schemas.openxmlformats.org/officeDocument/2006/relationships/image" Target="../media/image2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3.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1.emf"/><Relationship Id="rId1" Type="http://schemas.openxmlformats.org/officeDocument/2006/relationships/image" Target="../media/image8.emf"/><Relationship Id="rId5" Type="http://schemas.openxmlformats.org/officeDocument/2006/relationships/image" Target="../media/image34.emf"/><Relationship Id="rId4" Type="http://schemas.openxmlformats.org/officeDocument/2006/relationships/image" Target="../media/image33.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8.emf"/><Relationship Id="rId5" Type="http://schemas.openxmlformats.org/officeDocument/2006/relationships/image" Target="../media/image40.emf"/><Relationship Id="rId4" Type="http://schemas.openxmlformats.org/officeDocument/2006/relationships/image" Target="../media/image39.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1600200</xdr:colOff>
          <xdr:row>0</xdr:row>
          <xdr:rowOff>28575</xdr:rowOff>
        </xdr:from>
        <xdr:to>
          <xdr:col>1</xdr:col>
          <xdr:colOff>3400425</xdr:colOff>
          <xdr:row>0</xdr:row>
          <xdr:rowOff>657225</xdr:rowOff>
        </xdr:to>
        <xdr:sp macro="" textlink="">
          <xdr:nvSpPr>
            <xdr:cNvPr id="56329" name="ComboBox1" hidden="1">
              <a:extLst>
                <a:ext uri="{63B3BB69-23CF-44E3-9099-C40C66FF867C}">
                  <a14:compatExt spid="_x0000_s56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28575</xdr:rowOff>
        </xdr:from>
        <xdr:to>
          <xdr:col>1</xdr:col>
          <xdr:colOff>1524000</xdr:colOff>
          <xdr:row>0</xdr:row>
          <xdr:rowOff>657225</xdr:rowOff>
        </xdr:to>
        <xdr:sp macro="" textlink="">
          <xdr:nvSpPr>
            <xdr:cNvPr id="56323" name="Löschbutton" hidden="1">
              <a:extLst>
                <a:ext uri="{63B3BB69-23CF-44E3-9099-C40C66FF867C}">
                  <a14:compatExt spid="_x0000_s56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1600200</xdr:colOff>
          <xdr:row>0</xdr:row>
          <xdr:rowOff>28575</xdr:rowOff>
        </xdr:from>
        <xdr:to>
          <xdr:col>1</xdr:col>
          <xdr:colOff>3238500</xdr:colOff>
          <xdr:row>0</xdr:row>
          <xdr:rowOff>657225</xdr:rowOff>
        </xdr:to>
        <xdr:sp macro="" textlink="">
          <xdr:nvSpPr>
            <xdr:cNvPr id="56326" name="Portfolioview" hidden="1">
              <a:extLst>
                <a:ext uri="{63B3BB69-23CF-44E3-9099-C40C66FF867C}">
                  <a14:compatExt spid="_x0000_s563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30</xdr:row>
          <xdr:rowOff>76200</xdr:rowOff>
        </xdr:from>
        <xdr:to>
          <xdr:col>4</xdr:col>
          <xdr:colOff>152400</xdr:colOff>
          <xdr:row>30</xdr:row>
          <xdr:rowOff>847725</xdr:rowOff>
        </xdr:to>
        <xdr:sp macro="" textlink="">
          <xdr:nvSpPr>
            <xdr:cNvPr id="52253" name="ComboBox1" hidden="1">
              <a:extLst>
                <a:ext uri="{63B3BB69-23CF-44E3-9099-C40C66FF867C}">
                  <a14:compatExt spid="_x0000_s52253"/>
                </a:ext>
              </a:extLst>
            </xdr:cNvPr>
            <xdr:cNvSpPr/>
          </xdr:nvSpPr>
          <xdr:spPr>
            <a:xfrm>
              <a:off x="0" y="0"/>
              <a:ext cx="0" cy="0"/>
            </a:xfrm>
            <a:prstGeom prst="rect">
              <a:avLst/>
            </a:prstGeom>
          </xdr:spPr>
        </xdr:sp>
        <xdr:clientData/>
      </xdr:twoCellAnchor>
    </mc:Choice>
    <mc:Fallback/>
  </mc:AlternateContent>
  <xdr:twoCellAnchor>
    <xdr:from>
      <xdr:col>0</xdr:col>
      <xdr:colOff>245920</xdr:colOff>
      <xdr:row>136</xdr:row>
      <xdr:rowOff>51954</xdr:rowOff>
    </xdr:from>
    <xdr:to>
      <xdr:col>5</xdr:col>
      <xdr:colOff>1870364</xdr:colOff>
      <xdr:row>180</xdr:row>
      <xdr:rowOff>51954</xdr:rowOff>
    </xdr:to>
    <xdr:graphicFrame macro="">
      <xdr:nvGraphicFramePr>
        <xdr:cNvPr id="2" name="Diagramm 1" title="Risikoanalys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266700</xdr:colOff>
          <xdr:row>30</xdr:row>
          <xdr:rowOff>38100</xdr:rowOff>
        </xdr:from>
        <xdr:to>
          <xdr:col>1</xdr:col>
          <xdr:colOff>2819400</xdr:colOff>
          <xdr:row>30</xdr:row>
          <xdr:rowOff>847725</xdr:rowOff>
        </xdr:to>
        <xdr:sp macro="" textlink="">
          <xdr:nvSpPr>
            <xdr:cNvPr id="52245" name="Löschbutton" hidden="1">
              <a:extLst>
                <a:ext uri="{63B3BB69-23CF-44E3-9099-C40C66FF867C}">
                  <a14:compatExt spid="_x0000_s52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30</xdr:row>
          <xdr:rowOff>47625</xdr:rowOff>
        </xdr:from>
        <xdr:to>
          <xdr:col>2</xdr:col>
          <xdr:colOff>3324225</xdr:colOff>
          <xdr:row>30</xdr:row>
          <xdr:rowOff>847725</xdr:rowOff>
        </xdr:to>
        <xdr:sp macro="" textlink="">
          <xdr:nvSpPr>
            <xdr:cNvPr id="52246" name="Portfolioview" hidden="1">
              <a:extLst>
                <a:ext uri="{63B3BB69-23CF-44E3-9099-C40C66FF867C}">
                  <a14:compatExt spid="_x0000_s52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30</xdr:row>
          <xdr:rowOff>47625</xdr:rowOff>
        </xdr:from>
        <xdr:to>
          <xdr:col>4</xdr:col>
          <xdr:colOff>0</xdr:colOff>
          <xdr:row>30</xdr:row>
          <xdr:rowOff>847725</xdr:rowOff>
        </xdr:to>
        <xdr:sp macro="" textlink="">
          <xdr:nvSpPr>
            <xdr:cNvPr id="52248" name="Zeileneinfügen" hidden="1">
              <a:extLst>
                <a:ext uri="{63B3BB69-23CF-44E3-9099-C40C66FF867C}">
                  <a14:compatExt spid="_x0000_s52248"/>
                </a:ext>
              </a:extLst>
            </xdr:cNvPr>
            <xdr:cNvSpPr/>
          </xdr:nvSpPr>
          <xdr:spPr>
            <a:xfrm>
              <a:off x="0" y="0"/>
              <a:ext cx="0" cy="0"/>
            </a:xfrm>
            <a:prstGeom prst="rect">
              <a:avLst/>
            </a:prstGeom>
          </xdr:spPr>
        </xdr:sp>
        <xdr:clientData/>
      </xdr:twoCellAnchor>
    </mc:Choice>
    <mc:Fallback/>
  </mc:AlternateContent>
  <xdr:twoCellAnchor>
    <xdr:from>
      <xdr:col>5</xdr:col>
      <xdr:colOff>2216726</xdr:colOff>
      <xdr:row>132</xdr:row>
      <xdr:rowOff>4329</xdr:rowOff>
    </xdr:from>
    <xdr:to>
      <xdr:col>12</xdr:col>
      <xdr:colOff>34634</xdr:colOff>
      <xdr:row>184</xdr:row>
      <xdr:rowOff>17318</xdr:rowOff>
    </xdr:to>
    <xdr:graphicFrame macro="">
      <xdr:nvGraphicFramePr>
        <xdr:cNvPr id="3" name="Bubbl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38100</xdr:colOff>
          <xdr:row>125</xdr:row>
          <xdr:rowOff>38100</xdr:rowOff>
        </xdr:from>
        <xdr:to>
          <xdr:col>8</xdr:col>
          <xdr:colOff>533400</xdr:colOff>
          <xdr:row>128</xdr:row>
          <xdr:rowOff>104775</xdr:rowOff>
        </xdr:to>
        <xdr:sp macro="" textlink="">
          <xdr:nvSpPr>
            <xdr:cNvPr id="52252" name="CommandButton1" hidden="1">
              <a:extLst>
                <a:ext uri="{63B3BB69-23CF-44E3-9099-C40C66FF867C}">
                  <a14:compatExt spid="_x0000_s5225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19</xdr:col>
      <xdr:colOff>266701</xdr:colOff>
      <xdr:row>43</xdr:row>
      <xdr:rowOff>57150</xdr:rowOff>
    </xdr:to>
    <xdr:pic>
      <xdr:nvPicPr>
        <xdr:cNvPr id="2" name="Grafik 1"/>
        <xdr:cNvPicPr>
          <a:picLocks noChangeAspect="1"/>
        </xdr:cNvPicPr>
      </xdr:nvPicPr>
      <xdr:blipFill rotWithShape="1">
        <a:blip xmlns:r="http://schemas.openxmlformats.org/officeDocument/2006/relationships" r:embed="rId1"/>
        <a:srcRect l="9232" t="6243" b="1"/>
        <a:stretch/>
      </xdr:blipFill>
      <xdr:spPr>
        <a:xfrm>
          <a:off x="1" y="0"/>
          <a:ext cx="16192500" cy="78390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19050</xdr:rowOff>
        </xdr:from>
        <xdr:to>
          <xdr:col>4</xdr:col>
          <xdr:colOff>714375</xdr:colOff>
          <xdr:row>8</xdr:row>
          <xdr:rowOff>114300</xdr:rowOff>
        </xdr:to>
        <xdr:sp macro="" textlink="">
          <xdr:nvSpPr>
            <xdr:cNvPr id="30721" name="CommandButton1" hidden="1">
              <a:extLst>
                <a:ext uri="{63B3BB69-23CF-44E3-9099-C40C66FF867C}">
                  <a14:compatExt spid="_x0000_s30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9525</xdr:rowOff>
        </xdr:from>
        <xdr:to>
          <xdr:col>4</xdr:col>
          <xdr:colOff>714375</xdr:colOff>
          <xdr:row>12</xdr:row>
          <xdr:rowOff>104775</xdr:rowOff>
        </xdr:to>
        <xdr:sp macro="" textlink="">
          <xdr:nvSpPr>
            <xdr:cNvPr id="30723" name="CommandButton2" hidden="1">
              <a:extLst>
                <a:ext uri="{63B3BB69-23CF-44E3-9099-C40C66FF867C}">
                  <a14:compatExt spid="_x0000_s30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171450</xdr:rowOff>
        </xdr:from>
        <xdr:to>
          <xdr:col>4</xdr:col>
          <xdr:colOff>704850</xdr:colOff>
          <xdr:row>16</xdr:row>
          <xdr:rowOff>85725</xdr:rowOff>
        </xdr:to>
        <xdr:sp macro="" textlink="">
          <xdr:nvSpPr>
            <xdr:cNvPr id="30724" name="CommandButton3" hidden="1">
              <a:extLst>
                <a:ext uri="{63B3BB69-23CF-44E3-9099-C40C66FF867C}">
                  <a14:compatExt spid="_x0000_s30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17</xdr:row>
          <xdr:rowOff>133350</xdr:rowOff>
        </xdr:from>
        <xdr:to>
          <xdr:col>4</xdr:col>
          <xdr:colOff>695325</xdr:colOff>
          <xdr:row>19</xdr:row>
          <xdr:rowOff>19050</xdr:rowOff>
        </xdr:to>
        <xdr:sp macro="" textlink="">
          <xdr:nvSpPr>
            <xdr:cNvPr id="30726" name="ComboBox1" hidden="1">
              <a:extLst>
                <a:ext uri="{63B3BB69-23CF-44E3-9099-C40C66FF867C}">
                  <a14:compatExt spid="_x0000_s30726"/>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0</xdr:col>
          <xdr:colOff>1228725</xdr:colOff>
          <xdr:row>1</xdr:row>
          <xdr:rowOff>76200</xdr:rowOff>
        </xdr:to>
        <xdr:sp macro="" textlink="">
          <xdr:nvSpPr>
            <xdr:cNvPr id="26627" name="CommandButton1" hidden="1">
              <a:extLst>
                <a:ext uri="{63B3BB69-23CF-44E3-9099-C40C66FF867C}">
                  <a14:compatExt spid="_x0000_s2662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523875</xdr:colOff>
          <xdr:row>0</xdr:row>
          <xdr:rowOff>114300</xdr:rowOff>
        </xdr:from>
        <xdr:to>
          <xdr:col>7</xdr:col>
          <xdr:colOff>123825</xdr:colOff>
          <xdr:row>2</xdr:row>
          <xdr:rowOff>9525</xdr:rowOff>
        </xdr:to>
        <xdr:sp macro="" textlink="">
          <xdr:nvSpPr>
            <xdr:cNvPr id="25604" name="ComboBox1" hidden="1">
              <a:extLst>
                <a:ext uri="{63B3BB69-23CF-44E3-9099-C40C66FF867C}">
                  <a14:compatExt spid="_x0000_s25604"/>
                </a:ext>
              </a:extLst>
            </xdr:cNvPr>
            <xdr:cNvSpPr/>
          </xdr:nvSpPr>
          <xdr:spPr>
            <a:xfrm>
              <a:off x="0" y="0"/>
              <a:ext cx="0" cy="0"/>
            </a:xfrm>
            <a:prstGeom prst="rect">
              <a:avLst/>
            </a:prstGeom>
          </xdr:spPr>
        </xdr:sp>
        <xdr:clientData/>
      </xdr:twoCellAnchor>
    </mc:Choice>
    <mc:Fallback/>
  </mc:AlternateContent>
  <xdr:twoCellAnchor>
    <xdr:from>
      <xdr:col>6</xdr:col>
      <xdr:colOff>352424</xdr:colOff>
      <xdr:row>2</xdr:row>
      <xdr:rowOff>152400</xdr:rowOff>
    </xdr:from>
    <xdr:to>
      <xdr:col>16</xdr:col>
      <xdr:colOff>47625</xdr:colOff>
      <xdr:row>38</xdr:row>
      <xdr:rowOff>133349</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123825</xdr:colOff>
          <xdr:row>0</xdr:row>
          <xdr:rowOff>95250</xdr:rowOff>
        </xdr:from>
        <xdr:to>
          <xdr:col>10</xdr:col>
          <xdr:colOff>619125</xdr:colOff>
          <xdr:row>2</xdr:row>
          <xdr:rowOff>9525</xdr:rowOff>
        </xdr:to>
        <xdr:sp macro="" textlink="">
          <xdr:nvSpPr>
            <xdr:cNvPr id="25601" name="CommandButton1" hidden="1">
              <a:extLst>
                <a:ext uri="{63B3BB69-23CF-44E3-9099-C40C66FF867C}">
                  <a14:compatExt spid="_x0000_s25601"/>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30</xdr:row>
          <xdr:rowOff>76200</xdr:rowOff>
        </xdr:from>
        <xdr:to>
          <xdr:col>4</xdr:col>
          <xdr:colOff>152400</xdr:colOff>
          <xdr:row>30</xdr:row>
          <xdr:rowOff>847725</xdr:rowOff>
        </xdr:to>
        <xdr:sp macro="" textlink="">
          <xdr:nvSpPr>
            <xdr:cNvPr id="124929" name="ComboBox1" hidden="1">
              <a:extLst>
                <a:ext uri="{63B3BB69-23CF-44E3-9099-C40C66FF867C}">
                  <a14:compatExt spid="_x0000_s124929"/>
                </a:ext>
              </a:extLst>
            </xdr:cNvPr>
            <xdr:cNvSpPr/>
          </xdr:nvSpPr>
          <xdr:spPr>
            <a:xfrm>
              <a:off x="0" y="0"/>
              <a:ext cx="0" cy="0"/>
            </a:xfrm>
            <a:prstGeom prst="rect">
              <a:avLst/>
            </a:prstGeom>
          </xdr:spPr>
        </xdr:sp>
        <xdr:clientData/>
      </xdr:twoCellAnchor>
    </mc:Choice>
    <mc:Fallback/>
  </mc:AlternateContent>
  <xdr:twoCellAnchor>
    <xdr:from>
      <xdr:col>0</xdr:col>
      <xdr:colOff>245920</xdr:colOff>
      <xdr:row>136</xdr:row>
      <xdr:rowOff>51954</xdr:rowOff>
    </xdr:from>
    <xdr:to>
      <xdr:col>5</xdr:col>
      <xdr:colOff>1870364</xdr:colOff>
      <xdr:row>180</xdr:row>
      <xdr:rowOff>51954</xdr:rowOff>
    </xdr:to>
    <xdr:graphicFrame macro="">
      <xdr:nvGraphicFramePr>
        <xdr:cNvPr id="3" name="Diagramm 2" title="Risikoanalys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266700</xdr:colOff>
          <xdr:row>30</xdr:row>
          <xdr:rowOff>38100</xdr:rowOff>
        </xdr:from>
        <xdr:to>
          <xdr:col>1</xdr:col>
          <xdr:colOff>2819400</xdr:colOff>
          <xdr:row>30</xdr:row>
          <xdr:rowOff>847725</xdr:rowOff>
        </xdr:to>
        <xdr:sp macro="" textlink="">
          <xdr:nvSpPr>
            <xdr:cNvPr id="124930" name="Löschbutton" hidden="1">
              <a:extLst>
                <a:ext uri="{63B3BB69-23CF-44E3-9099-C40C66FF867C}">
                  <a14:compatExt spid="_x0000_s1249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30</xdr:row>
          <xdr:rowOff>47625</xdr:rowOff>
        </xdr:from>
        <xdr:to>
          <xdr:col>2</xdr:col>
          <xdr:colOff>3324225</xdr:colOff>
          <xdr:row>30</xdr:row>
          <xdr:rowOff>847725</xdr:rowOff>
        </xdr:to>
        <xdr:sp macro="" textlink="">
          <xdr:nvSpPr>
            <xdr:cNvPr id="124931" name="Portfolioview" hidden="1">
              <a:extLst>
                <a:ext uri="{63B3BB69-23CF-44E3-9099-C40C66FF867C}">
                  <a14:compatExt spid="_x0000_s1249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30</xdr:row>
          <xdr:rowOff>47625</xdr:rowOff>
        </xdr:from>
        <xdr:to>
          <xdr:col>4</xdr:col>
          <xdr:colOff>0</xdr:colOff>
          <xdr:row>30</xdr:row>
          <xdr:rowOff>847725</xdr:rowOff>
        </xdr:to>
        <xdr:sp macro="" textlink="">
          <xdr:nvSpPr>
            <xdr:cNvPr id="124932" name="Zeileneinfügen" hidden="1">
              <a:extLst>
                <a:ext uri="{63B3BB69-23CF-44E3-9099-C40C66FF867C}">
                  <a14:compatExt spid="_x0000_s124932"/>
                </a:ext>
              </a:extLst>
            </xdr:cNvPr>
            <xdr:cNvSpPr/>
          </xdr:nvSpPr>
          <xdr:spPr>
            <a:xfrm>
              <a:off x="0" y="0"/>
              <a:ext cx="0" cy="0"/>
            </a:xfrm>
            <a:prstGeom prst="rect">
              <a:avLst/>
            </a:prstGeom>
          </xdr:spPr>
        </xdr:sp>
        <xdr:clientData/>
      </xdr:twoCellAnchor>
    </mc:Choice>
    <mc:Fallback/>
  </mc:AlternateContent>
  <xdr:twoCellAnchor>
    <xdr:from>
      <xdr:col>5</xdr:col>
      <xdr:colOff>2216726</xdr:colOff>
      <xdr:row>132</xdr:row>
      <xdr:rowOff>4329</xdr:rowOff>
    </xdr:from>
    <xdr:to>
      <xdr:col>12</xdr:col>
      <xdr:colOff>34634</xdr:colOff>
      <xdr:row>184</xdr:row>
      <xdr:rowOff>17318</xdr:rowOff>
    </xdr:to>
    <xdr:graphicFrame macro="">
      <xdr:nvGraphicFramePr>
        <xdr:cNvPr id="7" name="Bubbl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38100</xdr:colOff>
          <xdr:row>125</xdr:row>
          <xdr:rowOff>38100</xdr:rowOff>
        </xdr:from>
        <xdr:to>
          <xdr:col>8</xdr:col>
          <xdr:colOff>533400</xdr:colOff>
          <xdr:row>128</xdr:row>
          <xdr:rowOff>104775</xdr:rowOff>
        </xdr:to>
        <xdr:sp macro="" textlink="">
          <xdr:nvSpPr>
            <xdr:cNvPr id="124933" name="CommandButton1" hidden="1">
              <a:extLst>
                <a:ext uri="{63B3BB69-23CF-44E3-9099-C40C66FF867C}">
                  <a14:compatExt spid="_x0000_s124933"/>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1600200</xdr:colOff>
          <xdr:row>0</xdr:row>
          <xdr:rowOff>28575</xdr:rowOff>
        </xdr:from>
        <xdr:to>
          <xdr:col>1</xdr:col>
          <xdr:colOff>3400425</xdr:colOff>
          <xdr:row>0</xdr:row>
          <xdr:rowOff>657225</xdr:rowOff>
        </xdr:to>
        <xdr:sp macro="" textlink="">
          <xdr:nvSpPr>
            <xdr:cNvPr id="125953" name="ComboBox1" hidden="1">
              <a:extLst>
                <a:ext uri="{63B3BB69-23CF-44E3-9099-C40C66FF867C}">
                  <a14:compatExt spid="_x0000_s1259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28575</xdr:rowOff>
        </xdr:from>
        <xdr:to>
          <xdr:col>1</xdr:col>
          <xdr:colOff>1524000</xdr:colOff>
          <xdr:row>0</xdr:row>
          <xdr:rowOff>657225</xdr:rowOff>
        </xdr:to>
        <xdr:sp macro="" textlink="">
          <xdr:nvSpPr>
            <xdr:cNvPr id="125954" name="Löschbutton" hidden="1">
              <a:extLst>
                <a:ext uri="{63B3BB69-23CF-44E3-9099-C40C66FF867C}">
                  <a14:compatExt spid="_x0000_s1259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1600200</xdr:colOff>
          <xdr:row>0</xdr:row>
          <xdr:rowOff>28575</xdr:rowOff>
        </xdr:from>
        <xdr:to>
          <xdr:col>1</xdr:col>
          <xdr:colOff>3238500</xdr:colOff>
          <xdr:row>0</xdr:row>
          <xdr:rowOff>657225</xdr:rowOff>
        </xdr:to>
        <xdr:sp macro="" textlink="">
          <xdr:nvSpPr>
            <xdr:cNvPr id="125955" name="Portfolioview" hidden="1">
              <a:extLst>
                <a:ext uri="{63B3BB69-23CF-44E3-9099-C40C66FF867C}">
                  <a14:compatExt spid="_x0000_s125955"/>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30</xdr:row>
          <xdr:rowOff>76200</xdr:rowOff>
        </xdr:from>
        <xdr:to>
          <xdr:col>4</xdr:col>
          <xdr:colOff>152400</xdr:colOff>
          <xdr:row>30</xdr:row>
          <xdr:rowOff>847725</xdr:rowOff>
        </xdr:to>
        <xdr:sp macro="" textlink="">
          <xdr:nvSpPr>
            <xdr:cNvPr id="126977" name="ComboBox1" hidden="1">
              <a:extLst>
                <a:ext uri="{63B3BB69-23CF-44E3-9099-C40C66FF867C}">
                  <a14:compatExt spid="_x0000_s126977"/>
                </a:ext>
              </a:extLst>
            </xdr:cNvPr>
            <xdr:cNvSpPr/>
          </xdr:nvSpPr>
          <xdr:spPr>
            <a:xfrm>
              <a:off x="0" y="0"/>
              <a:ext cx="0" cy="0"/>
            </a:xfrm>
            <a:prstGeom prst="rect">
              <a:avLst/>
            </a:prstGeom>
          </xdr:spPr>
        </xdr:sp>
        <xdr:clientData/>
      </xdr:twoCellAnchor>
    </mc:Choice>
    <mc:Fallback/>
  </mc:AlternateContent>
  <xdr:twoCellAnchor>
    <xdr:from>
      <xdr:col>0</xdr:col>
      <xdr:colOff>245920</xdr:colOff>
      <xdr:row>136</xdr:row>
      <xdr:rowOff>51954</xdr:rowOff>
    </xdr:from>
    <xdr:to>
      <xdr:col>5</xdr:col>
      <xdr:colOff>1870364</xdr:colOff>
      <xdr:row>180</xdr:row>
      <xdr:rowOff>51954</xdr:rowOff>
    </xdr:to>
    <xdr:graphicFrame macro="">
      <xdr:nvGraphicFramePr>
        <xdr:cNvPr id="3" name="Diagramm 2" title="Risikoanalys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266700</xdr:colOff>
          <xdr:row>30</xdr:row>
          <xdr:rowOff>38100</xdr:rowOff>
        </xdr:from>
        <xdr:to>
          <xdr:col>1</xdr:col>
          <xdr:colOff>2819400</xdr:colOff>
          <xdr:row>30</xdr:row>
          <xdr:rowOff>847725</xdr:rowOff>
        </xdr:to>
        <xdr:sp macro="" textlink="">
          <xdr:nvSpPr>
            <xdr:cNvPr id="126978" name="Löschbutton" hidden="1">
              <a:extLst>
                <a:ext uri="{63B3BB69-23CF-44E3-9099-C40C66FF867C}">
                  <a14:compatExt spid="_x0000_s126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30</xdr:row>
          <xdr:rowOff>47625</xdr:rowOff>
        </xdr:from>
        <xdr:to>
          <xdr:col>2</xdr:col>
          <xdr:colOff>3324225</xdr:colOff>
          <xdr:row>30</xdr:row>
          <xdr:rowOff>847725</xdr:rowOff>
        </xdr:to>
        <xdr:sp macro="" textlink="">
          <xdr:nvSpPr>
            <xdr:cNvPr id="126979" name="Portfolioview" hidden="1">
              <a:extLst>
                <a:ext uri="{63B3BB69-23CF-44E3-9099-C40C66FF867C}">
                  <a14:compatExt spid="_x0000_s126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30</xdr:row>
          <xdr:rowOff>47625</xdr:rowOff>
        </xdr:from>
        <xdr:to>
          <xdr:col>4</xdr:col>
          <xdr:colOff>0</xdr:colOff>
          <xdr:row>30</xdr:row>
          <xdr:rowOff>847725</xdr:rowOff>
        </xdr:to>
        <xdr:sp macro="" textlink="">
          <xdr:nvSpPr>
            <xdr:cNvPr id="126980" name="Zeileneinfügen" hidden="1">
              <a:extLst>
                <a:ext uri="{63B3BB69-23CF-44E3-9099-C40C66FF867C}">
                  <a14:compatExt spid="_x0000_s126980"/>
                </a:ext>
              </a:extLst>
            </xdr:cNvPr>
            <xdr:cNvSpPr/>
          </xdr:nvSpPr>
          <xdr:spPr>
            <a:xfrm>
              <a:off x="0" y="0"/>
              <a:ext cx="0" cy="0"/>
            </a:xfrm>
            <a:prstGeom prst="rect">
              <a:avLst/>
            </a:prstGeom>
          </xdr:spPr>
        </xdr:sp>
        <xdr:clientData/>
      </xdr:twoCellAnchor>
    </mc:Choice>
    <mc:Fallback/>
  </mc:AlternateContent>
  <xdr:twoCellAnchor>
    <xdr:from>
      <xdr:col>5</xdr:col>
      <xdr:colOff>2216726</xdr:colOff>
      <xdr:row>132</xdr:row>
      <xdr:rowOff>4329</xdr:rowOff>
    </xdr:from>
    <xdr:to>
      <xdr:col>12</xdr:col>
      <xdr:colOff>34634</xdr:colOff>
      <xdr:row>184</xdr:row>
      <xdr:rowOff>17318</xdr:rowOff>
    </xdr:to>
    <xdr:graphicFrame macro="">
      <xdr:nvGraphicFramePr>
        <xdr:cNvPr id="7" name="Bubbl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38100</xdr:colOff>
          <xdr:row>125</xdr:row>
          <xdr:rowOff>38100</xdr:rowOff>
        </xdr:from>
        <xdr:to>
          <xdr:col>8</xdr:col>
          <xdr:colOff>533400</xdr:colOff>
          <xdr:row>128</xdr:row>
          <xdr:rowOff>104775</xdr:rowOff>
        </xdr:to>
        <xdr:sp macro="" textlink="">
          <xdr:nvSpPr>
            <xdr:cNvPr id="126981" name="CommandButton1" hidden="1">
              <a:extLst>
                <a:ext uri="{63B3BB69-23CF-44E3-9099-C40C66FF867C}">
                  <a14:compatExt spid="_x0000_s126981"/>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1600200</xdr:colOff>
          <xdr:row>0</xdr:row>
          <xdr:rowOff>28575</xdr:rowOff>
        </xdr:from>
        <xdr:to>
          <xdr:col>1</xdr:col>
          <xdr:colOff>3400425</xdr:colOff>
          <xdr:row>0</xdr:row>
          <xdr:rowOff>657225</xdr:rowOff>
        </xdr:to>
        <xdr:sp macro="" textlink="">
          <xdr:nvSpPr>
            <xdr:cNvPr id="128001" name="ComboBox1" hidden="1">
              <a:extLst>
                <a:ext uri="{63B3BB69-23CF-44E3-9099-C40C66FF867C}">
                  <a14:compatExt spid="_x0000_s1280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28575</xdr:rowOff>
        </xdr:from>
        <xdr:to>
          <xdr:col>1</xdr:col>
          <xdr:colOff>1524000</xdr:colOff>
          <xdr:row>0</xdr:row>
          <xdr:rowOff>657225</xdr:rowOff>
        </xdr:to>
        <xdr:sp macro="" textlink="">
          <xdr:nvSpPr>
            <xdr:cNvPr id="128002" name="Löschbutton" hidden="1">
              <a:extLst>
                <a:ext uri="{63B3BB69-23CF-44E3-9099-C40C66FF867C}">
                  <a14:compatExt spid="_x0000_s1280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1600200</xdr:colOff>
          <xdr:row>0</xdr:row>
          <xdr:rowOff>28575</xdr:rowOff>
        </xdr:from>
        <xdr:to>
          <xdr:col>1</xdr:col>
          <xdr:colOff>3238500</xdr:colOff>
          <xdr:row>0</xdr:row>
          <xdr:rowOff>657225</xdr:rowOff>
        </xdr:to>
        <xdr:sp macro="" textlink="">
          <xdr:nvSpPr>
            <xdr:cNvPr id="128003" name="Portfolioview" hidden="1">
              <a:extLst>
                <a:ext uri="{63B3BB69-23CF-44E3-9099-C40C66FF867C}">
                  <a14:compatExt spid="_x0000_s128003"/>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30</xdr:row>
          <xdr:rowOff>76200</xdr:rowOff>
        </xdr:from>
        <xdr:to>
          <xdr:col>4</xdr:col>
          <xdr:colOff>152400</xdr:colOff>
          <xdr:row>30</xdr:row>
          <xdr:rowOff>847725</xdr:rowOff>
        </xdr:to>
        <xdr:sp macro="" textlink="">
          <xdr:nvSpPr>
            <xdr:cNvPr id="129025" name="ComboBox1" hidden="1">
              <a:extLst>
                <a:ext uri="{63B3BB69-23CF-44E3-9099-C40C66FF867C}">
                  <a14:compatExt spid="_x0000_s129025"/>
                </a:ext>
              </a:extLst>
            </xdr:cNvPr>
            <xdr:cNvSpPr/>
          </xdr:nvSpPr>
          <xdr:spPr>
            <a:xfrm>
              <a:off x="0" y="0"/>
              <a:ext cx="0" cy="0"/>
            </a:xfrm>
            <a:prstGeom prst="rect">
              <a:avLst/>
            </a:prstGeom>
          </xdr:spPr>
        </xdr:sp>
        <xdr:clientData/>
      </xdr:twoCellAnchor>
    </mc:Choice>
    <mc:Fallback/>
  </mc:AlternateContent>
  <xdr:twoCellAnchor>
    <xdr:from>
      <xdr:col>0</xdr:col>
      <xdr:colOff>245920</xdr:colOff>
      <xdr:row>136</xdr:row>
      <xdr:rowOff>51954</xdr:rowOff>
    </xdr:from>
    <xdr:to>
      <xdr:col>5</xdr:col>
      <xdr:colOff>1870364</xdr:colOff>
      <xdr:row>180</xdr:row>
      <xdr:rowOff>51954</xdr:rowOff>
    </xdr:to>
    <xdr:graphicFrame macro="">
      <xdr:nvGraphicFramePr>
        <xdr:cNvPr id="3" name="Diagramm 2" title="Risikoanalys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266700</xdr:colOff>
          <xdr:row>30</xdr:row>
          <xdr:rowOff>38100</xdr:rowOff>
        </xdr:from>
        <xdr:to>
          <xdr:col>1</xdr:col>
          <xdr:colOff>2819400</xdr:colOff>
          <xdr:row>30</xdr:row>
          <xdr:rowOff>847725</xdr:rowOff>
        </xdr:to>
        <xdr:sp macro="" textlink="">
          <xdr:nvSpPr>
            <xdr:cNvPr id="129026" name="Löschbutton" hidden="1">
              <a:extLst>
                <a:ext uri="{63B3BB69-23CF-44E3-9099-C40C66FF867C}">
                  <a14:compatExt spid="_x0000_s129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30</xdr:row>
          <xdr:rowOff>47625</xdr:rowOff>
        </xdr:from>
        <xdr:to>
          <xdr:col>2</xdr:col>
          <xdr:colOff>3324225</xdr:colOff>
          <xdr:row>30</xdr:row>
          <xdr:rowOff>847725</xdr:rowOff>
        </xdr:to>
        <xdr:sp macro="" textlink="">
          <xdr:nvSpPr>
            <xdr:cNvPr id="129027" name="Portfolioview" hidden="1">
              <a:extLst>
                <a:ext uri="{63B3BB69-23CF-44E3-9099-C40C66FF867C}">
                  <a14:compatExt spid="_x0000_s129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30</xdr:row>
          <xdr:rowOff>47625</xdr:rowOff>
        </xdr:from>
        <xdr:to>
          <xdr:col>4</xdr:col>
          <xdr:colOff>0</xdr:colOff>
          <xdr:row>30</xdr:row>
          <xdr:rowOff>847725</xdr:rowOff>
        </xdr:to>
        <xdr:sp macro="" textlink="">
          <xdr:nvSpPr>
            <xdr:cNvPr id="129028" name="Zeileneinfügen" hidden="1">
              <a:extLst>
                <a:ext uri="{63B3BB69-23CF-44E3-9099-C40C66FF867C}">
                  <a14:compatExt spid="_x0000_s129028"/>
                </a:ext>
              </a:extLst>
            </xdr:cNvPr>
            <xdr:cNvSpPr/>
          </xdr:nvSpPr>
          <xdr:spPr>
            <a:xfrm>
              <a:off x="0" y="0"/>
              <a:ext cx="0" cy="0"/>
            </a:xfrm>
            <a:prstGeom prst="rect">
              <a:avLst/>
            </a:prstGeom>
          </xdr:spPr>
        </xdr:sp>
        <xdr:clientData/>
      </xdr:twoCellAnchor>
    </mc:Choice>
    <mc:Fallback/>
  </mc:AlternateContent>
  <xdr:twoCellAnchor>
    <xdr:from>
      <xdr:col>5</xdr:col>
      <xdr:colOff>2216726</xdr:colOff>
      <xdr:row>132</xdr:row>
      <xdr:rowOff>4329</xdr:rowOff>
    </xdr:from>
    <xdr:to>
      <xdr:col>12</xdr:col>
      <xdr:colOff>34634</xdr:colOff>
      <xdr:row>184</xdr:row>
      <xdr:rowOff>17318</xdr:rowOff>
    </xdr:to>
    <xdr:graphicFrame macro="">
      <xdr:nvGraphicFramePr>
        <xdr:cNvPr id="7" name="Bubbl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38100</xdr:colOff>
          <xdr:row>125</xdr:row>
          <xdr:rowOff>38100</xdr:rowOff>
        </xdr:from>
        <xdr:to>
          <xdr:col>8</xdr:col>
          <xdr:colOff>533400</xdr:colOff>
          <xdr:row>128</xdr:row>
          <xdr:rowOff>104775</xdr:rowOff>
        </xdr:to>
        <xdr:sp macro="" textlink="">
          <xdr:nvSpPr>
            <xdr:cNvPr id="129029" name="CommandButton1" hidden="1">
              <a:extLst>
                <a:ext uri="{63B3BB69-23CF-44E3-9099-C40C66FF867C}">
                  <a14:compatExt spid="_x0000_s129029"/>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1600200</xdr:colOff>
          <xdr:row>0</xdr:row>
          <xdr:rowOff>28575</xdr:rowOff>
        </xdr:from>
        <xdr:to>
          <xdr:col>1</xdr:col>
          <xdr:colOff>3400425</xdr:colOff>
          <xdr:row>0</xdr:row>
          <xdr:rowOff>657225</xdr:rowOff>
        </xdr:to>
        <xdr:sp macro="" textlink="">
          <xdr:nvSpPr>
            <xdr:cNvPr id="130049" name="ComboBox1" hidden="1">
              <a:extLst>
                <a:ext uri="{63B3BB69-23CF-44E3-9099-C40C66FF867C}">
                  <a14:compatExt spid="_x0000_s130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28575</xdr:rowOff>
        </xdr:from>
        <xdr:to>
          <xdr:col>1</xdr:col>
          <xdr:colOff>1524000</xdr:colOff>
          <xdr:row>0</xdr:row>
          <xdr:rowOff>657225</xdr:rowOff>
        </xdr:to>
        <xdr:sp macro="" textlink="">
          <xdr:nvSpPr>
            <xdr:cNvPr id="130050" name="Löschbutton" hidden="1">
              <a:extLst>
                <a:ext uri="{63B3BB69-23CF-44E3-9099-C40C66FF867C}">
                  <a14:compatExt spid="_x0000_s130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1600200</xdr:colOff>
          <xdr:row>0</xdr:row>
          <xdr:rowOff>28575</xdr:rowOff>
        </xdr:from>
        <xdr:to>
          <xdr:col>1</xdr:col>
          <xdr:colOff>3238500</xdr:colOff>
          <xdr:row>0</xdr:row>
          <xdr:rowOff>657225</xdr:rowOff>
        </xdr:to>
        <xdr:sp macro="" textlink="">
          <xdr:nvSpPr>
            <xdr:cNvPr id="130051" name="Portfolioview" hidden="1">
              <a:extLst>
                <a:ext uri="{63B3BB69-23CF-44E3-9099-C40C66FF867C}">
                  <a14:compatExt spid="_x0000_s130051"/>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30</xdr:row>
          <xdr:rowOff>76200</xdr:rowOff>
        </xdr:from>
        <xdr:to>
          <xdr:col>4</xdr:col>
          <xdr:colOff>152400</xdr:colOff>
          <xdr:row>30</xdr:row>
          <xdr:rowOff>847725</xdr:rowOff>
        </xdr:to>
        <xdr:sp macro="" textlink="">
          <xdr:nvSpPr>
            <xdr:cNvPr id="131073" name="ComboBox1" hidden="1">
              <a:extLst>
                <a:ext uri="{63B3BB69-23CF-44E3-9099-C40C66FF867C}">
                  <a14:compatExt spid="_x0000_s131073"/>
                </a:ext>
              </a:extLst>
            </xdr:cNvPr>
            <xdr:cNvSpPr/>
          </xdr:nvSpPr>
          <xdr:spPr>
            <a:xfrm>
              <a:off x="0" y="0"/>
              <a:ext cx="0" cy="0"/>
            </a:xfrm>
            <a:prstGeom prst="rect">
              <a:avLst/>
            </a:prstGeom>
          </xdr:spPr>
        </xdr:sp>
        <xdr:clientData/>
      </xdr:twoCellAnchor>
    </mc:Choice>
    <mc:Fallback/>
  </mc:AlternateContent>
  <xdr:twoCellAnchor>
    <xdr:from>
      <xdr:col>0</xdr:col>
      <xdr:colOff>245920</xdr:colOff>
      <xdr:row>136</xdr:row>
      <xdr:rowOff>51954</xdr:rowOff>
    </xdr:from>
    <xdr:to>
      <xdr:col>5</xdr:col>
      <xdr:colOff>1870364</xdr:colOff>
      <xdr:row>180</xdr:row>
      <xdr:rowOff>51954</xdr:rowOff>
    </xdr:to>
    <xdr:graphicFrame macro="">
      <xdr:nvGraphicFramePr>
        <xdr:cNvPr id="3" name="Diagramm 2" title="Risikoanalys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266700</xdr:colOff>
          <xdr:row>30</xdr:row>
          <xdr:rowOff>38100</xdr:rowOff>
        </xdr:from>
        <xdr:to>
          <xdr:col>1</xdr:col>
          <xdr:colOff>2819400</xdr:colOff>
          <xdr:row>30</xdr:row>
          <xdr:rowOff>847725</xdr:rowOff>
        </xdr:to>
        <xdr:sp macro="" textlink="">
          <xdr:nvSpPr>
            <xdr:cNvPr id="131074" name="Löschbutton" hidden="1">
              <a:extLst>
                <a:ext uri="{63B3BB69-23CF-44E3-9099-C40C66FF867C}">
                  <a14:compatExt spid="_x0000_s131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30</xdr:row>
          <xdr:rowOff>47625</xdr:rowOff>
        </xdr:from>
        <xdr:to>
          <xdr:col>2</xdr:col>
          <xdr:colOff>3324225</xdr:colOff>
          <xdr:row>30</xdr:row>
          <xdr:rowOff>847725</xdr:rowOff>
        </xdr:to>
        <xdr:sp macro="" textlink="">
          <xdr:nvSpPr>
            <xdr:cNvPr id="131075" name="Portfolioview" hidden="1">
              <a:extLst>
                <a:ext uri="{63B3BB69-23CF-44E3-9099-C40C66FF867C}">
                  <a14:compatExt spid="_x0000_s131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30</xdr:row>
          <xdr:rowOff>47625</xdr:rowOff>
        </xdr:from>
        <xdr:to>
          <xdr:col>4</xdr:col>
          <xdr:colOff>0</xdr:colOff>
          <xdr:row>30</xdr:row>
          <xdr:rowOff>847725</xdr:rowOff>
        </xdr:to>
        <xdr:sp macro="" textlink="">
          <xdr:nvSpPr>
            <xdr:cNvPr id="131076" name="Zeileneinfügen" hidden="1">
              <a:extLst>
                <a:ext uri="{63B3BB69-23CF-44E3-9099-C40C66FF867C}">
                  <a14:compatExt spid="_x0000_s131076"/>
                </a:ext>
              </a:extLst>
            </xdr:cNvPr>
            <xdr:cNvSpPr/>
          </xdr:nvSpPr>
          <xdr:spPr>
            <a:xfrm>
              <a:off x="0" y="0"/>
              <a:ext cx="0" cy="0"/>
            </a:xfrm>
            <a:prstGeom prst="rect">
              <a:avLst/>
            </a:prstGeom>
          </xdr:spPr>
        </xdr:sp>
        <xdr:clientData/>
      </xdr:twoCellAnchor>
    </mc:Choice>
    <mc:Fallback/>
  </mc:AlternateContent>
  <xdr:twoCellAnchor>
    <xdr:from>
      <xdr:col>5</xdr:col>
      <xdr:colOff>2216726</xdr:colOff>
      <xdr:row>132</xdr:row>
      <xdr:rowOff>4329</xdr:rowOff>
    </xdr:from>
    <xdr:to>
      <xdr:col>12</xdr:col>
      <xdr:colOff>34634</xdr:colOff>
      <xdr:row>184</xdr:row>
      <xdr:rowOff>17318</xdr:rowOff>
    </xdr:to>
    <xdr:graphicFrame macro="">
      <xdr:nvGraphicFramePr>
        <xdr:cNvPr id="7" name="Bubbl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38100</xdr:colOff>
          <xdr:row>125</xdr:row>
          <xdr:rowOff>38100</xdr:rowOff>
        </xdr:from>
        <xdr:to>
          <xdr:col>8</xdr:col>
          <xdr:colOff>533400</xdr:colOff>
          <xdr:row>128</xdr:row>
          <xdr:rowOff>104775</xdr:rowOff>
        </xdr:to>
        <xdr:sp macro="" textlink="">
          <xdr:nvSpPr>
            <xdr:cNvPr id="131077" name="CommandButton1" hidden="1">
              <a:extLst>
                <a:ext uri="{63B3BB69-23CF-44E3-9099-C40C66FF867C}">
                  <a14:compatExt spid="_x0000_s131077"/>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1600200</xdr:colOff>
          <xdr:row>0</xdr:row>
          <xdr:rowOff>28575</xdr:rowOff>
        </xdr:from>
        <xdr:to>
          <xdr:col>1</xdr:col>
          <xdr:colOff>3400425</xdr:colOff>
          <xdr:row>0</xdr:row>
          <xdr:rowOff>657225</xdr:rowOff>
        </xdr:to>
        <xdr:sp macro="" textlink="">
          <xdr:nvSpPr>
            <xdr:cNvPr id="132097" name="ComboBox1" hidden="1">
              <a:extLst>
                <a:ext uri="{63B3BB69-23CF-44E3-9099-C40C66FF867C}">
                  <a14:compatExt spid="_x0000_s13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28575</xdr:rowOff>
        </xdr:from>
        <xdr:to>
          <xdr:col>1</xdr:col>
          <xdr:colOff>1524000</xdr:colOff>
          <xdr:row>0</xdr:row>
          <xdr:rowOff>657225</xdr:rowOff>
        </xdr:to>
        <xdr:sp macro="" textlink="">
          <xdr:nvSpPr>
            <xdr:cNvPr id="132098" name="Löschbutton" hidden="1">
              <a:extLst>
                <a:ext uri="{63B3BB69-23CF-44E3-9099-C40C66FF867C}">
                  <a14:compatExt spid="_x0000_s132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1600200</xdr:colOff>
          <xdr:row>0</xdr:row>
          <xdr:rowOff>28575</xdr:rowOff>
        </xdr:from>
        <xdr:to>
          <xdr:col>1</xdr:col>
          <xdr:colOff>3238500</xdr:colOff>
          <xdr:row>0</xdr:row>
          <xdr:rowOff>657225</xdr:rowOff>
        </xdr:to>
        <xdr:sp macro="" textlink="">
          <xdr:nvSpPr>
            <xdr:cNvPr id="132099" name="Portfolioview" hidden="1">
              <a:extLst>
                <a:ext uri="{63B3BB69-23CF-44E3-9099-C40C66FF867C}">
                  <a14:compatExt spid="_x0000_s132099"/>
                </a:ext>
              </a:extLst>
            </xdr:cNvPr>
            <xdr:cNvSpPr/>
          </xdr:nvSpPr>
          <xdr:spPr>
            <a:xfrm>
              <a:off x="0" y="0"/>
              <a:ext cx="0" cy="0"/>
            </a:xfrm>
            <a:prstGeom prst="rect">
              <a:avLst/>
            </a:prstGeom>
          </xdr:spPr>
        </xdr:sp>
        <xdr:clientData/>
      </xdr:twoCellAnchor>
    </mc:Choice>
    <mc:Fallback/>
  </mc:AlternateContent>
</xdr:wsDr>
</file>

<file path=xl/tables/table1.xml><?xml version="1.0" encoding="utf-8"?>
<table xmlns="http://schemas.openxmlformats.org/spreadsheetml/2006/main" id="1" name="Tabelle1" displayName="Tabelle1" ref="B6:E118" totalsRowShown="0" headerRowDxfId="3611" headerRowBorderDxfId="3610" tableBorderDxfId="3609">
  <tableColumns count="4">
    <tableColumn id="1" name="Nutzenkriterien für Projekte"/>
    <tableColumn id="2" name="Gewichtung" dataDxfId="3608">
      <calculatedColumnFormula>IF('Modell-Kalibrierung'!C29=0," ",'Modell-Kalibrierung'!C29)</calculatedColumnFormula>
    </tableColumn>
    <tableColumn id="3" name="Bewertung" dataDxfId="3607"/>
    <tableColumn id="4" name="Begründung" dataDxfId="3606"/>
  </tableColumns>
  <tableStyleInfo name="TableStyleMedium16" showFirstColumn="0" showLastColumn="0" showRowStripes="1" showColumnStripes="0"/>
</table>
</file>

<file path=xl/tables/table2.xml><?xml version="1.0" encoding="utf-8"?>
<table xmlns="http://schemas.openxmlformats.org/spreadsheetml/2006/main" id="3" name="Tabelle3" displayName="Tabelle3" ref="B28:C91" totalsRowShown="0" headerRowDxfId="2891" headerRowBorderDxfId="2890" tableBorderDxfId="2889">
  <tableColumns count="2">
    <tableColumn id="1" name="Nutzenkriterien für Projekte" dataDxfId="2888"/>
    <tableColumn id="2" name="Gewichtung" dataDxfId="2887"/>
  </tableColumns>
  <tableStyleInfo name="TableStyleMedium16" showFirstColumn="0" showLastColumn="0" showRowStripes="1" showColumnStripes="0"/>
</table>
</file>

<file path=xl/tables/table3.xml><?xml version="1.0" encoding="utf-8"?>
<table xmlns="http://schemas.openxmlformats.org/spreadsheetml/2006/main" id="5" name="Tabelle5" displayName="Tabelle5" ref="A1:D41" totalsRowShown="0" headerRowDxfId="2886" headerRowBorderDxfId="2885" tableBorderDxfId="2884">
  <tableColumns count="4">
    <tableColumn id="1" name="Projektname" dataDxfId="2883"/>
    <tableColumn id="2" name="Projektrisiko" dataDxfId="2882"/>
    <tableColumn id="3" name="Projektnutzenscore" dataDxfId="2881"/>
    <tableColumn id="4" name="Projektvolumen" dataDxfId="2880"/>
  </tableColumns>
  <tableStyleInfo name="TableStyleMedium16" showFirstColumn="0" showLastColumn="0" showRowStripes="1" showColumnStripes="0"/>
</table>
</file>

<file path=xl/tables/table4.xml><?xml version="1.0" encoding="utf-8"?>
<table xmlns="http://schemas.openxmlformats.org/spreadsheetml/2006/main" id="2" name="Tabelle13" displayName="Tabelle13" ref="B6:E118" totalsRowShown="0" headerRowDxfId="2165" headerRowBorderDxfId="2164" tableBorderDxfId="2163">
  <tableColumns count="4">
    <tableColumn id="1" name="Nutzenkriterien für Projekte">
      <calculatedColumnFormula>IF('Modell-Kalibrierung'!B29=0," ",'Modell-Kalibrierung'!B29)</calculatedColumnFormula>
    </tableColumn>
    <tableColumn id="2" name="Gewichtung" dataDxfId="2162">
      <calculatedColumnFormula>IF('Modell-Kalibrierung'!C29=0," ",'Modell-Kalibrierung'!C29)</calculatedColumnFormula>
    </tableColumn>
    <tableColumn id="3" name="Bewertung" dataDxfId="2161"/>
    <tableColumn id="4" name="Begründung" dataDxfId="2160"/>
  </tableColumns>
  <tableStyleInfo name="TableStyleMedium16" showFirstColumn="0" showLastColumn="0" showRowStripes="1" showColumnStripes="0"/>
</table>
</file>

<file path=xl/tables/table5.xml><?xml version="1.0" encoding="utf-8"?>
<table xmlns="http://schemas.openxmlformats.org/spreadsheetml/2006/main" id="4" name="Tabelle15" displayName="Tabelle15" ref="B6:E118" totalsRowShown="0" headerRowDxfId="1445" headerRowBorderDxfId="1444" tableBorderDxfId="1443">
  <tableColumns count="4">
    <tableColumn id="1" name="Nutzenkriterien für Projekte">
      <calculatedColumnFormula>IF('Modell-Kalibrierung'!B29=0," ",'Modell-Kalibrierung'!B29)</calculatedColumnFormula>
    </tableColumn>
    <tableColumn id="2" name="Gewichtung" dataDxfId="1442">
      <calculatedColumnFormula>IF('Modell-Kalibrierung'!C29=0," ",'Modell-Kalibrierung'!C29)</calculatedColumnFormula>
    </tableColumn>
    <tableColumn id="3" name="Bewertung" dataDxfId="1441"/>
    <tableColumn id="4" name="Begründung" dataDxfId="1440"/>
  </tableColumns>
  <tableStyleInfo name="TableStyleMedium16" showFirstColumn="0" showLastColumn="0" showRowStripes="1" showColumnStripes="0"/>
</table>
</file>

<file path=xl/tables/table6.xml><?xml version="1.0" encoding="utf-8"?>
<table xmlns="http://schemas.openxmlformats.org/spreadsheetml/2006/main" id="6" name="Tabelle17" displayName="Tabelle17" ref="B6:E118" totalsRowShown="0" headerRowDxfId="725" headerRowBorderDxfId="724" tableBorderDxfId="723">
  <tableColumns count="4">
    <tableColumn id="1" name="Nutzenkriterien für Projekte">
      <calculatedColumnFormula>IF('Modell-Kalibrierung'!B29=0," ",'Modell-Kalibrierung'!B29)</calculatedColumnFormula>
    </tableColumn>
    <tableColumn id="2" name="Gewichtung" dataDxfId="722">
      <calculatedColumnFormula>IF('Modell-Kalibrierung'!C29=0," ",'Modell-Kalibrierung'!C29)</calculatedColumnFormula>
    </tableColumn>
    <tableColumn id="3" name="Bewertung" dataDxfId="721"/>
    <tableColumn id="4" name="Begründung" dataDxfId="720"/>
  </tableColumns>
  <tableStyleInfo name="TableStyleMedium16" showFirstColumn="0" showLastColumn="0" showRowStripes="1" showColumnStripes="0"/>
</table>
</file>

<file path=xl/tables/table7.xml><?xml version="1.0" encoding="utf-8"?>
<table xmlns="http://schemas.openxmlformats.org/spreadsheetml/2006/main" id="7" name="Tabelle18" displayName="Tabelle18" ref="B6:E118" totalsRowShown="0" headerRowDxfId="5" headerRowBorderDxfId="4" tableBorderDxfId="3">
  <tableColumns count="4">
    <tableColumn id="1" name="Nutzenkriterien für Projekte">
      <calculatedColumnFormula>IF('Modell-Kalibrierung'!B29=0," ",'Modell-Kalibrierung'!B29)</calculatedColumnFormula>
    </tableColumn>
    <tableColumn id="2" name="Gewichtung" dataDxfId="2">
      <calculatedColumnFormula>IF('Modell-Kalibrierung'!C29=0," ",'Modell-Kalibrierung'!C29)</calculatedColumnFormula>
    </tableColumn>
    <tableColumn id="3" name="Bewertung" dataDxfId="1"/>
    <tableColumn id="4" name="Begründung" dataDxfId="0"/>
  </tableColumns>
  <tableStyleInfo name="TableStyleMedium16" showFirstColumn="0" showLastColumn="0" showRowStripes="1" showColumnStripes="0"/>
</table>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mments" Target="../comments1.xml"/><Relationship Id="rId5" Type="http://schemas.openxmlformats.org/officeDocument/2006/relationships/image" Target="../media/image1.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8.emf"/><Relationship Id="rId3" Type="http://schemas.openxmlformats.org/officeDocument/2006/relationships/vmlDrawing" Target="../drawings/vmlDrawing2.vml"/><Relationship Id="rId7" Type="http://schemas.openxmlformats.org/officeDocument/2006/relationships/image" Target="../media/image5.emf"/><Relationship Id="rId12" Type="http://schemas.openxmlformats.org/officeDocument/2006/relationships/control" Target="../activeX/activeX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11" Type="http://schemas.openxmlformats.org/officeDocument/2006/relationships/image" Target="../media/image7.emf"/><Relationship Id="rId5" Type="http://schemas.openxmlformats.org/officeDocument/2006/relationships/image" Target="../media/image4.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3.vml"/><Relationship Id="rId7" Type="http://schemas.openxmlformats.org/officeDocument/2006/relationships/image" Target="../media/image11.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10.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2.xml"/><Relationship Id="rId4" Type="http://schemas.openxmlformats.org/officeDocument/2006/relationships/control" Target="../activeX/activeX9.xml"/><Relationship Id="rId9" Type="http://schemas.openxmlformats.org/officeDocument/2006/relationships/image" Target="../media/image12.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2.xml"/><Relationship Id="rId5" Type="http://schemas.openxmlformats.org/officeDocument/2006/relationships/image" Target="../media/image15.emf"/><Relationship Id="rId4" Type="http://schemas.openxmlformats.org/officeDocument/2006/relationships/control" Target="../activeX/activeX1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image" Target="../media/image17.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15.xml"/><Relationship Id="rId5" Type="http://schemas.openxmlformats.org/officeDocument/2006/relationships/image" Target="../media/image16.emf"/><Relationship Id="rId4" Type="http://schemas.openxmlformats.org/officeDocument/2006/relationships/control" Target="../activeX/activeX14.xml"/><Relationship Id="rId9"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2.emf"/><Relationship Id="rId3" Type="http://schemas.openxmlformats.org/officeDocument/2006/relationships/vmlDrawing" Target="../drawings/vmlDrawing6.vml"/><Relationship Id="rId7" Type="http://schemas.openxmlformats.org/officeDocument/2006/relationships/image" Target="../media/image19.emf"/><Relationship Id="rId12" Type="http://schemas.openxmlformats.org/officeDocument/2006/relationships/control" Target="../activeX/activeX20.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17.xml"/><Relationship Id="rId11" Type="http://schemas.openxmlformats.org/officeDocument/2006/relationships/image" Target="../media/image21.emf"/><Relationship Id="rId5" Type="http://schemas.openxmlformats.org/officeDocument/2006/relationships/image" Target="../media/image8.emf"/><Relationship Id="rId10" Type="http://schemas.openxmlformats.org/officeDocument/2006/relationships/control" Target="../activeX/activeX19.xml"/><Relationship Id="rId4" Type="http://schemas.openxmlformats.org/officeDocument/2006/relationships/control" Target="../activeX/activeX16.xml"/><Relationship Id="rId9" Type="http://schemas.openxmlformats.org/officeDocument/2006/relationships/image" Target="../media/image20.emf"/><Relationship Id="rId1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3.xml"/><Relationship Id="rId3" Type="http://schemas.openxmlformats.org/officeDocument/2006/relationships/vmlDrawing" Target="../drawings/vmlDrawing7.vml"/><Relationship Id="rId7" Type="http://schemas.openxmlformats.org/officeDocument/2006/relationships/image" Target="../media/image23.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22.xml"/><Relationship Id="rId11" Type="http://schemas.openxmlformats.org/officeDocument/2006/relationships/comments" Target="../comments6.xml"/><Relationship Id="rId5" Type="http://schemas.openxmlformats.org/officeDocument/2006/relationships/image" Target="../media/image3.emf"/><Relationship Id="rId10" Type="http://schemas.openxmlformats.org/officeDocument/2006/relationships/table" Target="../tables/table4.xml"/><Relationship Id="rId4" Type="http://schemas.openxmlformats.org/officeDocument/2006/relationships/control" Target="../activeX/activeX21.xml"/><Relationship Id="rId9" Type="http://schemas.openxmlformats.org/officeDocument/2006/relationships/image" Target="../media/image24.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28.emf"/><Relationship Id="rId3" Type="http://schemas.openxmlformats.org/officeDocument/2006/relationships/vmlDrawing" Target="../drawings/vmlDrawing8.vml"/><Relationship Id="rId7" Type="http://schemas.openxmlformats.org/officeDocument/2006/relationships/image" Target="../media/image25.emf"/><Relationship Id="rId12" Type="http://schemas.openxmlformats.org/officeDocument/2006/relationships/control" Target="../activeX/activeX2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ntrol" Target="../activeX/activeX25.xml"/><Relationship Id="rId11" Type="http://schemas.openxmlformats.org/officeDocument/2006/relationships/image" Target="../media/image27.emf"/><Relationship Id="rId5" Type="http://schemas.openxmlformats.org/officeDocument/2006/relationships/image" Target="../media/image8.emf"/><Relationship Id="rId10" Type="http://schemas.openxmlformats.org/officeDocument/2006/relationships/control" Target="../activeX/activeX27.xml"/><Relationship Id="rId4" Type="http://schemas.openxmlformats.org/officeDocument/2006/relationships/control" Target="../activeX/activeX24.xml"/><Relationship Id="rId9" Type="http://schemas.openxmlformats.org/officeDocument/2006/relationships/image" Target="../media/image26.emf"/><Relationship Id="rId1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9.vml"/><Relationship Id="rId7" Type="http://schemas.openxmlformats.org/officeDocument/2006/relationships/image" Target="../media/image29.emf"/><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ntrol" Target="../activeX/activeX30.xml"/><Relationship Id="rId11" Type="http://schemas.openxmlformats.org/officeDocument/2006/relationships/comments" Target="../comments8.xml"/><Relationship Id="rId5" Type="http://schemas.openxmlformats.org/officeDocument/2006/relationships/image" Target="../media/image3.emf"/><Relationship Id="rId10" Type="http://schemas.openxmlformats.org/officeDocument/2006/relationships/table" Target="../tables/table5.xml"/><Relationship Id="rId4" Type="http://schemas.openxmlformats.org/officeDocument/2006/relationships/control" Target="../activeX/activeX29.xml"/><Relationship Id="rId9" Type="http://schemas.openxmlformats.org/officeDocument/2006/relationships/image" Target="../media/image30.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4.xml"/><Relationship Id="rId13" Type="http://schemas.openxmlformats.org/officeDocument/2006/relationships/image" Target="../media/image34.emf"/><Relationship Id="rId3" Type="http://schemas.openxmlformats.org/officeDocument/2006/relationships/vmlDrawing" Target="../drawings/vmlDrawing10.vml"/><Relationship Id="rId7" Type="http://schemas.openxmlformats.org/officeDocument/2006/relationships/image" Target="../media/image31.emf"/><Relationship Id="rId12" Type="http://schemas.openxmlformats.org/officeDocument/2006/relationships/control" Target="../activeX/activeX3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33.xml"/><Relationship Id="rId11" Type="http://schemas.openxmlformats.org/officeDocument/2006/relationships/image" Target="../media/image33.emf"/><Relationship Id="rId5" Type="http://schemas.openxmlformats.org/officeDocument/2006/relationships/image" Target="../media/image8.emf"/><Relationship Id="rId10" Type="http://schemas.openxmlformats.org/officeDocument/2006/relationships/control" Target="../activeX/activeX35.xml"/><Relationship Id="rId4" Type="http://schemas.openxmlformats.org/officeDocument/2006/relationships/control" Target="../activeX/activeX32.xml"/><Relationship Id="rId9" Type="http://schemas.openxmlformats.org/officeDocument/2006/relationships/image" Target="../media/image32.emf"/><Relationship Id="rId1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9.xml"/><Relationship Id="rId3" Type="http://schemas.openxmlformats.org/officeDocument/2006/relationships/vmlDrawing" Target="../drawings/vmlDrawing11.vml"/><Relationship Id="rId7" Type="http://schemas.openxmlformats.org/officeDocument/2006/relationships/image" Target="../media/image35.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38.xml"/><Relationship Id="rId11" Type="http://schemas.openxmlformats.org/officeDocument/2006/relationships/comments" Target="../comments10.xml"/><Relationship Id="rId5" Type="http://schemas.openxmlformats.org/officeDocument/2006/relationships/image" Target="../media/image3.emf"/><Relationship Id="rId10" Type="http://schemas.openxmlformats.org/officeDocument/2006/relationships/table" Target="../tables/table6.xml"/><Relationship Id="rId4" Type="http://schemas.openxmlformats.org/officeDocument/2006/relationships/control" Target="../activeX/activeX37.xml"/><Relationship Id="rId9" Type="http://schemas.openxmlformats.org/officeDocument/2006/relationships/image" Target="../media/image36.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42.xml"/><Relationship Id="rId13" Type="http://schemas.openxmlformats.org/officeDocument/2006/relationships/image" Target="../media/image40.emf"/><Relationship Id="rId3" Type="http://schemas.openxmlformats.org/officeDocument/2006/relationships/vmlDrawing" Target="../drawings/vmlDrawing12.vml"/><Relationship Id="rId7" Type="http://schemas.openxmlformats.org/officeDocument/2006/relationships/image" Target="../media/image37.emf"/><Relationship Id="rId12" Type="http://schemas.openxmlformats.org/officeDocument/2006/relationships/control" Target="../activeX/activeX44.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ntrol" Target="../activeX/activeX41.xml"/><Relationship Id="rId11" Type="http://schemas.openxmlformats.org/officeDocument/2006/relationships/image" Target="../media/image39.emf"/><Relationship Id="rId5" Type="http://schemas.openxmlformats.org/officeDocument/2006/relationships/image" Target="../media/image8.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38.emf"/><Relationship Id="rId1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47.xml"/><Relationship Id="rId3" Type="http://schemas.openxmlformats.org/officeDocument/2006/relationships/vmlDrawing" Target="../drawings/vmlDrawing13.vml"/><Relationship Id="rId7" Type="http://schemas.openxmlformats.org/officeDocument/2006/relationships/image" Target="../media/image41.emf"/><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ntrol" Target="../activeX/activeX46.xml"/><Relationship Id="rId11" Type="http://schemas.openxmlformats.org/officeDocument/2006/relationships/comments" Target="../comments12.xml"/><Relationship Id="rId5" Type="http://schemas.openxmlformats.org/officeDocument/2006/relationships/image" Target="../media/image3.emf"/><Relationship Id="rId10" Type="http://schemas.openxmlformats.org/officeDocument/2006/relationships/table" Target="../tables/table7.xml"/><Relationship Id="rId4" Type="http://schemas.openxmlformats.org/officeDocument/2006/relationships/control" Target="../activeX/activeX45.xml"/><Relationship Id="rId9" Type="http://schemas.openxmlformats.org/officeDocument/2006/relationships/image" Target="../media/image4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enableFormatConditionsCalculation="0">
    <tabColor rgb="FF92D050"/>
    <pageSetUpPr fitToPage="1"/>
  </sheetPr>
  <dimension ref="A1:H249"/>
  <sheetViews>
    <sheetView view="pageBreakPreview" zoomScale="75" zoomScaleNormal="100" zoomScaleSheetLayoutView="75" workbookViewId="0">
      <selection activeCell="D24" sqref="D24"/>
    </sheetView>
  </sheetViews>
  <sheetFormatPr baseColWidth="10" defaultRowHeight="14.25" x14ac:dyDescent="0.2"/>
  <cols>
    <col min="1" max="1" width="1.875" customWidth="1"/>
    <col min="2" max="2" width="50.625" bestFit="1" customWidth="1"/>
    <col min="3" max="3" width="35.125" customWidth="1"/>
    <col min="4" max="4" width="13" customWidth="1"/>
    <col min="5" max="5" width="47.375" style="18" customWidth="1"/>
    <col min="6" max="6" width="2.125" bestFit="1" customWidth="1"/>
    <col min="8" max="8" width="19.125" customWidth="1"/>
  </cols>
  <sheetData>
    <row r="1" spans="1:8" ht="52.5" customHeight="1" x14ac:dyDescent="0.2">
      <c r="A1" s="56"/>
      <c r="B1" s="122"/>
      <c r="C1" s="122"/>
      <c r="D1" s="122"/>
      <c r="E1" s="122"/>
      <c r="F1" s="122"/>
      <c r="G1" s="122"/>
      <c r="H1" s="122"/>
    </row>
    <row r="2" spans="1:8" ht="54" customHeight="1" x14ac:dyDescent="0.2">
      <c r="A2" s="36"/>
      <c r="B2" s="52" t="s">
        <v>61</v>
      </c>
      <c r="C2" s="40">
        <f>F6</f>
        <v>0</v>
      </c>
      <c r="D2" s="36"/>
      <c r="E2" s="54"/>
      <c r="F2" s="36"/>
      <c r="G2" s="36"/>
      <c r="H2" s="36"/>
    </row>
    <row r="3" spans="1:8" ht="42.75" customHeight="1" x14ac:dyDescent="0.2">
      <c r="A3" s="36"/>
      <c r="B3" s="53" t="s">
        <v>63</v>
      </c>
      <c r="C3" s="55"/>
      <c r="D3" s="36"/>
      <c r="E3" s="54"/>
      <c r="F3" s="36"/>
      <c r="G3" s="36"/>
      <c r="H3" s="36"/>
    </row>
    <row r="4" spans="1:8" x14ac:dyDescent="0.2">
      <c r="A4" s="36"/>
      <c r="B4" s="36"/>
      <c r="C4" s="36"/>
      <c r="D4" s="36"/>
      <c r="E4" s="54"/>
      <c r="F4" s="36"/>
      <c r="G4" s="36"/>
      <c r="H4" s="36"/>
    </row>
    <row r="5" spans="1:8" ht="15" thickBot="1" x14ac:dyDescent="0.25">
      <c r="A5" s="36"/>
      <c r="B5" s="36"/>
      <c r="C5" s="36"/>
      <c r="D5" s="36"/>
      <c r="E5" s="54"/>
      <c r="F5" s="36"/>
      <c r="G5" s="36"/>
      <c r="H5" s="36"/>
    </row>
    <row r="6" spans="1:8" ht="15.75" thickBot="1" x14ac:dyDescent="0.3">
      <c r="A6" s="36"/>
      <c r="B6" s="41" t="s">
        <v>56</v>
      </c>
      <c r="C6" s="19" t="s">
        <v>48</v>
      </c>
      <c r="D6" s="22" t="s">
        <v>57</v>
      </c>
      <c r="E6" s="19" t="s">
        <v>66</v>
      </c>
      <c r="F6" s="54">
        <f>SUM(F7:F102)</f>
        <v>0</v>
      </c>
      <c r="G6" s="123" t="s">
        <v>67</v>
      </c>
      <c r="H6" s="124"/>
    </row>
    <row r="7" spans="1:8" ht="15.75" thickBot="1" x14ac:dyDescent="0.3">
      <c r="A7" s="36"/>
      <c r="B7" s="57" t="str">
        <f>IF('Modell-Kalibrierung'!B29=0," ",'Modell-Kalibrierung'!B29)</f>
        <v>Strategische Bedeutung/ Beitrag zur Unternehmensstrategie</v>
      </c>
      <c r="C7" s="21" t="str">
        <f>IF('Modell-Kalibrierung'!C29=0," ",'Modell-Kalibrierung'!C29)</f>
        <v>sehr wichtig</v>
      </c>
      <c r="D7" s="58"/>
      <c r="E7" s="117"/>
      <c r="F7" s="54">
        <f>IF(C7=" "," ",(VLOOKUP(C7,'Modell-Kalibrierung'!$H$28:$I$32,2,FALSE))*D7)</f>
        <v>0</v>
      </c>
      <c r="G7" s="26" t="s">
        <v>50</v>
      </c>
      <c r="H7" s="27" t="s">
        <v>58</v>
      </c>
    </row>
    <row r="8" spans="1:8" x14ac:dyDescent="0.2">
      <c r="A8" s="36"/>
      <c r="B8" s="57" t="str">
        <f>IF('Modell-Kalibrierung'!B30=0," ",'Modell-Kalibrierung'!B30)</f>
        <v>Wirtschaftlichkeit Kosten/Nutzenrelation)</v>
      </c>
      <c r="C8" s="21" t="str">
        <f>IF('Modell-Kalibrierung'!C30=0," ",'Modell-Kalibrierung'!C30)</f>
        <v>wichtig</v>
      </c>
      <c r="D8" s="58"/>
      <c r="E8" s="117"/>
      <c r="F8" s="54">
        <f>IF(C8=" "," ",(VLOOKUP(C8,'Modell-Kalibrierung'!$H$28:$I$32,2,FALSE))*D8)</f>
        <v>0</v>
      </c>
      <c r="G8" s="28">
        <f>'Modell-Kalibrierung'!E29</f>
        <v>1</v>
      </c>
      <c r="H8" s="29" t="str">
        <f>IF('Modell-Kalibrierung'!F29=0," ",'Modell-Kalibrierung'!F29)</f>
        <v>sehr gering/ schlecht</v>
      </c>
    </row>
    <row r="9" spans="1:8" x14ac:dyDescent="0.2">
      <c r="A9" s="36"/>
      <c r="B9" s="57" t="str">
        <f>IF('Modell-Kalibrierung'!B31=0," ",'Modell-Kalibrierung'!B31)</f>
        <v>Operative Dringlichkeit</v>
      </c>
      <c r="C9" s="21" t="str">
        <f>IF('Modell-Kalibrierung'!C31=0," ",'Modell-Kalibrierung'!C31)</f>
        <v>weniger wichtig</v>
      </c>
      <c r="D9" s="58"/>
      <c r="E9" s="117"/>
      <c r="F9" s="54">
        <f>IF(C9=" "," ",(VLOOKUP(C9,'Modell-Kalibrierung'!$H$28:$I$32,2,FALSE))*D9)</f>
        <v>0</v>
      </c>
      <c r="G9" s="30">
        <f>'Modell-Kalibrierung'!E30</f>
        <v>2</v>
      </c>
      <c r="H9" s="31" t="str">
        <f>IF('Modell-Kalibrierung'!F30=0," ",'Modell-Kalibrierung'!F30)</f>
        <v xml:space="preserve"> </v>
      </c>
    </row>
    <row r="10" spans="1:8" x14ac:dyDescent="0.2">
      <c r="A10" s="36"/>
      <c r="B10" s="57" t="str">
        <f>IF('Modell-Kalibrierung'!B32=0," ",'Modell-Kalibrierung'!B32)</f>
        <v>Wichtigkeit des Kunden</v>
      </c>
      <c r="C10" s="21" t="str">
        <f>IF('Modell-Kalibrierung'!C32=0," ",'Modell-Kalibrierung'!C32)</f>
        <v>sehr wichtig</v>
      </c>
      <c r="D10" s="58"/>
      <c r="E10" s="117"/>
      <c r="F10" s="54">
        <f>IF(C10=" "," ",(VLOOKUP(C10,'Modell-Kalibrierung'!$H$28:$I$32,2,FALSE))*D10)</f>
        <v>0</v>
      </c>
      <c r="G10" s="30">
        <f>'Modell-Kalibrierung'!E31</f>
        <v>3</v>
      </c>
      <c r="H10" s="31" t="str">
        <f>IF('Modell-Kalibrierung'!F31=0," ",'Modell-Kalibrierung'!F31)</f>
        <v xml:space="preserve"> </v>
      </c>
    </row>
    <row r="11" spans="1:8" x14ac:dyDescent="0.2">
      <c r="A11" s="36"/>
      <c r="B11" s="57" t="str">
        <f>IF('Modell-Kalibrierung'!B33=0," ",'Modell-Kalibrierung'!B33)</f>
        <v>Markt/ Wettbewerbssituation</v>
      </c>
      <c r="C11" s="21" t="str">
        <f>IF('Modell-Kalibrierung'!C33=0," ",'Modell-Kalibrierung'!C33)</f>
        <v>kann vernachlässigt werden</v>
      </c>
      <c r="D11" s="58"/>
      <c r="E11" s="117"/>
      <c r="F11" s="54">
        <f>IF(C11=" "," ",(VLOOKUP(C11,'Modell-Kalibrierung'!$H$28:$I$32,2,FALSE))*D11)</f>
        <v>0</v>
      </c>
      <c r="G11" s="30">
        <f>'Modell-Kalibrierung'!E32</f>
        <v>4</v>
      </c>
      <c r="H11" s="31" t="str">
        <f>IF('Modell-Kalibrierung'!F32=0," ",'Modell-Kalibrierung'!F32)</f>
        <v xml:space="preserve"> </v>
      </c>
    </row>
    <row r="12" spans="1:8" x14ac:dyDescent="0.2">
      <c r="A12" s="36"/>
      <c r="B12" s="57" t="str">
        <f>IF('Modell-Kalibrierung'!B34=0," ",'Modell-Kalibrierung'!B34)</f>
        <v>Reputation</v>
      </c>
      <c r="C12" s="21" t="str">
        <f>IF('Modell-Kalibrierung'!C34=0," ",'Modell-Kalibrierung'!C34)</f>
        <v>wichtig</v>
      </c>
      <c r="D12" s="58"/>
      <c r="E12" s="117"/>
      <c r="F12" s="54">
        <f>IF(C12=" "," ",(VLOOKUP(C12,'Modell-Kalibrierung'!$H$28:$I$32,2,FALSE))*D12)</f>
        <v>0</v>
      </c>
      <c r="G12" s="30">
        <f>'Modell-Kalibrierung'!E33</f>
        <v>5</v>
      </c>
      <c r="H12" s="31" t="str">
        <f>IF('Modell-Kalibrierung'!F33=0," ",'Modell-Kalibrierung'!F33)</f>
        <v xml:space="preserve"> </v>
      </c>
    </row>
    <row r="13" spans="1:8" x14ac:dyDescent="0.2">
      <c r="A13" s="36"/>
      <c r="B13" s="57" t="str">
        <f>IF('Modell-Kalibrierung'!B35=0," ",'Modell-Kalibrierung'!B35)</f>
        <v xml:space="preserve"> </v>
      </c>
      <c r="C13" s="21" t="str">
        <f>IF('Modell-Kalibrierung'!C35=0," ",'Modell-Kalibrierung'!C35)</f>
        <v xml:space="preserve"> </v>
      </c>
      <c r="D13" s="58"/>
      <c r="E13" s="117"/>
      <c r="F13" s="54" t="str">
        <f>IF(C13=" "," ",(VLOOKUP(C13,'Modell-Kalibrierung'!$H$28:$I$32,2,FALSE))*D13)</f>
        <v xml:space="preserve"> </v>
      </c>
      <c r="G13" s="30">
        <f>'Modell-Kalibrierung'!E34</f>
        <v>6</v>
      </c>
      <c r="H13" s="31" t="str">
        <f>IF('Modell-Kalibrierung'!F34=0," ",'Modell-Kalibrierung'!F34)</f>
        <v xml:space="preserve"> </v>
      </c>
    </row>
    <row r="14" spans="1:8" x14ac:dyDescent="0.2">
      <c r="A14" s="36"/>
      <c r="B14" s="57" t="str">
        <f>IF('Modell-Kalibrierung'!B36=0," ",'Modell-Kalibrierung'!B36)</f>
        <v xml:space="preserve"> </v>
      </c>
      <c r="C14" s="21" t="str">
        <f>IF('Modell-Kalibrierung'!C36=0," ",'Modell-Kalibrierung'!C36)</f>
        <v xml:space="preserve"> </v>
      </c>
      <c r="D14" s="58"/>
      <c r="E14" s="117"/>
      <c r="F14" s="54" t="str">
        <f>IF(C14=" "," ",(VLOOKUP(C14,'Modell-Kalibrierung'!$H$28:$I$32,2,FALSE))*D14)</f>
        <v xml:space="preserve"> </v>
      </c>
      <c r="G14" s="30">
        <f>'Modell-Kalibrierung'!E35</f>
        <v>7</v>
      </c>
      <c r="H14" s="31" t="str">
        <f>IF('Modell-Kalibrierung'!F35=0," ",'Modell-Kalibrierung'!F35)</f>
        <v xml:space="preserve"> </v>
      </c>
    </row>
    <row r="15" spans="1:8" ht="15" thickBot="1" x14ac:dyDescent="0.25">
      <c r="A15" s="36"/>
      <c r="B15" s="57" t="str">
        <f>IF('Modell-Kalibrierung'!B37=0," ",'Modell-Kalibrierung'!B37)</f>
        <v xml:space="preserve"> </v>
      </c>
      <c r="C15" s="21" t="str">
        <f>IF('Modell-Kalibrierung'!C37=0," ",'Modell-Kalibrierung'!C37)</f>
        <v xml:space="preserve"> </v>
      </c>
      <c r="D15" s="58"/>
      <c r="E15" s="117"/>
      <c r="F15" s="54" t="str">
        <f>IF(C15=" "," ",(VLOOKUP(C15,'Modell-Kalibrierung'!$H$28:$I$32,2,FALSE))*D15)</f>
        <v xml:space="preserve"> </v>
      </c>
      <c r="G15" s="32">
        <f>'Modell-Kalibrierung'!E36</f>
        <v>8</v>
      </c>
      <c r="H15" s="33" t="str">
        <f>IF('Modell-Kalibrierung'!F36=0," ",'Modell-Kalibrierung'!F36)</f>
        <v>sehr hoch/ gut</v>
      </c>
    </row>
    <row r="16" spans="1:8" x14ac:dyDescent="0.2">
      <c r="A16" s="36"/>
      <c r="B16" s="57" t="str">
        <f>IF('Modell-Kalibrierung'!B38=0," ",'Modell-Kalibrierung'!B38)</f>
        <v xml:space="preserve"> </v>
      </c>
      <c r="C16" s="21" t="str">
        <f>IF('Modell-Kalibrierung'!C38=0," ",'Modell-Kalibrierung'!C38)</f>
        <v xml:space="preserve"> </v>
      </c>
      <c r="D16" s="58"/>
      <c r="E16" s="117"/>
      <c r="F16" s="54" t="str">
        <f>IF(C16=" "," ",(VLOOKUP(C16,'Modell-Kalibrierung'!$H$28:$I$32,2,FALSE))*D16)</f>
        <v xml:space="preserve"> </v>
      </c>
      <c r="G16" s="36"/>
      <c r="H16" s="36"/>
    </row>
    <row r="17" spans="1:8" x14ac:dyDescent="0.2">
      <c r="A17" s="36"/>
      <c r="B17" s="57" t="str">
        <f>IF('Modell-Kalibrierung'!B39=0," ",'Modell-Kalibrierung'!B39)</f>
        <v xml:space="preserve"> </v>
      </c>
      <c r="C17" s="21" t="str">
        <f>IF('Modell-Kalibrierung'!C39=0," ",'Modell-Kalibrierung'!C39)</f>
        <v xml:space="preserve"> </v>
      </c>
      <c r="D17" s="58"/>
      <c r="E17" s="117"/>
      <c r="F17" s="54" t="str">
        <f>IF(C17=" "," ",(VLOOKUP(C17,'Modell-Kalibrierung'!$H$28:$I$32,2,FALSE))*D17)</f>
        <v xml:space="preserve"> </v>
      </c>
      <c r="G17" s="36"/>
      <c r="H17" s="36"/>
    </row>
    <row r="18" spans="1:8" x14ac:dyDescent="0.2">
      <c r="A18" s="36"/>
      <c r="B18" s="57" t="str">
        <f>IF('Modell-Kalibrierung'!B40=0," ",'Modell-Kalibrierung'!B40)</f>
        <v xml:space="preserve"> </v>
      </c>
      <c r="C18" s="21" t="str">
        <f>IF('Modell-Kalibrierung'!C40=0," ",'Modell-Kalibrierung'!C40)</f>
        <v xml:space="preserve"> </v>
      </c>
      <c r="D18" s="58"/>
      <c r="E18" s="117"/>
      <c r="F18" s="54" t="str">
        <f>IF(C18=" "," ",(VLOOKUP(C18,'Modell-Kalibrierung'!$H$28:$I$32,2,FALSE))*D18)</f>
        <v xml:space="preserve"> </v>
      </c>
      <c r="G18" s="36"/>
      <c r="H18" s="36"/>
    </row>
    <row r="19" spans="1:8" x14ac:dyDescent="0.2">
      <c r="A19" s="36"/>
      <c r="B19" s="57" t="str">
        <f>IF('Modell-Kalibrierung'!B41=0," ",'Modell-Kalibrierung'!B41)</f>
        <v xml:space="preserve"> </v>
      </c>
      <c r="C19" s="21" t="str">
        <f>IF('Modell-Kalibrierung'!C41=0," ",'Modell-Kalibrierung'!C41)</f>
        <v xml:space="preserve"> </v>
      </c>
      <c r="D19" s="58"/>
      <c r="E19" s="117"/>
      <c r="F19" s="54" t="str">
        <f>IF(C19=" "," ",(VLOOKUP(C19,'Modell-Kalibrierung'!$H$28:$I$32,2,FALSE))*D19)</f>
        <v xml:space="preserve"> </v>
      </c>
      <c r="G19" s="36"/>
      <c r="H19" s="36"/>
    </row>
    <row r="20" spans="1:8" x14ac:dyDescent="0.2">
      <c r="A20" s="36"/>
      <c r="B20" s="57" t="str">
        <f>IF('Modell-Kalibrierung'!B42=0," ",'Modell-Kalibrierung'!B42)</f>
        <v xml:space="preserve"> </v>
      </c>
      <c r="C20" s="21" t="str">
        <f>IF('Modell-Kalibrierung'!C42=0," ",'Modell-Kalibrierung'!C42)</f>
        <v xml:space="preserve"> </v>
      </c>
      <c r="D20" s="58"/>
      <c r="E20" s="117"/>
      <c r="F20" s="54" t="str">
        <f>IF(C20=" "," ",(VLOOKUP(C20,'Modell-Kalibrierung'!$H$28:$I$32,2,FALSE))*D20)</f>
        <v xml:space="preserve"> </v>
      </c>
      <c r="G20" s="36"/>
      <c r="H20" s="36"/>
    </row>
    <row r="21" spans="1:8" x14ac:dyDescent="0.2">
      <c r="A21" s="36"/>
      <c r="B21" s="57" t="str">
        <f>IF('Modell-Kalibrierung'!B43=0," ",'Modell-Kalibrierung'!B43)</f>
        <v xml:space="preserve"> </v>
      </c>
      <c r="C21" s="21" t="str">
        <f>IF('Modell-Kalibrierung'!C43=0," ",'Modell-Kalibrierung'!C43)</f>
        <v xml:space="preserve"> </v>
      </c>
      <c r="D21" s="58"/>
      <c r="E21" s="117"/>
      <c r="F21" s="54" t="str">
        <f>IF(C21=" "," ",(VLOOKUP(C21,'Modell-Kalibrierung'!$H$28:$I$32,2,FALSE))*D21)</f>
        <v xml:space="preserve"> </v>
      </c>
      <c r="G21" s="36"/>
      <c r="H21" s="36"/>
    </row>
    <row r="22" spans="1:8" x14ac:dyDescent="0.2">
      <c r="A22" s="36"/>
      <c r="B22" s="57" t="str">
        <f>IF('Modell-Kalibrierung'!B44=0," ",'Modell-Kalibrierung'!B44)</f>
        <v xml:space="preserve"> </v>
      </c>
      <c r="C22" s="21" t="str">
        <f>IF('Modell-Kalibrierung'!C44=0," ",'Modell-Kalibrierung'!C44)</f>
        <v xml:space="preserve"> </v>
      </c>
      <c r="D22" s="58"/>
      <c r="E22" s="117"/>
      <c r="F22" s="54" t="str">
        <f>IF(C22=" "," ",(VLOOKUP(C22,'Modell-Kalibrierung'!$H$28:$I$32,2,FALSE))*D22)</f>
        <v xml:space="preserve"> </v>
      </c>
      <c r="G22" s="36"/>
      <c r="H22" s="36"/>
    </row>
    <row r="23" spans="1:8" x14ac:dyDescent="0.2">
      <c r="A23" s="36"/>
      <c r="B23" s="57" t="str">
        <f>IF('Modell-Kalibrierung'!B45=0," ",'Modell-Kalibrierung'!B45)</f>
        <v xml:space="preserve"> </v>
      </c>
      <c r="C23" s="21" t="str">
        <f>IF('Modell-Kalibrierung'!C45=0," ",'Modell-Kalibrierung'!C45)</f>
        <v xml:space="preserve"> </v>
      </c>
      <c r="D23" s="58"/>
      <c r="E23" s="117"/>
      <c r="F23" s="54" t="str">
        <f>IF(C23=" "," ",(VLOOKUP(C23,'Modell-Kalibrierung'!$H$28:$I$32,2,FALSE))*D23)</f>
        <v xml:space="preserve"> </v>
      </c>
      <c r="G23" s="36"/>
      <c r="H23" s="36"/>
    </row>
    <row r="24" spans="1:8" x14ac:dyDescent="0.2">
      <c r="A24" s="36"/>
      <c r="B24" s="57" t="str">
        <f>IF('Modell-Kalibrierung'!B46=0," ",'Modell-Kalibrierung'!B46)</f>
        <v xml:space="preserve"> </v>
      </c>
      <c r="C24" s="21" t="str">
        <f>IF('Modell-Kalibrierung'!C46=0," ",'Modell-Kalibrierung'!C46)</f>
        <v xml:space="preserve"> </v>
      </c>
      <c r="D24" s="58"/>
      <c r="E24" s="117"/>
      <c r="F24" s="54" t="str">
        <f>IF(C24=" "," ",(VLOOKUP(C24,'Modell-Kalibrierung'!$H$28:$I$32,2,FALSE))*D24)</f>
        <v xml:space="preserve"> </v>
      </c>
      <c r="G24" s="36"/>
      <c r="H24" s="36"/>
    </row>
    <row r="25" spans="1:8" x14ac:dyDescent="0.2">
      <c r="A25" s="36"/>
      <c r="B25" s="57" t="str">
        <f>IF('Modell-Kalibrierung'!B47=0," ",'Modell-Kalibrierung'!B47)</f>
        <v xml:space="preserve"> </v>
      </c>
      <c r="C25" s="21" t="str">
        <f>IF('Modell-Kalibrierung'!C47=0," ",'Modell-Kalibrierung'!C47)</f>
        <v xml:space="preserve"> </v>
      </c>
      <c r="D25" s="58"/>
      <c r="E25" s="117"/>
      <c r="F25" s="54" t="str">
        <f>IF(C25=" "," ",(VLOOKUP(C25,'Modell-Kalibrierung'!$H$28:$I$32,2,FALSE))*D25)</f>
        <v xml:space="preserve"> </v>
      </c>
      <c r="G25" s="36"/>
      <c r="H25" s="36"/>
    </row>
    <row r="26" spans="1:8" x14ac:dyDescent="0.2">
      <c r="A26" s="36"/>
      <c r="B26" s="57" t="str">
        <f>IF('Modell-Kalibrierung'!B48=0," ",'Modell-Kalibrierung'!B48)</f>
        <v xml:space="preserve"> </v>
      </c>
      <c r="C26" s="21" t="str">
        <f>IF('Modell-Kalibrierung'!C48=0," ",'Modell-Kalibrierung'!C48)</f>
        <v xml:space="preserve"> </v>
      </c>
      <c r="D26" s="58"/>
      <c r="E26" s="117"/>
      <c r="F26" s="54" t="str">
        <f>IF(C26=" "," ",(VLOOKUP(C26,'Modell-Kalibrierung'!$H$28:$I$32,2,FALSE))*D26)</f>
        <v xml:space="preserve"> </v>
      </c>
      <c r="G26" s="36"/>
      <c r="H26" s="36"/>
    </row>
    <row r="27" spans="1:8" x14ac:dyDescent="0.2">
      <c r="A27" s="36"/>
      <c r="B27" s="57" t="str">
        <f>IF('Modell-Kalibrierung'!B49=0," ",'Modell-Kalibrierung'!B49)</f>
        <v xml:space="preserve"> </v>
      </c>
      <c r="C27" s="21" t="str">
        <f>IF('Modell-Kalibrierung'!C49=0," ",'Modell-Kalibrierung'!C49)</f>
        <v xml:space="preserve"> </v>
      </c>
      <c r="D27" s="58"/>
      <c r="E27" s="117"/>
      <c r="F27" s="54" t="str">
        <f>IF(C27=" "," ",(VLOOKUP(C27,'Modell-Kalibrierung'!$H$28:$I$32,2,FALSE))*D27)</f>
        <v xml:space="preserve"> </v>
      </c>
      <c r="G27" s="36"/>
      <c r="H27" s="36"/>
    </row>
    <row r="28" spans="1:8" x14ac:dyDescent="0.2">
      <c r="A28" s="36"/>
      <c r="B28" s="57" t="str">
        <f>IF('Modell-Kalibrierung'!B50=0," ",'Modell-Kalibrierung'!B50)</f>
        <v xml:space="preserve"> </v>
      </c>
      <c r="C28" s="21" t="str">
        <f>IF('Modell-Kalibrierung'!C50=0," ",'Modell-Kalibrierung'!C50)</f>
        <v xml:space="preserve"> </v>
      </c>
      <c r="D28" s="58"/>
      <c r="E28" s="117"/>
      <c r="F28" s="54" t="str">
        <f>IF(C28=" "," ",(VLOOKUP(C28,'Modell-Kalibrierung'!$H$28:$I$32,2,FALSE))*D28)</f>
        <v xml:space="preserve"> </v>
      </c>
      <c r="G28" s="36"/>
      <c r="H28" s="36"/>
    </row>
    <row r="29" spans="1:8" x14ac:dyDescent="0.2">
      <c r="A29" s="36"/>
      <c r="B29" s="57" t="str">
        <f>IF('Modell-Kalibrierung'!B51=0," ",'Modell-Kalibrierung'!B51)</f>
        <v xml:space="preserve"> </v>
      </c>
      <c r="C29" s="21" t="str">
        <f>IF('Modell-Kalibrierung'!C51=0," ",'Modell-Kalibrierung'!C51)</f>
        <v xml:space="preserve"> </v>
      </c>
      <c r="D29" s="58"/>
      <c r="E29" s="117"/>
      <c r="F29" s="54" t="str">
        <f>IF(C29=" "," ",(VLOOKUP(C29,'Modell-Kalibrierung'!$H$28:$I$32,2,FALSE))*D29)</f>
        <v xml:space="preserve"> </v>
      </c>
      <c r="G29" s="36"/>
      <c r="H29" s="36"/>
    </row>
    <row r="30" spans="1:8" x14ac:dyDescent="0.2">
      <c r="A30" s="36"/>
      <c r="B30" s="57" t="str">
        <f>IF('Modell-Kalibrierung'!B52=0," ",'Modell-Kalibrierung'!B52)</f>
        <v xml:space="preserve"> </v>
      </c>
      <c r="C30" s="21" t="str">
        <f>IF('Modell-Kalibrierung'!C52=0," ",'Modell-Kalibrierung'!C52)</f>
        <v xml:space="preserve"> </v>
      </c>
      <c r="D30" s="58"/>
      <c r="E30" s="117"/>
      <c r="F30" s="54" t="str">
        <f>IF(C30=" "," ",(VLOOKUP(C30,'Modell-Kalibrierung'!$H$28:$I$32,2,FALSE))*D30)</f>
        <v xml:space="preserve"> </v>
      </c>
      <c r="G30" s="36"/>
      <c r="H30" s="36"/>
    </row>
    <row r="31" spans="1:8" x14ac:dyDescent="0.2">
      <c r="A31" s="36"/>
      <c r="B31" s="57" t="str">
        <f>IF('Modell-Kalibrierung'!B53=0," ",'Modell-Kalibrierung'!B53)</f>
        <v xml:space="preserve"> </v>
      </c>
      <c r="C31" s="21" t="str">
        <f>IF('Modell-Kalibrierung'!C53=0," ",'Modell-Kalibrierung'!C53)</f>
        <v xml:space="preserve"> </v>
      </c>
      <c r="D31" s="58"/>
      <c r="E31" s="117"/>
      <c r="F31" s="54" t="str">
        <f>IF(C31=" "," ",(VLOOKUP(C31,'Modell-Kalibrierung'!$H$28:$I$32,2,FALSE))*D31)</f>
        <v xml:space="preserve"> </v>
      </c>
      <c r="G31" s="36"/>
      <c r="H31" s="36"/>
    </row>
    <row r="32" spans="1:8" x14ac:dyDescent="0.2">
      <c r="A32" s="36"/>
      <c r="B32" s="57" t="str">
        <f>IF('Modell-Kalibrierung'!B54=0," ",'Modell-Kalibrierung'!B54)</f>
        <v xml:space="preserve"> </v>
      </c>
      <c r="C32" s="21" t="str">
        <f>IF('Modell-Kalibrierung'!C54=0," ",'Modell-Kalibrierung'!C54)</f>
        <v xml:space="preserve"> </v>
      </c>
      <c r="D32" s="58"/>
      <c r="E32" s="117"/>
      <c r="F32" s="54" t="str">
        <f>IF(C32=" "," ",(VLOOKUP(C32,'Modell-Kalibrierung'!$H$28:$I$32,2,FALSE))*D32)</f>
        <v xml:space="preserve"> </v>
      </c>
      <c r="G32" s="36"/>
      <c r="H32" s="36"/>
    </row>
    <row r="33" spans="1:8" x14ac:dyDescent="0.2">
      <c r="A33" s="36"/>
      <c r="B33" s="57" t="str">
        <f>IF('Modell-Kalibrierung'!B55=0," ",'Modell-Kalibrierung'!B55)</f>
        <v xml:space="preserve"> </v>
      </c>
      <c r="C33" s="21" t="str">
        <f>IF('Modell-Kalibrierung'!C55=0," ",'Modell-Kalibrierung'!C55)</f>
        <v xml:space="preserve"> </v>
      </c>
      <c r="D33" s="58"/>
      <c r="E33" s="117"/>
      <c r="F33" s="54" t="str">
        <f>IF(C33=" "," ",(VLOOKUP(C33,'Modell-Kalibrierung'!$H$28:$I$32,2,FALSE))*D33)</f>
        <v xml:space="preserve"> </v>
      </c>
      <c r="G33" s="36"/>
      <c r="H33" s="36"/>
    </row>
    <row r="34" spans="1:8" x14ac:dyDescent="0.2">
      <c r="A34" s="36"/>
      <c r="B34" s="57" t="str">
        <f>IF('Modell-Kalibrierung'!B56=0," ",'Modell-Kalibrierung'!B56)</f>
        <v xml:space="preserve"> </v>
      </c>
      <c r="C34" s="21" t="str">
        <f>IF('Modell-Kalibrierung'!C56=0," ",'Modell-Kalibrierung'!C56)</f>
        <v xml:space="preserve"> </v>
      </c>
      <c r="D34" s="58"/>
      <c r="E34" s="117"/>
      <c r="F34" s="54" t="str">
        <f>IF(C34=" "," ",(VLOOKUP(C34,'Modell-Kalibrierung'!$H$28:$I$32,2,FALSE))*D34)</f>
        <v xml:space="preserve"> </v>
      </c>
      <c r="G34" s="36"/>
      <c r="H34" s="36"/>
    </row>
    <row r="35" spans="1:8" x14ac:dyDescent="0.2">
      <c r="A35" s="36"/>
      <c r="B35" s="57" t="str">
        <f>IF('Modell-Kalibrierung'!B57=0," ",'Modell-Kalibrierung'!B57)</f>
        <v xml:space="preserve"> </v>
      </c>
      <c r="C35" s="21" t="str">
        <f>IF('Modell-Kalibrierung'!C57=0," ",'Modell-Kalibrierung'!C57)</f>
        <v xml:space="preserve"> </v>
      </c>
      <c r="D35" s="58"/>
      <c r="E35" s="117"/>
      <c r="F35" s="54" t="str">
        <f>IF(C35=" "," ",(VLOOKUP(C35,'Modell-Kalibrierung'!$H$28:$I$32,2,FALSE))*D35)</f>
        <v xml:space="preserve"> </v>
      </c>
      <c r="G35" s="36"/>
      <c r="H35" s="36"/>
    </row>
    <row r="36" spans="1:8" x14ac:dyDescent="0.2">
      <c r="A36" s="36"/>
      <c r="B36" s="57" t="str">
        <f>IF('Modell-Kalibrierung'!B58=0," ",'Modell-Kalibrierung'!B58)</f>
        <v xml:space="preserve"> </v>
      </c>
      <c r="C36" s="21" t="str">
        <f>IF('Modell-Kalibrierung'!C58=0," ",'Modell-Kalibrierung'!C58)</f>
        <v xml:space="preserve"> </v>
      </c>
      <c r="D36" s="58"/>
      <c r="E36" s="117"/>
      <c r="F36" s="54" t="str">
        <f>IF(C36=" "," ",(VLOOKUP(C36,'Modell-Kalibrierung'!$H$28:$I$32,2,FALSE))*D36)</f>
        <v xml:space="preserve"> </v>
      </c>
      <c r="G36" s="36"/>
      <c r="H36" s="36"/>
    </row>
    <row r="37" spans="1:8" x14ac:dyDescent="0.2">
      <c r="A37" s="36"/>
      <c r="B37" s="57" t="str">
        <f>IF('Modell-Kalibrierung'!B59=0," ",'Modell-Kalibrierung'!B59)</f>
        <v xml:space="preserve"> </v>
      </c>
      <c r="C37" s="21" t="str">
        <f>IF('Modell-Kalibrierung'!C59=0," ",'Modell-Kalibrierung'!C59)</f>
        <v xml:space="preserve"> </v>
      </c>
      <c r="D37" s="58"/>
      <c r="E37" s="117"/>
      <c r="F37" s="54" t="str">
        <f>IF(C37=" "," ",(VLOOKUP(C37,'Modell-Kalibrierung'!$H$28:$I$32,2,FALSE))*D37)</f>
        <v xml:space="preserve"> </v>
      </c>
      <c r="G37" s="36"/>
      <c r="H37" s="36"/>
    </row>
    <row r="38" spans="1:8" x14ac:dyDescent="0.2">
      <c r="A38" s="36"/>
      <c r="B38" s="57" t="str">
        <f>IF('Modell-Kalibrierung'!B60=0," ",'Modell-Kalibrierung'!B60)</f>
        <v xml:space="preserve"> </v>
      </c>
      <c r="C38" s="21" t="str">
        <f>IF('Modell-Kalibrierung'!C60=0," ",'Modell-Kalibrierung'!C60)</f>
        <v xml:space="preserve"> </v>
      </c>
      <c r="D38" s="58"/>
      <c r="E38" s="117"/>
      <c r="F38" s="54" t="str">
        <f>IF(C38=" "," ",(VLOOKUP(C38,'Modell-Kalibrierung'!$H$28:$I$32,2,FALSE))*D38)</f>
        <v xml:space="preserve"> </v>
      </c>
      <c r="G38" s="36"/>
      <c r="H38" s="36"/>
    </row>
    <row r="39" spans="1:8" x14ac:dyDescent="0.2">
      <c r="A39" s="36"/>
      <c r="B39" s="57" t="str">
        <f>IF('Modell-Kalibrierung'!B61=0," ",'Modell-Kalibrierung'!B61)</f>
        <v xml:space="preserve"> </v>
      </c>
      <c r="C39" s="21" t="str">
        <f>IF('Modell-Kalibrierung'!C61=0," ",'Modell-Kalibrierung'!C61)</f>
        <v xml:space="preserve"> </v>
      </c>
      <c r="D39" s="58"/>
      <c r="E39" s="117"/>
      <c r="F39" s="54" t="str">
        <f>IF(C39=" "," ",(VLOOKUP(C39,'Modell-Kalibrierung'!$H$28:$I$32,2,FALSE))*D39)</f>
        <v xml:space="preserve"> </v>
      </c>
      <c r="G39" s="36"/>
      <c r="H39" s="36"/>
    </row>
    <row r="40" spans="1:8" x14ac:dyDescent="0.2">
      <c r="A40" s="36"/>
      <c r="B40" s="57" t="str">
        <f>IF('Modell-Kalibrierung'!B62=0," ",'Modell-Kalibrierung'!B62)</f>
        <v xml:space="preserve"> </v>
      </c>
      <c r="C40" s="21" t="str">
        <f>IF('Modell-Kalibrierung'!C62=0," ",'Modell-Kalibrierung'!C62)</f>
        <v xml:space="preserve"> </v>
      </c>
      <c r="D40" s="58"/>
      <c r="E40" s="117"/>
      <c r="F40" s="54" t="str">
        <f>IF(C40=" "," ",(VLOOKUP(C40,'Modell-Kalibrierung'!$H$28:$I$32,2,FALSE))*D40)</f>
        <v xml:space="preserve"> </v>
      </c>
      <c r="G40" s="36"/>
      <c r="H40" s="36"/>
    </row>
    <row r="41" spans="1:8" x14ac:dyDescent="0.2">
      <c r="A41" s="36"/>
      <c r="B41" s="57" t="str">
        <f>IF('Modell-Kalibrierung'!B63=0," ",'Modell-Kalibrierung'!B63)</f>
        <v xml:space="preserve"> </v>
      </c>
      <c r="C41" s="21" t="str">
        <f>IF('Modell-Kalibrierung'!C63=0," ",'Modell-Kalibrierung'!C63)</f>
        <v xml:space="preserve"> </v>
      </c>
      <c r="D41" s="58"/>
      <c r="E41" s="117"/>
      <c r="F41" s="54" t="str">
        <f>IF(C41=" "," ",(VLOOKUP(C41,'Modell-Kalibrierung'!$H$28:$I$32,2,FALSE))*D41)</f>
        <v xml:space="preserve"> </v>
      </c>
      <c r="G41" s="36"/>
      <c r="H41" s="36"/>
    </row>
    <row r="42" spans="1:8" x14ac:dyDescent="0.2">
      <c r="A42" s="36"/>
      <c r="B42" s="57" t="str">
        <f>IF('Modell-Kalibrierung'!B64=0," ",'Modell-Kalibrierung'!B64)</f>
        <v xml:space="preserve"> </v>
      </c>
      <c r="C42" s="21" t="str">
        <f>IF('Modell-Kalibrierung'!C64=0," ",'Modell-Kalibrierung'!C64)</f>
        <v xml:space="preserve"> </v>
      </c>
      <c r="D42" s="58"/>
      <c r="E42" s="117"/>
      <c r="F42" s="54" t="str">
        <f>IF(C42=" "," ",(VLOOKUP(C42,'Modell-Kalibrierung'!$H$28:$I$32,2,FALSE))*D42)</f>
        <v xml:space="preserve"> </v>
      </c>
      <c r="G42" s="36"/>
      <c r="H42" s="36"/>
    </row>
    <row r="43" spans="1:8" x14ac:dyDescent="0.2">
      <c r="A43" s="36"/>
      <c r="B43" s="57" t="str">
        <f>IF('Modell-Kalibrierung'!B65=0," ",'Modell-Kalibrierung'!B65)</f>
        <v xml:space="preserve"> </v>
      </c>
      <c r="C43" s="21" t="str">
        <f>IF('Modell-Kalibrierung'!C65=0," ",'Modell-Kalibrierung'!C65)</f>
        <v xml:space="preserve"> </v>
      </c>
      <c r="D43" s="58"/>
      <c r="E43" s="117"/>
      <c r="F43" s="54" t="str">
        <f>IF(C43=" "," ",(VLOOKUP(C43,'Modell-Kalibrierung'!$H$28:$I$32,2,FALSE))*D43)</f>
        <v xml:space="preserve"> </v>
      </c>
      <c r="G43" s="36"/>
      <c r="H43" s="36"/>
    </row>
    <row r="44" spans="1:8" x14ac:dyDescent="0.2">
      <c r="A44" s="36"/>
      <c r="B44" s="57" t="str">
        <f>IF('Modell-Kalibrierung'!B66=0," ",'Modell-Kalibrierung'!B66)</f>
        <v xml:space="preserve"> </v>
      </c>
      <c r="C44" s="21" t="str">
        <f>IF('Modell-Kalibrierung'!C66=0," ",'Modell-Kalibrierung'!C66)</f>
        <v xml:space="preserve"> </v>
      </c>
      <c r="D44" s="58"/>
      <c r="E44" s="117"/>
      <c r="F44" s="54" t="str">
        <f>IF(C44=" "," ",(VLOOKUP(C44,'Modell-Kalibrierung'!$H$28:$I$32,2,FALSE))*D44)</f>
        <v xml:space="preserve"> </v>
      </c>
      <c r="G44" s="36"/>
      <c r="H44" s="36"/>
    </row>
    <row r="45" spans="1:8" x14ac:dyDescent="0.2">
      <c r="A45" s="36"/>
      <c r="B45" s="57" t="str">
        <f>IF('Modell-Kalibrierung'!B67=0," ",'Modell-Kalibrierung'!B67)</f>
        <v xml:space="preserve"> </v>
      </c>
      <c r="C45" s="21" t="str">
        <f>IF('Modell-Kalibrierung'!C67=0," ",'Modell-Kalibrierung'!C67)</f>
        <v xml:space="preserve"> </v>
      </c>
      <c r="D45" s="58"/>
      <c r="E45" s="117"/>
      <c r="F45" s="54" t="str">
        <f>IF(C45=" "," ",(VLOOKUP(C45,'Modell-Kalibrierung'!$H$28:$I$32,2,FALSE))*D45)</f>
        <v xml:space="preserve"> </v>
      </c>
      <c r="G45" s="36"/>
      <c r="H45" s="36"/>
    </row>
    <row r="46" spans="1:8" x14ac:dyDescent="0.2">
      <c r="A46" s="36"/>
      <c r="B46" s="57" t="str">
        <f>IF('Modell-Kalibrierung'!B68=0," ",'Modell-Kalibrierung'!B68)</f>
        <v xml:space="preserve"> </v>
      </c>
      <c r="C46" s="21" t="str">
        <f>IF('Modell-Kalibrierung'!C68=0," ",'Modell-Kalibrierung'!C68)</f>
        <v xml:space="preserve"> </v>
      </c>
      <c r="D46" s="58"/>
      <c r="E46" s="117"/>
      <c r="F46" s="54" t="str">
        <f>IF(C46=" "," ",(VLOOKUP(C46,'Modell-Kalibrierung'!$H$28:$I$32,2,FALSE))*D46)</f>
        <v xml:space="preserve"> </v>
      </c>
      <c r="G46" s="36"/>
      <c r="H46" s="36"/>
    </row>
    <row r="47" spans="1:8" x14ac:dyDescent="0.2">
      <c r="A47" s="36"/>
      <c r="B47" s="57" t="str">
        <f>IF('Modell-Kalibrierung'!B69=0," ",'Modell-Kalibrierung'!B69)</f>
        <v xml:space="preserve"> </v>
      </c>
      <c r="C47" s="21" t="str">
        <f>IF('Modell-Kalibrierung'!C69=0," ",'Modell-Kalibrierung'!C69)</f>
        <v xml:space="preserve"> </v>
      </c>
      <c r="D47" s="58"/>
      <c r="E47" s="117"/>
      <c r="F47" s="54" t="str">
        <f>IF(C47=" "," ",(VLOOKUP(C47,'Modell-Kalibrierung'!$H$28:$I$32,2,FALSE))*D47)</f>
        <v xml:space="preserve"> </v>
      </c>
      <c r="G47" s="36"/>
      <c r="H47" s="36"/>
    </row>
    <row r="48" spans="1:8" x14ac:dyDescent="0.2">
      <c r="A48" s="36"/>
      <c r="B48" s="57" t="str">
        <f>IF('Modell-Kalibrierung'!B70=0," ",'Modell-Kalibrierung'!B70)</f>
        <v xml:space="preserve"> </v>
      </c>
      <c r="C48" s="21" t="str">
        <f>IF('Modell-Kalibrierung'!C70=0," ",'Modell-Kalibrierung'!C70)</f>
        <v xml:space="preserve"> </v>
      </c>
      <c r="D48" s="58"/>
      <c r="E48" s="117"/>
      <c r="F48" s="54" t="str">
        <f>IF(C48=" "," ",(VLOOKUP(C48,'Modell-Kalibrierung'!$H$28:$I$32,2,FALSE))*D48)</f>
        <v xml:space="preserve"> </v>
      </c>
      <c r="G48" s="36"/>
      <c r="H48" s="36"/>
    </row>
    <row r="49" spans="1:8" x14ac:dyDescent="0.2">
      <c r="A49" s="36"/>
      <c r="B49" s="57" t="str">
        <f>IF('Modell-Kalibrierung'!B71=0," ",'Modell-Kalibrierung'!B71)</f>
        <v xml:space="preserve"> </v>
      </c>
      <c r="C49" s="21" t="str">
        <f>IF('Modell-Kalibrierung'!C71=0," ",'Modell-Kalibrierung'!C71)</f>
        <v xml:space="preserve"> </v>
      </c>
      <c r="D49" s="58"/>
      <c r="E49" s="117"/>
      <c r="F49" s="54" t="str">
        <f>IF(C49=" "," ",(VLOOKUP(C49,'Modell-Kalibrierung'!$H$28:$I$32,2,FALSE))*D49)</f>
        <v xml:space="preserve"> </v>
      </c>
      <c r="G49" s="36"/>
      <c r="H49" s="36"/>
    </row>
    <row r="50" spans="1:8" x14ac:dyDescent="0.2">
      <c r="A50" s="36"/>
      <c r="B50" s="57" t="str">
        <f>IF('Modell-Kalibrierung'!B72=0," ",'Modell-Kalibrierung'!B72)</f>
        <v xml:space="preserve"> </v>
      </c>
      <c r="C50" s="21" t="str">
        <f>IF('Modell-Kalibrierung'!C72=0," ",'Modell-Kalibrierung'!C72)</f>
        <v xml:space="preserve"> </v>
      </c>
      <c r="D50" s="58"/>
      <c r="E50" s="117"/>
      <c r="F50" s="54" t="str">
        <f>IF(C50=" "," ",(VLOOKUP(C50,'Modell-Kalibrierung'!$H$28:$I$32,2,FALSE))*D50)</f>
        <v xml:space="preserve"> </v>
      </c>
      <c r="G50" s="36"/>
      <c r="H50" s="36"/>
    </row>
    <row r="51" spans="1:8" x14ac:dyDescent="0.2">
      <c r="A51" s="36"/>
      <c r="B51" s="57" t="str">
        <f>IF('Modell-Kalibrierung'!B73=0," ",'Modell-Kalibrierung'!B73)</f>
        <v xml:space="preserve"> </v>
      </c>
      <c r="C51" s="21" t="str">
        <f>IF('Modell-Kalibrierung'!C73=0," ",'Modell-Kalibrierung'!C73)</f>
        <v xml:space="preserve"> </v>
      </c>
      <c r="D51" s="58"/>
      <c r="E51" s="117"/>
      <c r="F51" s="54" t="str">
        <f>IF(C51=" "," ",(VLOOKUP(C51,'Modell-Kalibrierung'!$H$28:$I$32,2,FALSE))*D51)</f>
        <v xml:space="preserve"> </v>
      </c>
      <c r="G51" s="36"/>
      <c r="H51" s="36"/>
    </row>
    <row r="52" spans="1:8" x14ac:dyDescent="0.2">
      <c r="A52" s="36"/>
      <c r="B52" s="57" t="str">
        <f>IF('Modell-Kalibrierung'!B74=0," ",'Modell-Kalibrierung'!B74)</f>
        <v xml:space="preserve"> </v>
      </c>
      <c r="C52" s="21" t="str">
        <f>IF('Modell-Kalibrierung'!C74=0," ",'Modell-Kalibrierung'!C74)</f>
        <v xml:space="preserve"> </v>
      </c>
      <c r="D52" s="58"/>
      <c r="E52" s="117"/>
      <c r="F52" s="54" t="str">
        <f>IF(C52=" "," ",(VLOOKUP(C52,'Modell-Kalibrierung'!$H$28:$I$32,2,FALSE))*D52)</f>
        <v xml:space="preserve"> </v>
      </c>
      <c r="G52" s="36"/>
      <c r="H52" s="36"/>
    </row>
    <row r="53" spans="1:8" x14ac:dyDescent="0.2">
      <c r="A53" s="36"/>
      <c r="B53" s="57" t="str">
        <f>IF('Modell-Kalibrierung'!B75=0," ",'Modell-Kalibrierung'!B75)</f>
        <v xml:space="preserve"> </v>
      </c>
      <c r="C53" s="21" t="str">
        <f>IF('Modell-Kalibrierung'!C75=0," ",'Modell-Kalibrierung'!C75)</f>
        <v xml:space="preserve"> </v>
      </c>
      <c r="D53" s="59"/>
      <c r="E53" s="117"/>
      <c r="F53" s="54" t="str">
        <f>IF(C53=" "," ",(VLOOKUP(C53,'Modell-Kalibrierung'!$H$28:$I$32,2,FALSE))*D53)</f>
        <v xml:space="preserve"> </v>
      </c>
      <c r="G53" s="36"/>
      <c r="H53" s="36"/>
    </row>
    <row r="54" spans="1:8" x14ac:dyDescent="0.2">
      <c r="A54" s="36"/>
      <c r="B54" s="57" t="str">
        <f>IF('Modell-Kalibrierung'!B76=0," ",'Modell-Kalibrierung'!B76)</f>
        <v xml:space="preserve"> </v>
      </c>
      <c r="C54" s="21" t="str">
        <f>IF('Modell-Kalibrierung'!C76=0," ",'Modell-Kalibrierung'!C76)</f>
        <v xml:space="preserve"> </v>
      </c>
      <c r="D54" s="59"/>
      <c r="E54" s="117"/>
      <c r="F54" s="54" t="str">
        <f>IF(C54=" "," ",(VLOOKUP(C54,'Modell-Kalibrierung'!$H$28:$I$32,2,FALSE))*D54)</f>
        <v xml:space="preserve"> </v>
      </c>
      <c r="G54" s="36"/>
      <c r="H54" s="36"/>
    </row>
    <row r="55" spans="1:8" x14ac:dyDescent="0.2">
      <c r="A55" s="36"/>
      <c r="B55" s="57" t="str">
        <f>IF('Modell-Kalibrierung'!B77=0," ",'Modell-Kalibrierung'!B77)</f>
        <v xml:space="preserve"> </v>
      </c>
      <c r="C55" s="21" t="str">
        <f>IF('Modell-Kalibrierung'!C77=0," ",'Modell-Kalibrierung'!C77)</f>
        <v xml:space="preserve"> </v>
      </c>
      <c r="D55" s="59"/>
      <c r="E55" s="117"/>
      <c r="F55" s="54" t="str">
        <f>IF(C55=" "," ",(VLOOKUP(C55,'Modell-Kalibrierung'!$H$28:$I$32,2,FALSE))*D55)</f>
        <v xml:space="preserve"> </v>
      </c>
      <c r="G55" s="36"/>
      <c r="H55" s="36"/>
    </row>
    <row r="56" spans="1:8" x14ac:dyDescent="0.2">
      <c r="A56" s="36"/>
      <c r="B56" s="57" t="str">
        <f>IF('Modell-Kalibrierung'!B78=0," ",'Modell-Kalibrierung'!B78)</f>
        <v xml:space="preserve"> </v>
      </c>
      <c r="C56" s="21" t="str">
        <f>IF('Modell-Kalibrierung'!C78=0," ",'Modell-Kalibrierung'!C78)</f>
        <v xml:space="preserve"> </v>
      </c>
      <c r="D56" s="59"/>
      <c r="E56" s="117"/>
      <c r="F56" s="54" t="str">
        <f>IF(C56=" "," ",(VLOOKUP(C56,'Modell-Kalibrierung'!$H$28:$I$32,2,FALSE))*D56)</f>
        <v xml:space="preserve"> </v>
      </c>
      <c r="G56" s="36"/>
      <c r="H56" s="36"/>
    </row>
    <row r="57" spans="1:8" x14ac:dyDescent="0.2">
      <c r="A57" s="36"/>
      <c r="B57" s="57" t="str">
        <f>IF('Modell-Kalibrierung'!B79=0," ",'Modell-Kalibrierung'!B79)</f>
        <v xml:space="preserve"> </v>
      </c>
      <c r="C57" s="21" t="str">
        <f>IF('Modell-Kalibrierung'!C79=0," ",'Modell-Kalibrierung'!C79)</f>
        <v xml:space="preserve"> </v>
      </c>
      <c r="D57" s="59"/>
      <c r="E57" s="117"/>
      <c r="F57" s="54" t="str">
        <f>IF(C57=" "," ",(VLOOKUP(C57,'Modell-Kalibrierung'!$H$28:$I$32,2,FALSE))*D57)</f>
        <v xml:space="preserve"> </v>
      </c>
      <c r="G57" s="36"/>
      <c r="H57" s="36"/>
    </row>
    <row r="58" spans="1:8" x14ac:dyDescent="0.2">
      <c r="A58" s="36"/>
      <c r="B58" s="57" t="str">
        <f>IF('Modell-Kalibrierung'!B80=0," ",'Modell-Kalibrierung'!B80)</f>
        <v xml:space="preserve"> </v>
      </c>
      <c r="C58" s="21" t="str">
        <f>IF('Modell-Kalibrierung'!C80=0," ",'Modell-Kalibrierung'!C80)</f>
        <v xml:space="preserve"> </v>
      </c>
      <c r="D58" s="59"/>
      <c r="E58" s="117"/>
      <c r="F58" s="54" t="str">
        <f>IF(C58=" "," ",(VLOOKUP(C58,'Modell-Kalibrierung'!$H$28:$I$32,2,FALSE))*D58)</f>
        <v xml:space="preserve"> </v>
      </c>
      <c r="G58" s="36"/>
      <c r="H58" s="36"/>
    </row>
    <row r="59" spans="1:8" x14ac:dyDescent="0.2">
      <c r="A59" s="36"/>
      <c r="B59" s="57" t="str">
        <f>IF('Modell-Kalibrierung'!B81=0," ",'Modell-Kalibrierung'!B81)</f>
        <v xml:space="preserve"> </v>
      </c>
      <c r="C59" s="21" t="str">
        <f>IF('Modell-Kalibrierung'!C81=0," ",'Modell-Kalibrierung'!C81)</f>
        <v xml:space="preserve"> </v>
      </c>
      <c r="D59" s="59"/>
      <c r="E59" s="117"/>
      <c r="F59" s="54" t="str">
        <f>IF(C59=" "," ",(VLOOKUP(C59,'Modell-Kalibrierung'!$H$28:$I$32,2,FALSE))*D59)</f>
        <v xml:space="preserve"> </v>
      </c>
      <c r="G59" s="36"/>
      <c r="H59" s="36"/>
    </row>
    <row r="60" spans="1:8" x14ac:dyDescent="0.2">
      <c r="A60" s="36"/>
      <c r="B60" s="57" t="str">
        <f>IF('Modell-Kalibrierung'!B82=0," ",'Modell-Kalibrierung'!B82)</f>
        <v xml:space="preserve"> </v>
      </c>
      <c r="C60" s="21" t="str">
        <f>IF('Modell-Kalibrierung'!C82=0," ",'Modell-Kalibrierung'!C82)</f>
        <v xml:space="preserve"> </v>
      </c>
      <c r="D60" s="59"/>
      <c r="E60" s="117"/>
      <c r="F60" s="54" t="str">
        <f>IF(C60=" "," ",(VLOOKUP(C60,'Modell-Kalibrierung'!$H$28:$I$32,2,FALSE))*D60)</f>
        <v xml:space="preserve"> </v>
      </c>
      <c r="G60" s="36"/>
      <c r="H60" s="36"/>
    </row>
    <row r="61" spans="1:8" x14ac:dyDescent="0.2">
      <c r="A61" s="36"/>
      <c r="B61" s="57" t="str">
        <f>IF('Modell-Kalibrierung'!B83=0," ",'Modell-Kalibrierung'!B83)</f>
        <v xml:space="preserve"> </v>
      </c>
      <c r="C61" s="21" t="str">
        <f>IF('Modell-Kalibrierung'!C83=0," ",'Modell-Kalibrierung'!C83)</f>
        <v xml:space="preserve"> </v>
      </c>
      <c r="D61" s="59"/>
      <c r="E61" s="117"/>
      <c r="F61" s="54" t="str">
        <f>IF(C61=" "," ",(VLOOKUP(C61,'Modell-Kalibrierung'!$H$28:$I$32,2,FALSE))*D61)</f>
        <v xml:space="preserve"> </v>
      </c>
      <c r="G61" s="36"/>
      <c r="H61" s="36"/>
    </row>
    <row r="62" spans="1:8" x14ac:dyDescent="0.2">
      <c r="A62" s="36"/>
      <c r="B62" s="57" t="str">
        <f>IF('Modell-Kalibrierung'!B84=0," ",'Modell-Kalibrierung'!B84)</f>
        <v xml:space="preserve"> </v>
      </c>
      <c r="C62" s="21" t="str">
        <f>IF('Modell-Kalibrierung'!C84=0," ",'Modell-Kalibrierung'!C84)</f>
        <v xml:space="preserve"> </v>
      </c>
      <c r="D62" s="59"/>
      <c r="E62" s="117"/>
      <c r="F62" s="54" t="str">
        <f>IF(C62=" "," ",(VLOOKUP(C62,'Modell-Kalibrierung'!$H$28:$I$32,2,FALSE))*D62)</f>
        <v xml:space="preserve"> </v>
      </c>
      <c r="G62" s="36"/>
      <c r="H62" s="36"/>
    </row>
    <row r="63" spans="1:8" x14ac:dyDescent="0.2">
      <c r="A63" s="36"/>
      <c r="B63" s="57" t="str">
        <f>IF('Modell-Kalibrierung'!B85=0," ",'Modell-Kalibrierung'!B85)</f>
        <v xml:space="preserve"> </v>
      </c>
      <c r="C63" s="21" t="str">
        <f>IF('Modell-Kalibrierung'!C85=0," ",'Modell-Kalibrierung'!C85)</f>
        <v xml:space="preserve"> </v>
      </c>
      <c r="D63" s="59"/>
      <c r="E63" s="117"/>
      <c r="F63" s="54" t="str">
        <f>IF(C63=" "," ",(VLOOKUP(C63,'Modell-Kalibrierung'!$H$28:$I$32,2,FALSE))*D63)</f>
        <v xml:space="preserve"> </v>
      </c>
      <c r="G63" s="36"/>
      <c r="H63" s="36"/>
    </row>
    <row r="64" spans="1:8" x14ac:dyDescent="0.2">
      <c r="A64" s="36"/>
      <c r="B64" s="57" t="str">
        <f>IF('Modell-Kalibrierung'!B86=0," ",'Modell-Kalibrierung'!B86)</f>
        <v xml:space="preserve"> </v>
      </c>
      <c r="C64" s="21" t="str">
        <f>IF('Modell-Kalibrierung'!C86=0," ",'Modell-Kalibrierung'!C86)</f>
        <v xml:space="preserve"> </v>
      </c>
      <c r="D64" s="59"/>
      <c r="E64" s="117"/>
      <c r="F64" s="54" t="str">
        <f>IF(C64=" "," ",(VLOOKUP(C64,'Modell-Kalibrierung'!$H$28:$I$32,2,FALSE))*D64)</f>
        <v xml:space="preserve"> </v>
      </c>
      <c r="G64" s="36"/>
      <c r="H64" s="36"/>
    </row>
    <row r="65" spans="1:8" x14ac:dyDescent="0.2">
      <c r="A65" s="36"/>
      <c r="B65" s="57" t="str">
        <f>IF('Modell-Kalibrierung'!B87=0," ",'Modell-Kalibrierung'!B87)</f>
        <v xml:space="preserve"> </v>
      </c>
      <c r="C65" s="21" t="str">
        <f>IF('Modell-Kalibrierung'!C87=0," ",'Modell-Kalibrierung'!C87)</f>
        <v xml:space="preserve"> </v>
      </c>
      <c r="D65" s="59"/>
      <c r="E65" s="117"/>
      <c r="F65" s="54" t="str">
        <f>IF(C65=" "," ",(VLOOKUP(C65,'Modell-Kalibrierung'!$H$28:$I$32,2,FALSE))*D65)</f>
        <v xml:space="preserve"> </v>
      </c>
      <c r="G65" s="36"/>
      <c r="H65" s="36"/>
    </row>
    <row r="66" spans="1:8" x14ac:dyDescent="0.2">
      <c r="A66" s="36"/>
      <c r="B66" s="57" t="str">
        <f>IF('Modell-Kalibrierung'!B88=0," ",'Modell-Kalibrierung'!B88)</f>
        <v xml:space="preserve"> </v>
      </c>
      <c r="C66" s="21" t="str">
        <f>IF('Modell-Kalibrierung'!C88=0," ",'Modell-Kalibrierung'!C88)</f>
        <v xml:space="preserve"> </v>
      </c>
      <c r="D66" s="59"/>
      <c r="E66" s="117"/>
      <c r="F66" s="54" t="str">
        <f>IF(C66=" "," ",(VLOOKUP(C66,'Modell-Kalibrierung'!$H$28:$I$32,2,FALSE))*D66)</f>
        <v xml:space="preserve"> </v>
      </c>
      <c r="G66" s="36"/>
      <c r="H66" s="36"/>
    </row>
    <row r="67" spans="1:8" x14ac:dyDescent="0.2">
      <c r="A67" s="36"/>
      <c r="B67" s="57" t="str">
        <f>IF('Modell-Kalibrierung'!B89=0," ",'Modell-Kalibrierung'!B89)</f>
        <v xml:space="preserve"> </v>
      </c>
      <c r="C67" s="21" t="str">
        <f>IF('Modell-Kalibrierung'!C89=0," ",'Modell-Kalibrierung'!C89)</f>
        <v xml:space="preserve"> </v>
      </c>
      <c r="D67" s="59"/>
      <c r="E67" s="117"/>
      <c r="F67" s="54" t="str">
        <f>IF(C67=" "," ",(VLOOKUP(C67,'Modell-Kalibrierung'!$H$28:$I$32,2,FALSE))*D67)</f>
        <v xml:space="preserve"> </v>
      </c>
      <c r="G67" s="36"/>
      <c r="H67" s="36"/>
    </row>
    <row r="68" spans="1:8" x14ac:dyDescent="0.2">
      <c r="A68" s="36"/>
      <c r="B68" s="57" t="str">
        <f>IF('Modell-Kalibrierung'!B90=0," ",'Modell-Kalibrierung'!B90)</f>
        <v xml:space="preserve"> </v>
      </c>
      <c r="C68" s="21" t="str">
        <f>IF('Modell-Kalibrierung'!C90=0," ",'Modell-Kalibrierung'!C90)</f>
        <v xml:space="preserve"> </v>
      </c>
      <c r="D68" s="59"/>
      <c r="E68" s="117"/>
      <c r="F68" s="54" t="str">
        <f>IF(C68=" "," ",(VLOOKUP(C68,'Modell-Kalibrierung'!$H$28:$I$32,2,FALSE))*D68)</f>
        <v xml:space="preserve"> </v>
      </c>
      <c r="G68" s="36"/>
      <c r="H68" s="36"/>
    </row>
    <row r="69" spans="1:8" x14ac:dyDescent="0.2">
      <c r="A69" s="36"/>
      <c r="B69" s="57" t="str">
        <f>IF('Modell-Kalibrierung'!B91=0," ",'Modell-Kalibrierung'!B91)</f>
        <v xml:space="preserve"> </v>
      </c>
      <c r="C69" s="21" t="str">
        <f>IF('Modell-Kalibrierung'!C91=0," ",'Modell-Kalibrierung'!C91)</f>
        <v xml:space="preserve"> </v>
      </c>
      <c r="D69" s="59"/>
      <c r="E69" s="117"/>
      <c r="F69" s="54" t="str">
        <f>IF(C69=" "," ",(VLOOKUP(C69,'Modell-Kalibrierung'!$H$28:$I$32,2,FALSE))*D69)</f>
        <v xml:space="preserve"> </v>
      </c>
      <c r="G69" s="36"/>
      <c r="H69" s="36"/>
    </row>
    <row r="70" spans="1:8" x14ac:dyDescent="0.2">
      <c r="A70" s="36"/>
      <c r="B70" s="57" t="str">
        <f>IF('Modell-Kalibrierung'!B92=0," ",'Modell-Kalibrierung'!B92)</f>
        <v xml:space="preserve"> </v>
      </c>
      <c r="C70" s="21" t="str">
        <f>IF('Modell-Kalibrierung'!C92=0," ",'Modell-Kalibrierung'!C92)</f>
        <v xml:space="preserve"> </v>
      </c>
      <c r="D70" s="59"/>
      <c r="E70" s="117"/>
      <c r="F70" s="54" t="str">
        <f>IF(C70=" "," ",(VLOOKUP(C70,'Modell-Kalibrierung'!$H$28:$I$32,2,FALSE))*D70)</f>
        <v xml:space="preserve"> </v>
      </c>
      <c r="G70" s="36"/>
      <c r="H70" s="36"/>
    </row>
    <row r="71" spans="1:8" x14ac:dyDescent="0.2">
      <c r="A71" s="36"/>
      <c r="B71" s="57" t="str">
        <f>IF('Modell-Kalibrierung'!B93=0," ",'Modell-Kalibrierung'!B93)</f>
        <v xml:space="preserve"> </v>
      </c>
      <c r="C71" s="21" t="str">
        <f>IF('Modell-Kalibrierung'!C93=0," ",'Modell-Kalibrierung'!C93)</f>
        <v xml:space="preserve"> </v>
      </c>
      <c r="D71" s="59"/>
      <c r="E71" s="117"/>
      <c r="F71" s="54" t="str">
        <f>IF(C71=" "," ",(VLOOKUP(C71,'Modell-Kalibrierung'!$H$28:$I$32,2,FALSE))*D71)</f>
        <v xml:space="preserve"> </v>
      </c>
      <c r="G71" s="36"/>
      <c r="H71" s="36"/>
    </row>
    <row r="72" spans="1:8" x14ac:dyDescent="0.2">
      <c r="A72" s="36"/>
      <c r="B72" s="57" t="str">
        <f>IF('Modell-Kalibrierung'!B94=0," ",'Modell-Kalibrierung'!B94)</f>
        <v xml:space="preserve"> </v>
      </c>
      <c r="C72" s="21" t="str">
        <f>IF('Modell-Kalibrierung'!C94=0," ",'Modell-Kalibrierung'!C94)</f>
        <v xml:space="preserve"> </v>
      </c>
      <c r="D72" s="59"/>
      <c r="E72" s="117"/>
      <c r="F72" s="54" t="str">
        <f>IF(C72=" "," ",(VLOOKUP(C72,'Modell-Kalibrierung'!$H$28:$I$32,2,FALSE))*D72)</f>
        <v xml:space="preserve"> </v>
      </c>
      <c r="G72" s="36"/>
      <c r="H72" s="36"/>
    </row>
    <row r="73" spans="1:8" x14ac:dyDescent="0.2">
      <c r="A73" s="36"/>
      <c r="B73" s="57" t="str">
        <f>IF('Modell-Kalibrierung'!B95=0," ",'Modell-Kalibrierung'!B95)</f>
        <v xml:space="preserve"> </v>
      </c>
      <c r="C73" s="21" t="str">
        <f>IF('Modell-Kalibrierung'!C95=0," ",'Modell-Kalibrierung'!C95)</f>
        <v xml:space="preserve"> </v>
      </c>
      <c r="D73" s="59"/>
      <c r="E73" s="117"/>
      <c r="F73" s="54" t="str">
        <f>IF(C73=" "," ",(VLOOKUP(C73,'Modell-Kalibrierung'!$H$28:$I$32,2,FALSE))*D73)</f>
        <v xml:space="preserve"> </v>
      </c>
      <c r="G73" s="36"/>
      <c r="H73" s="36"/>
    </row>
    <row r="74" spans="1:8" x14ac:dyDescent="0.2">
      <c r="A74" s="36"/>
      <c r="B74" s="57" t="str">
        <f>IF('Modell-Kalibrierung'!B96=0," ",'Modell-Kalibrierung'!B96)</f>
        <v xml:space="preserve"> </v>
      </c>
      <c r="C74" s="21" t="str">
        <f>IF('Modell-Kalibrierung'!C96=0," ",'Modell-Kalibrierung'!C96)</f>
        <v xml:space="preserve"> </v>
      </c>
      <c r="D74" s="59"/>
      <c r="E74" s="117"/>
      <c r="F74" s="54" t="str">
        <f>IF(C74=" "," ",(VLOOKUP(C74,'Modell-Kalibrierung'!$H$28:$I$32,2,FALSE))*D74)</f>
        <v xml:space="preserve"> </v>
      </c>
      <c r="G74" s="36"/>
      <c r="H74" s="36"/>
    </row>
    <row r="75" spans="1:8" x14ac:dyDescent="0.2">
      <c r="A75" s="36"/>
      <c r="B75" s="57" t="str">
        <f>IF('Modell-Kalibrierung'!B97=0," ",'Modell-Kalibrierung'!B97)</f>
        <v xml:space="preserve"> </v>
      </c>
      <c r="C75" s="21" t="str">
        <f>IF('Modell-Kalibrierung'!C97=0," ",'Modell-Kalibrierung'!C97)</f>
        <v xml:space="preserve"> </v>
      </c>
      <c r="D75" s="59"/>
      <c r="E75" s="117"/>
      <c r="F75" s="54" t="str">
        <f>IF(C75=" "," ",(VLOOKUP(C75,'Modell-Kalibrierung'!$H$28:$I$32,2,FALSE))*D75)</f>
        <v xml:space="preserve"> </v>
      </c>
      <c r="G75" s="36"/>
      <c r="H75" s="36"/>
    </row>
    <row r="76" spans="1:8" x14ac:dyDescent="0.2">
      <c r="A76" s="36"/>
      <c r="B76" s="57" t="str">
        <f>IF('Modell-Kalibrierung'!B98=0," ",'Modell-Kalibrierung'!B98)</f>
        <v xml:space="preserve"> </v>
      </c>
      <c r="C76" s="21" t="str">
        <f>IF('Modell-Kalibrierung'!C98=0," ",'Modell-Kalibrierung'!C98)</f>
        <v xml:space="preserve"> </v>
      </c>
      <c r="D76" s="59"/>
      <c r="E76" s="117"/>
      <c r="F76" s="54" t="str">
        <f>IF(C76=" "," ",(VLOOKUP(C76,'Modell-Kalibrierung'!$H$28:$I$32,2,FALSE))*D76)</f>
        <v xml:space="preserve"> </v>
      </c>
      <c r="G76" s="36"/>
      <c r="H76" s="36"/>
    </row>
    <row r="77" spans="1:8" x14ac:dyDescent="0.2">
      <c r="A77" s="36"/>
      <c r="B77" s="57" t="str">
        <f>IF('Modell-Kalibrierung'!B99=0," ",'Modell-Kalibrierung'!B99)</f>
        <v xml:space="preserve"> </v>
      </c>
      <c r="C77" s="21" t="str">
        <f>IF('Modell-Kalibrierung'!C99=0," ",'Modell-Kalibrierung'!C99)</f>
        <v xml:space="preserve"> </v>
      </c>
      <c r="D77" s="59"/>
      <c r="E77" s="117"/>
      <c r="F77" s="54" t="str">
        <f>IF(C77=" "," ",(VLOOKUP(C77,'Modell-Kalibrierung'!$H$28:$I$32,2,FALSE))*D77)</f>
        <v xml:space="preserve"> </v>
      </c>
      <c r="G77" s="36"/>
      <c r="H77" s="36"/>
    </row>
    <row r="78" spans="1:8" x14ac:dyDescent="0.2">
      <c r="A78" s="36"/>
      <c r="B78" s="57" t="str">
        <f>IF('Modell-Kalibrierung'!B100=0," ",'Modell-Kalibrierung'!B100)</f>
        <v xml:space="preserve"> </v>
      </c>
      <c r="C78" s="21" t="str">
        <f>IF('Modell-Kalibrierung'!C100=0," ",'Modell-Kalibrierung'!C100)</f>
        <v xml:space="preserve"> </v>
      </c>
      <c r="D78" s="59"/>
      <c r="E78" s="117"/>
      <c r="F78" s="54" t="str">
        <f>IF(C78=" "," ",(VLOOKUP(C78,'Modell-Kalibrierung'!$H$28:$I$32,2,FALSE))*D78)</f>
        <v xml:space="preserve"> </v>
      </c>
      <c r="G78" s="36"/>
      <c r="H78" s="36"/>
    </row>
    <row r="79" spans="1:8" x14ac:dyDescent="0.2">
      <c r="A79" s="36"/>
      <c r="B79" s="57" t="str">
        <f>IF('Modell-Kalibrierung'!B101=0," ",'Modell-Kalibrierung'!B101)</f>
        <v xml:space="preserve"> </v>
      </c>
      <c r="C79" s="21" t="str">
        <f>IF('Modell-Kalibrierung'!C101=0," ",'Modell-Kalibrierung'!C101)</f>
        <v xml:space="preserve"> </v>
      </c>
      <c r="D79" s="59"/>
      <c r="E79" s="117"/>
      <c r="F79" s="54" t="str">
        <f>IF(C79=" "," ",(VLOOKUP(C79,'Modell-Kalibrierung'!$H$28:$I$32,2,FALSE))*D79)</f>
        <v xml:space="preserve"> </v>
      </c>
      <c r="G79" s="36"/>
      <c r="H79" s="36"/>
    </row>
    <row r="80" spans="1:8" x14ac:dyDescent="0.2">
      <c r="A80" s="36"/>
      <c r="B80" s="57" t="str">
        <f>IF('Modell-Kalibrierung'!B102=0," ",'Modell-Kalibrierung'!B102)</f>
        <v xml:space="preserve"> </v>
      </c>
      <c r="C80" s="21" t="str">
        <f>IF('Modell-Kalibrierung'!C102=0," ",'Modell-Kalibrierung'!C102)</f>
        <v xml:space="preserve"> </v>
      </c>
      <c r="D80" s="59"/>
      <c r="E80" s="117"/>
      <c r="F80" s="54" t="str">
        <f>IF(C80=" "," ",(VLOOKUP(C80,'Modell-Kalibrierung'!$H$28:$I$32,2,FALSE))*D80)</f>
        <v xml:space="preserve"> </v>
      </c>
      <c r="G80" s="36"/>
      <c r="H80" s="36"/>
    </row>
    <row r="81" spans="1:8" x14ac:dyDescent="0.2">
      <c r="A81" s="36"/>
      <c r="B81" s="57" t="str">
        <f>IF('Modell-Kalibrierung'!B103=0," ",'Modell-Kalibrierung'!B103)</f>
        <v xml:space="preserve"> </v>
      </c>
      <c r="C81" s="21" t="str">
        <f>IF('Modell-Kalibrierung'!C103=0," ",'Modell-Kalibrierung'!C103)</f>
        <v xml:space="preserve"> </v>
      </c>
      <c r="D81" s="59"/>
      <c r="E81" s="117"/>
      <c r="F81" s="54" t="str">
        <f>IF(C81=" "," ",(VLOOKUP(C81,'Modell-Kalibrierung'!$H$28:$I$32,2,FALSE))*D81)</f>
        <v xml:space="preserve"> </v>
      </c>
      <c r="G81" s="36"/>
      <c r="H81" s="36"/>
    </row>
    <row r="82" spans="1:8" x14ac:dyDescent="0.2">
      <c r="A82" s="36"/>
      <c r="B82" s="57" t="str">
        <f>IF('Modell-Kalibrierung'!B104=0," ",'Modell-Kalibrierung'!B104)</f>
        <v xml:space="preserve"> </v>
      </c>
      <c r="C82" s="21" t="str">
        <f>IF('Modell-Kalibrierung'!C104=0," ",'Modell-Kalibrierung'!C104)</f>
        <v xml:space="preserve"> </v>
      </c>
      <c r="D82" s="59"/>
      <c r="E82" s="117"/>
      <c r="F82" s="54" t="str">
        <f>IF(C82=" "," ",(VLOOKUP(C82,'Modell-Kalibrierung'!$H$28:$I$32,2,FALSE))*D82)</f>
        <v xml:space="preserve"> </v>
      </c>
      <c r="G82" s="36"/>
      <c r="H82" s="36"/>
    </row>
    <row r="83" spans="1:8" x14ac:dyDescent="0.2">
      <c r="A83" s="36"/>
      <c r="B83" s="57" t="str">
        <f>IF('Modell-Kalibrierung'!B105=0," ",'Modell-Kalibrierung'!B105)</f>
        <v xml:space="preserve"> </v>
      </c>
      <c r="C83" s="21" t="str">
        <f>IF('Modell-Kalibrierung'!C105=0," ",'Modell-Kalibrierung'!C105)</f>
        <v xml:space="preserve"> </v>
      </c>
      <c r="D83" s="59"/>
      <c r="E83" s="117"/>
      <c r="F83" s="54" t="str">
        <f>IF(C83=" "," ",(VLOOKUP(C83,'Modell-Kalibrierung'!$H$28:$I$32,2,FALSE))*D83)</f>
        <v xml:space="preserve"> </v>
      </c>
      <c r="G83" s="36"/>
      <c r="H83" s="36"/>
    </row>
    <row r="84" spans="1:8" x14ac:dyDescent="0.2">
      <c r="A84" s="36"/>
      <c r="B84" s="57" t="str">
        <f>IF('Modell-Kalibrierung'!B106=0," ",'Modell-Kalibrierung'!B106)</f>
        <v xml:space="preserve"> </v>
      </c>
      <c r="C84" s="21" t="str">
        <f>IF('Modell-Kalibrierung'!C106=0," ",'Modell-Kalibrierung'!C106)</f>
        <v xml:space="preserve"> </v>
      </c>
      <c r="D84" s="59"/>
      <c r="E84" s="117"/>
      <c r="F84" s="54" t="str">
        <f>IF(C84=" "," ",(VLOOKUP(C84,'Modell-Kalibrierung'!$H$28:$I$32,2,FALSE))*D84)</f>
        <v xml:space="preserve"> </v>
      </c>
      <c r="G84" s="36"/>
      <c r="H84" s="36"/>
    </row>
    <row r="85" spans="1:8" x14ac:dyDescent="0.2">
      <c r="A85" s="36"/>
      <c r="B85" s="57" t="str">
        <f>IF('Modell-Kalibrierung'!B107=0," ",'Modell-Kalibrierung'!B107)</f>
        <v xml:space="preserve"> </v>
      </c>
      <c r="C85" s="21" t="str">
        <f>IF('Modell-Kalibrierung'!C107=0," ",'Modell-Kalibrierung'!C107)</f>
        <v xml:space="preserve"> </v>
      </c>
      <c r="D85" s="59"/>
      <c r="E85" s="117"/>
      <c r="F85" s="54" t="str">
        <f>IF(C85=" "," ",(VLOOKUP(C85,'Modell-Kalibrierung'!$H$28:$I$32,2,FALSE))*D85)</f>
        <v xml:space="preserve"> </v>
      </c>
      <c r="G85" s="36"/>
      <c r="H85" s="36"/>
    </row>
    <row r="86" spans="1:8" x14ac:dyDescent="0.2">
      <c r="A86" s="36"/>
      <c r="B86" s="57" t="str">
        <f>IF('Modell-Kalibrierung'!B108=0," ",'Modell-Kalibrierung'!B108)</f>
        <v xml:space="preserve"> </v>
      </c>
      <c r="C86" s="21" t="str">
        <f>IF('Modell-Kalibrierung'!C108=0," ",'Modell-Kalibrierung'!C108)</f>
        <v xml:space="preserve"> </v>
      </c>
      <c r="D86" s="59"/>
      <c r="E86" s="117"/>
      <c r="F86" s="54" t="str">
        <f>IF(C86=" "," ",(VLOOKUP(C86,'Modell-Kalibrierung'!$H$28:$I$32,2,FALSE))*D86)</f>
        <v xml:space="preserve"> </v>
      </c>
      <c r="G86" s="36"/>
      <c r="H86" s="36"/>
    </row>
    <row r="87" spans="1:8" x14ac:dyDescent="0.2">
      <c r="A87" s="36"/>
      <c r="B87" s="57" t="str">
        <f>IF('Modell-Kalibrierung'!B109=0," ",'Modell-Kalibrierung'!B109)</f>
        <v xml:space="preserve"> </v>
      </c>
      <c r="C87" s="21" t="str">
        <f>IF('Modell-Kalibrierung'!C109=0," ",'Modell-Kalibrierung'!C109)</f>
        <v xml:space="preserve"> </v>
      </c>
      <c r="D87" s="59"/>
      <c r="E87" s="117"/>
      <c r="F87" s="54" t="str">
        <f>IF(C87=" "," ",(VLOOKUP(C87,'Modell-Kalibrierung'!$H$28:$I$32,2,FALSE))*D87)</f>
        <v xml:space="preserve"> </v>
      </c>
      <c r="G87" s="36"/>
      <c r="H87" s="36"/>
    </row>
    <row r="88" spans="1:8" x14ac:dyDescent="0.2">
      <c r="A88" s="36"/>
      <c r="B88" s="57" t="str">
        <f>IF('Modell-Kalibrierung'!B110=0," ",'Modell-Kalibrierung'!B110)</f>
        <v xml:space="preserve"> </v>
      </c>
      <c r="C88" s="21" t="str">
        <f>IF('Modell-Kalibrierung'!C110=0," ",'Modell-Kalibrierung'!C110)</f>
        <v xml:space="preserve"> </v>
      </c>
      <c r="D88" s="59"/>
      <c r="E88" s="117"/>
      <c r="F88" s="54" t="str">
        <f>IF(C88=" "," ",(VLOOKUP(C88,'Modell-Kalibrierung'!$H$28:$I$32,2,FALSE))*D88)</f>
        <v xml:space="preserve"> </v>
      </c>
      <c r="G88" s="36"/>
      <c r="H88" s="36"/>
    </row>
    <row r="89" spans="1:8" x14ac:dyDescent="0.2">
      <c r="A89" s="36"/>
      <c r="B89" s="57" t="str">
        <f>IF('Modell-Kalibrierung'!B111=0," ",'Modell-Kalibrierung'!B111)</f>
        <v xml:space="preserve"> </v>
      </c>
      <c r="C89" s="21" t="str">
        <f>IF('Modell-Kalibrierung'!C111=0," ",'Modell-Kalibrierung'!C111)</f>
        <v xml:space="preserve"> </v>
      </c>
      <c r="D89" s="59"/>
      <c r="E89" s="117"/>
      <c r="F89" s="54" t="str">
        <f>IF(C89=" "," ",(VLOOKUP(C89,'Modell-Kalibrierung'!$H$28:$I$32,2,FALSE))*D89)</f>
        <v xml:space="preserve"> </v>
      </c>
      <c r="G89" s="36"/>
      <c r="H89" s="36"/>
    </row>
    <row r="90" spans="1:8" x14ac:dyDescent="0.2">
      <c r="A90" s="36"/>
      <c r="B90" s="57" t="str">
        <f>IF('Modell-Kalibrierung'!B112=0," ",'Modell-Kalibrierung'!B112)</f>
        <v xml:space="preserve"> </v>
      </c>
      <c r="C90" s="21" t="str">
        <f>IF('Modell-Kalibrierung'!C112=0," ",'Modell-Kalibrierung'!C112)</f>
        <v xml:space="preserve"> </v>
      </c>
      <c r="D90" s="59"/>
      <c r="E90" s="117"/>
      <c r="F90" s="54" t="str">
        <f>IF(C90=" "," ",(VLOOKUP(C90,'Modell-Kalibrierung'!$H$28:$I$32,2,FALSE))*D90)</f>
        <v xml:space="preserve"> </v>
      </c>
      <c r="G90" s="36"/>
      <c r="H90" s="36"/>
    </row>
    <row r="91" spans="1:8" x14ac:dyDescent="0.2">
      <c r="A91" s="36"/>
      <c r="B91" s="57" t="str">
        <f>IF('Modell-Kalibrierung'!B113=0," ",'Modell-Kalibrierung'!B113)</f>
        <v xml:space="preserve"> </v>
      </c>
      <c r="C91" s="21" t="str">
        <f>IF('Modell-Kalibrierung'!C113=0," ",'Modell-Kalibrierung'!C113)</f>
        <v xml:space="preserve"> </v>
      </c>
      <c r="D91" s="59"/>
      <c r="E91" s="117"/>
      <c r="F91" s="54" t="str">
        <f>IF(C91=" "," ",(VLOOKUP(C91,'Modell-Kalibrierung'!$H$28:$I$32,2,FALSE))*D91)</f>
        <v xml:space="preserve"> </v>
      </c>
      <c r="G91" s="36"/>
      <c r="H91" s="36"/>
    </row>
    <row r="92" spans="1:8" x14ac:dyDescent="0.2">
      <c r="A92" s="36"/>
      <c r="B92" s="57" t="str">
        <f>IF('Modell-Kalibrierung'!B114=0," ",'Modell-Kalibrierung'!B114)</f>
        <v xml:space="preserve"> </v>
      </c>
      <c r="C92" s="21" t="str">
        <f>IF('Modell-Kalibrierung'!C114=0," ",'Modell-Kalibrierung'!C114)</f>
        <v xml:space="preserve"> </v>
      </c>
      <c r="D92" s="59"/>
      <c r="E92" s="117"/>
      <c r="F92" s="54" t="str">
        <f>IF(C92=" "," ",(VLOOKUP(C92,'Modell-Kalibrierung'!$H$28:$I$32,2,FALSE))*D92)</f>
        <v xml:space="preserve"> </v>
      </c>
      <c r="G92" s="36"/>
      <c r="H92" s="36"/>
    </row>
    <row r="93" spans="1:8" x14ac:dyDescent="0.2">
      <c r="A93" s="36"/>
      <c r="B93" s="57" t="str">
        <f>IF('Modell-Kalibrierung'!B115=0," ",'Modell-Kalibrierung'!B115)</f>
        <v xml:space="preserve"> </v>
      </c>
      <c r="C93" s="21" t="str">
        <f>IF('Modell-Kalibrierung'!C115=0," ",'Modell-Kalibrierung'!C115)</f>
        <v xml:space="preserve"> </v>
      </c>
      <c r="D93" s="59"/>
      <c r="E93" s="117"/>
      <c r="F93" s="54" t="str">
        <f>IF(C93=" "," ",(VLOOKUP(C93,'Modell-Kalibrierung'!$H$28:$I$32,2,FALSE))*D93)</f>
        <v xml:space="preserve"> </v>
      </c>
      <c r="G93" s="36"/>
      <c r="H93" s="36"/>
    </row>
    <row r="94" spans="1:8" x14ac:dyDescent="0.2">
      <c r="A94" s="36"/>
      <c r="B94" s="57" t="str">
        <f>IF('Modell-Kalibrierung'!B116=0," ",'Modell-Kalibrierung'!B116)</f>
        <v xml:space="preserve"> </v>
      </c>
      <c r="C94" s="21" t="str">
        <f>IF('Modell-Kalibrierung'!C116=0," ",'Modell-Kalibrierung'!C116)</f>
        <v xml:space="preserve"> </v>
      </c>
      <c r="D94" s="59"/>
      <c r="E94" s="117"/>
      <c r="F94" s="54" t="str">
        <f>IF(C94=" "," ",(VLOOKUP(C94,'Modell-Kalibrierung'!$H$28:$I$32,2,FALSE))*D94)</f>
        <v xml:space="preserve"> </v>
      </c>
      <c r="G94" s="36"/>
      <c r="H94" s="36"/>
    </row>
    <row r="95" spans="1:8" x14ac:dyDescent="0.2">
      <c r="A95" s="36"/>
      <c r="B95" s="57" t="str">
        <f>IF('Modell-Kalibrierung'!B117=0," ",'Modell-Kalibrierung'!B117)</f>
        <v xml:space="preserve"> </v>
      </c>
      <c r="C95" s="21" t="str">
        <f>IF('Modell-Kalibrierung'!C117=0," ",'Modell-Kalibrierung'!C117)</f>
        <v xml:space="preserve"> </v>
      </c>
      <c r="D95" s="59"/>
      <c r="E95" s="117"/>
      <c r="F95" s="54" t="str">
        <f>IF(C95=" "," ",(VLOOKUP(C95,'Modell-Kalibrierung'!$H$28:$I$32,2,FALSE))*D95)</f>
        <v xml:space="preserve"> </v>
      </c>
      <c r="G95" s="36"/>
      <c r="H95" s="36"/>
    </row>
    <row r="96" spans="1:8" x14ac:dyDescent="0.2">
      <c r="A96" s="36"/>
      <c r="B96" s="57" t="str">
        <f>IF('Modell-Kalibrierung'!B118=0," ",'Modell-Kalibrierung'!B118)</f>
        <v xml:space="preserve"> </v>
      </c>
      <c r="C96" s="21" t="str">
        <f>IF('Modell-Kalibrierung'!C118=0," ",'Modell-Kalibrierung'!C118)</f>
        <v xml:space="preserve"> </v>
      </c>
      <c r="D96" s="59"/>
      <c r="E96" s="117"/>
      <c r="F96" s="54" t="str">
        <f>IF(C96=" "," ",(VLOOKUP(C96,'Modell-Kalibrierung'!$H$28:$I$32,2,FALSE))*D96)</f>
        <v xml:space="preserve"> </v>
      </c>
      <c r="G96" s="36"/>
      <c r="H96" s="36"/>
    </row>
    <row r="97" spans="1:8" x14ac:dyDescent="0.2">
      <c r="A97" s="36"/>
      <c r="B97" s="57" t="str">
        <f>IF('Modell-Kalibrierung'!B119=0," ",'Modell-Kalibrierung'!B119)</f>
        <v xml:space="preserve"> </v>
      </c>
      <c r="C97" s="21" t="str">
        <f>IF('Modell-Kalibrierung'!C119=0," ",'Modell-Kalibrierung'!C119)</f>
        <v xml:space="preserve"> </v>
      </c>
      <c r="D97" s="59"/>
      <c r="E97" s="117"/>
      <c r="F97" s="54" t="str">
        <f>IF(C97=" "," ",(VLOOKUP(C97,'Modell-Kalibrierung'!$H$28:$I$32,2,FALSE))*D97)</f>
        <v xml:space="preserve"> </v>
      </c>
      <c r="G97" s="36"/>
      <c r="H97" s="36"/>
    </row>
    <row r="98" spans="1:8" x14ac:dyDescent="0.2">
      <c r="A98" s="36"/>
      <c r="B98" s="57" t="str">
        <f>IF('Modell-Kalibrierung'!B120=0," ",'Modell-Kalibrierung'!B120)</f>
        <v xml:space="preserve"> </v>
      </c>
      <c r="C98" s="21" t="str">
        <f>IF('Modell-Kalibrierung'!C120=0," ",'Modell-Kalibrierung'!C120)</f>
        <v xml:space="preserve"> </v>
      </c>
      <c r="D98" s="59"/>
      <c r="E98" s="117"/>
      <c r="F98" s="54" t="str">
        <f>IF(C98=" "," ",(VLOOKUP(C98,'Modell-Kalibrierung'!$H$28:$I$32,2,FALSE))*D98)</f>
        <v xml:space="preserve"> </v>
      </c>
      <c r="G98" s="36"/>
      <c r="H98" s="36"/>
    </row>
    <row r="99" spans="1:8" x14ac:dyDescent="0.2">
      <c r="A99" s="36"/>
      <c r="B99" s="57" t="str">
        <f>IF('Modell-Kalibrierung'!B121=0," ",'Modell-Kalibrierung'!B121)</f>
        <v xml:space="preserve"> </v>
      </c>
      <c r="C99" s="21" t="str">
        <f>IF('Modell-Kalibrierung'!C121=0," ",'Modell-Kalibrierung'!C121)</f>
        <v xml:space="preserve"> </v>
      </c>
      <c r="D99" s="59"/>
      <c r="E99" s="117"/>
      <c r="F99" s="54" t="str">
        <f>IF(C99=" "," ",(VLOOKUP(C99,'Modell-Kalibrierung'!$H$28:$I$32,2,FALSE))*D99)</f>
        <v xml:space="preserve"> </v>
      </c>
      <c r="G99" s="36"/>
      <c r="H99" s="36"/>
    </row>
    <row r="100" spans="1:8" x14ac:dyDescent="0.2">
      <c r="A100" s="36"/>
      <c r="B100" s="57" t="str">
        <f>IF('Modell-Kalibrierung'!B122=0," ",'Modell-Kalibrierung'!B122)</f>
        <v xml:space="preserve"> </v>
      </c>
      <c r="C100" s="21" t="str">
        <f>IF('Modell-Kalibrierung'!C122=0," ",'Modell-Kalibrierung'!C122)</f>
        <v xml:space="preserve"> </v>
      </c>
      <c r="D100" s="59"/>
      <c r="E100" s="117"/>
      <c r="F100" s="54" t="str">
        <f>IF(C100=" "," ",(VLOOKUP(C100,'Modell-Kalibrierung'!$H$28:$I$32,2,FALSE))*D100)</f>
        <v xml:space="preserve"> </v>
      </c>
      <c r="G100" s="36"/>
      <c r="H100" s="36"/>
    </row>
    <row r="101" spans="1:8" x14ac:dyDescent="0.2">
      <c r="A101" s="36"/>
      <c r="B101" s="57" t="str">
        <f>IF('Modell-Kalibrierung'!B123=0," ",'Modell-Kalibrierung'!B123)</f>
        <v xml:space="preserve"> </v>
      </c>
      <c r="C101" s="21" t="str">
        <f>IF('Modell-Kalibrierung'!C123=0," ",'Modell-Kalibrierung'!C123)</f>
        <v xml:space="preserve"> </v>
      </c>
      <c r="D101" s="59"/>
      <c r="E101" s="117"/>
      <c r="F101" s="54" t="str">
        <f>IF(C101=" "," ",(VLOOKUP(C101,'Modell-Kalibrierung'!$H$28:$I$32,2,FALSE))*D101)</f>
        <v xml:space="preserve"> </v>
      </c>
      <c r="G101" s="36"/>
      <c r="H101" s="36"/>
    </row>
    <row r="102" spans="1:8" x14ac:dyDescent="0.2">
      <c r="A102" s="36"/>
      <c r="B102" s="57" t="str">
        <f>IF('Modell-Kalibrierung'!B124=0," ",'Modell-Kalibrierung'!B124)</f>
        <v xml:space="preserve"> </v>
      </c>
      <c r="C102" s="21" t="str">
        <f>IF('Modell-Kalibrierung'!C124=0," ",'Modell-Kalibrierung'!C124)</f>
        <v xml:space="preserve"> </v>
      </c>
      <c r="D102" s="59"/>
      <c r="E102" s="117"/>
      <c r="F102" s="54" t="str">
        <f>IF(C102=" "," ",(VLOOKUP(C102,'Modell-Kalibrierung'!$H$28:$I$32,2,FALSE))*D102)</f>
        <v xml:space="preserve"> </v>
      </c>
      <c r="G102" s="36"/>
      <c r="H102" s="36"/>
    </row>
    <row r="103" spans="1:8" x14ac:dyDescent="0.2">
      <c r="A103" s="36"/>
      <c r="B103" s="57" t="str">
        <f>IF('Modell-Kalibrierung'!B125=0," ",'Modell-Kalibrierung'!B125)</f>
        <v xml:space="preserve"> </v>
      </c>
      <c r="C103" s="21" t="str">
        <f>IF('Modell-Kalibrierung'!C125=0," ",'Modell-Kalibrierung'!C125)</f>
        <v xml:space="preserve"> </v>
      </c>
      <c r="D103" s="59"/>
      <c r="E103" s="117"/>
      <c r="F103" s="54" t="str">
        <f>IF(C103=" "," ",(VLOOKUP(C103,'Modell-Kalibrierung'!$H$28:$I$32,2,FALSE))*D103)</f>
        <v xml:space="preserve"> </v>
      </c>
      <c r="G103" s="36"/>
      <c r="H103" s="36"/>
    </row>
    <row r="104" spans="1:8" x14ac:dyDescent="0.2">
      <c r="A104" s="36"/>
      <c r="B104" s="57" t="str">
        <f>IF('Modell-Kalibrierung'!B126=0," ",'Modell-Kalibrierung'!B126)</f>
        <v xml:space="preserve"> </v>
      </c>
      <c r="C104" s="21" t="str">
        <f>IF('Modell-Kalibrierung'!C126=0," ",'Modell-Kalibrierung'!C126)</f>
        <v xml:space="preserve"> </v>
      </c>
      <c r="D104" s="59"/>
      <c r="E104" s="117"/>
      <c r="F104" s="54" t="str">
        <f>IF(C104=" "," ",(VLOOKUP(C104,'Modell-Kalibrierung'!$H$28:$I$32,2,FALSE))*D104)</f>
        <v xml:space="preserve"> </v>
      </c>
      <c r="G104" s="36"/>
      <c r="H104" s="36"/>
    </row>
    <row r="105" spans="1:8" x14ac:dyDescent="0.2">
      <c r="A105" s="36"/>
      <c r="B105" s="57" t="str">
        <f>IF('Modell-Kalibrierung'!B127=0," ",'Modell-Kalibrierung'!B127)</f>
        <v xml:space="preserve"> </v>
      </c>
      <c r="C105" s="21" t="str">
        <f>IF('Modell-Kalibrierung'!C127=0," ",'Modell-Kalibrierung'!C127)</f>
        <v xml:space="preserve"> </v>
      </c>
      <c r="D105" s="59"/>
      <c r="E105" s="117"/>
      <c r="F105" s="54" t="str">
        <f>IF(C105=" "," ",(VLOOKUP(C105,'Modell-Kalibrierung'!$H$28:$I$32,2,FALSE))*D105)</f>
        <v xml:space="preserve"> </v>
      </c>
      <c r="G105" s="36"/>
      <c r="H105" s="36"/>
    </row>
    <row r="106" spans="1:8" x14ac:dyDescent="0.2">
      <c r="A106" s="36"/>
      <c r="B106" s="57" t="str">
        <f>IF('Modell-Kalibrierung'!B128=0," ",'Modell-Kalibrierung'!B128)</f>
        <v xml:space="preserve"> </v>
      </c>
      <c r="C106" s="21" t="str">
        <f>IF('Modell-Kalibrierung'!C128=0," ",'Modell-Kalibrierung'!C128)</f>
        <v xml:space="preserve"> </v>
      </c>
      <c r="D106" s="59"/>
      <c r="E106" s="117"/>
      <c r="F106" s="54" t="str">
        <f>IF(C106=" "," ",(VLOOKUP(C106,'Modell-Kalibrierung'!$H$28:$I$32,2,FALSE))*D106)</f>
        <v xml:space="preserve"> </v>
      </c>
      <c r="G106" s="36"/>
      <c r="H106" s="36"/>
    </row>
    <row r="107" spans="1:8" x14ac:dyDescent="0.2">
      <c r="A107" s="36"/>
      <c r="B107" s="57" t="str">
        <f>IF('Modell-Kalibrierung'!B129=0," ",'Modell-Kalibrierung'!B129)</f>
        <v xml:space="preserve"> </v>
      </c>
      <c r="C107" s="21" t="str">
        <f>IF('Modell-Kalibrierung'!C129=0," ",'Modell-Kalibrierung'!C129)</f>
        <v xml:space="preserve"> </v>
      </c>
      <c r="D107" s="59"/>
      <c r="E107" s="117"/>
      <c r="F107" s="54" t="str">
        <f>IF(C107=" "," ",(VLOOKUP(C107,'Modell-Kalibrierung'!$H$28:$I$32,2,FALSE))*D107)</f>
        <v xml:space="preserve"> </v>
      </c>
      <c r="G107" s="36"/>
      <c r="H107" s="36"/>
    </row>
    <row r="108" spans="1:8" x14ac:dyDescent="0.2">
      <c r="A108" s="36"/>
      <c r="B108" s="57" t="str">
        <f>IF('Modell-Kalibrierung'!B130=0," ",'Modell-Kalibrierung'!B130)</f>
        <v xml:space="preserve"> </v>
      </c>
      <c r="C108" s="21" t="str">
        <f>IF('Modell-Kalibrierung'!C130=0," ",'Modell-Kalibrierung'!C130)</f>
        <v xml:space="preserve"> </v>
      </c>
      <c r="D108" s="59"/>
      <c r="E108" s="117"/>
      <c r="F108" s="54" t="str">
        <f>IF(C108=" "," ",(VLOOKUP(C108,'Modell-Kalibrierung'!$H$28:$I$32,2,FALSE))*D108)</f>
        <v xml:space="preserve"> </v>
      </c>
      <c r="G108" s="36"/>
      <c r="H108" s="36"/>
    </row>
    <row r="109" spans="1:8" x14ac:dyDescent="0.2">
      <c r="A109" s="36"/>
      <c r="B109" s="57" t="str">
        <f>IF('Modell-Kalibrierung'!B131=0," ",'Modell-Kalibrierung'!B131)</f>
        <v xml:space="preserve"> </v>
      </c>
      <c r="C109" s="21" t="str">
        <f>IF('Modell-Kalibrierung'!C131=0," ",'Modell-Kalibrierung'!C131)</f>
        <v xml:space="preserve"> </v>
      </c>
      <c r="D109" s="59"/>
      <c r="E109" s="117"/>
      <c r="F109" s="54" t="str">
        <f>IF(C109=" "," ",(VLOOKUP(C109,'Modell-Kalibrierung'!$H$28:$I$32,2,FALSE))*D109)</f>
        <v xml:space="preserve"> </v>
      </c>
      <c r="G109" s="36"/>
      <c r="H109" s="36"/>
    </row>
    <row r="110" spans="1:8" x14ac:dyDescent="0.2">
      <c r="A110" s="36"/>
      <c r="B110" s="57" t="str">
        <f>IF('Modell-Kalibrierung'!B132=0," ",'Modell-Kalibrierung'!B132)</f>
        <v xml:space="preserve"> </v>
      </c>
      <c r="C110" s="21" t="str">
        <f>IF('Modell-Kalibrierung'!C132=0," ",'Modell-Kalibrierung'!C132)</f>
        <v xml:space="preserve"> </v>
      </c>
      <c r="D110" s="59"/>
      <c r="E110" s="117"/>
      <c r="F110" s="54" t="str">
        <f>IF(C110=" "," ",(VLOOKUP(C110,'Modell-Kalibrierung'!$H$28:$I$32,2,FALSE))*D110)</f>
        <v xml:space="preserve"> </v>
      </c>
      <c r="G110" s="36"/>
      <c r="H110" s="36"/>
    </row>
    <row r="111" spans="1:8" x14ac:dyDescent="0.2">
      <c r="A111" s="36"/>
      <c r="B111" s="57" t="str">
        <f>IF('Modell-Kalibrierung'!B133=0," ",'Modell-Kalibrierung'!B133)</f>
        <v xml:space="preserve"> </v>
      </c>
      <c r="C111" s="21" t="str">
        <f>IF('Modell-Kalibrierung'!C133=0," ",'Modell-Kalibrierung'!C133)</f>
        <v xml:space="preserve"> </v>
      </c>
      <c r="D111" s="59"/>
      <c r="E111" s="117"/>
      <c r="F111" s="54" t="str">
        <f>IF(C111=" "," ",(VLOOKUP(C111,'Modell-Kalibrierung'!$H$28:$I$32,2,FALSE))*D111)</f>
        <v xml:space="preserve"> </v>
      </c>
      <c r="G111" s="36"/>
      <c r="H111" s="36"/>
    </row>
    <row r="112" spans="1:8" x14ac:dyDescent="0.2">
      <c r="A112" s="36"/>
      <c r="B112" s="57" t="str">
        <f>IF('Modell-Kalibrierung'!B134=0," ",'Modell-Kalibrierung'!B134)</f>
        <v xml:space="preserve"> </v>
      </c>
      <c r="C112" s="21" t="str">
        <f>IF('Modell-Kalibrierung'!C134=0," ",'Modell-Kalibrierung'!C134)</f>
        <v xml:space="preserve"> </v>
      </c>
      <c r="D112" s="59"/>
      <c r="E112" s="117"/>
      <c r="F112" s="54" t="str">
        <f>IF(C112=" "," ",(VLOOKUP(C112,'Modell-Kalibrierung'!$H$28:$I$32,2,FALSE))*D112)</f>
        <v xml:space="preserve"> </v>
      </c>
      <c r="G112" s="36"/>
      <c r="H112" s="36"/>
    </row>
    <row r="113" spans="1:8" x14ac:dyDescent="0.2">
      <c r="A113" s="36"/>
      <c r="B113" s="57" t="str">
        <f>IF('Modell-Kalibrierung'!B135=0," ",'Modell-Kalibrierung'!B135)</f>
        <v xml:space="preserve"> </v>
      </c>
      <c r="C113" s="21" t="str">
        <f>IF('Modell-Kalibrierung'!C135=0," ",'Modell-Kalibrierung'!C135)</f>
        <v xml:space="preserve"> </v>
      </c>
      <c r="D113" s="59"/>
      <c r="E113" s="117"/>
      <c r="F113" s="54" t="str">
        <f>IF(C113=" "," ",(VLOOKUP(C113,'Modell-Kalibrierung'!$H$28:$I$32,2,FALSE))*D113)</f>
        <v xml:space="preserve"> </v>
      </c>
      <c r="G113" s="36"/>
      <c r="H113" s="36"/>
    </row>
    <row r="114" spans="1:8" x14ac:dyDescent="0.2">
      <c r="A114" s="36"/>
      <c r="B114" s="57" t="str">
        <f>IF('Modell-Kalibrierung'!B136=0," ",'Modell-Kalibrierung'!B136)</f>
        <v xml:space="preserve"> </v>
      </c>
      <c r="C114" s="21" t="str">
        <f>IF('Modell-Kalibrierung'!C136=0," ",'Modell-Kalibrierung'!C136)</f>
        <v xml:space="preserve"> </v>
      </c>
      <c r="D114" s="59"/>
      <c r="E114" s="117"/>
      <c r="F114" s="54" t="str">
        <f>IF(C114=" "," ",(VLOOKUP(C114,'Modell-Kalibrierung'!$H$28:$I$32,2,FALSE))*D114)</f>
        <v xml:space="preserve"> </v>
      </c>
      <c r="G114" s="36"/>
      <c r="H114" s="36"/>
    </row>
    <row r="115" spans="1:8" x14ac:dyDescent="0.2">
      <c r="A115" s="36"/>
      <c r="B115" s="57" t="str">
        <f>IF('Modell-Kalibrierung'!B137=0," ",'Modell-Kalibrierung'!B137)</f>
        <v xml:space="preserve"> </v>
      </c>
      <c r="C115" s="21" t="str">
        <f>IF('Modell-Kalibrierung'!C137=0," ",'Modell-Kalibrierung'!C137)</f>
        <v xml:space="preserve"> </v>
      </c>
      <c r="D115" s="59"/>
      <c r="E115" s="117"/>
      <c r="F115" s="54" t="str">
        <f>IF(C115=" "," ",(VLOOKUP(C115,'Modell-Kalibrierung'!$H$28:$I$32,2,FALSE))*D115)</f>
        <v xml:space="preserve"> </v>
      </c>
      <c r="G115" s="36"/>
      <c r="H115" s="36"/>
    </row>
    <row r="116" spans="1:8" x14ac:dyDescent="0.2">
      <c r="A116" s="36"/>
      <c r="B116" s="57" t="str">
        <f>IF('Modell-Kalibrierung'!B138=0," ",'Modell-Kalibrierung'!B138)</f>
        <v xml:space="preserve"> </v>
      </c>
      <c r="C116" s="21" t="str">
        <f>IF('Modell-Kalibrierung'!C138=0," ",'Modell-Kalibrierung'!C138)</f>
        <v xml:space="preserve"> </v>
      </c>
      <c r="D116" s="59"/>
      <c r="E116" s="117"/>
      <c r="F116" s="54" t="str">
        <f>IF(C116=" "," ",(VLOOKUP(C116,'Modell-Kalibrierung'!$H$28:$I$32,2,FALSE))*D116)</f>
        <v xml:space="preserve"> </v>
      </c>
      <c r="G116" s="36"/>
      <c r="H116" s="36"/>
    </row>
    <row r="117" spans="1:8" x14ac:dyDescent="0.2">
      <c r="A117" s="36"/>
      <c r="B117" s="57" t="str">
        <f>IF('Modell-Kalibrierung'!B139=0," ",'Modell-Kalibrierung'!B139)</f>
        <v xml:space="preserve"> </v>
      </c>
      <c r="C117" s="21" t="str">
        <f>IF('Modell-Kalibrierung'!C139=0," ",'Modell-Kalibrierung'!C139)</f>
        <v xml:space="preserve"> </v>
      </c>
      <c r="D117" s="59"/>
      <c r="E117" s="117"/>
      <c r="F117" s="54" t="str">
        <f>IF(C117=" "," ",(VLOOKUP(C117,'Modell-Kalibrierung'!$H$28:$I$32,2,FALSE))*D117)</f>
        <v xml:space="preserve"> </v>
      </c>
      <c r="G117" s="36"/>
      <c r="H117" s="36"/>
    </row>
    <row r="118" spans="1:8" x14ac:dyDescent="0.2">
      <c r="A118" s="36"/>
      <c r="B118" s="57" t="str">
        <f>IF('Modell-Kalibrierung'!B140=0," ",'Modell-Kalibrierung'!B140)</f>
        <v xml:space="preserve"> </v>
      </c>
      <c r="C118" s="21" t="str">
        <f>IF('Modell-Kalibrierung'!C140=0," ",'Modell-Kalibrierung'!C140)</f>
        <v xml:space="preserve"> </v>
      </c>
      <c r="D118" s="59"/>
      <c r="E118" s="117"/>
      <c r="F118" s="54" t="str">
        <f>IF(C118=" "," ",(VLOOKUP(C118,'Modell-Kalibrierung'!$H$28:$I$32,2,FALSE))*D118)</f>
        <v xml:space="preserve"> </v>
      </c>
      <c r="G118" s="36"/>
      <c r="H118" s="36"/>
    </row>
    <row r="119" spans="1:8" x14ac:dyDescent="0.2">
      <c r="A119" s="36"/>
      <c r="B119" s="36"/>
      <c r="C119" s="36"/>
      <c r="D119" s="44"/>
      <c r="E119" s="54"/>
      <c r="F119" s="36"/>
      <c r="G119" s="36"/>
      <c r="H119" s="36"/>
    </row>
    <row r="120" spans="1:8" x14ac:dyDescent="0.2">
      <c r="A120" s="36"/>
      <c r="B120" s="36"/>
      <c r="C120" s="36"/>
      <c r="D120" s="44"/>
      <c r="E120" s="54"/>
      <c r="F120" s="36"/>
      <c r="G120" s="36"/>
      <c r="H120" s="36"/>
    </row>
    <row r="121" spans="1:8" x14ac:dyDescent="0.2">
      <c r="A121" s="36"/>
      <c r="B121" s="36"/>
      <c r="C121" s="36"/>
      <c r="D121" s="44"/>
      <c r="E121" s="54"/>
      <c r="F121" s="36"/>
      <c r="G121" s="36"/>
      <c r="H121" s="36"/>
    </row>
    <row r="122" spans="1:8" x14ac:dyDescent="0.2">
      <c r="A122" s="36"/>
      <c r="B122" s="36"/>
      <c r="C122" s="36"/>
      <c r="D122" s="44"/>
      <c r="E122" s="54"/>
      <c r="F122" s="36"/>
      <c r="G122" s="36"/>
      <c r="H122" s="36"/>
    </row>
    <row r="123" spans="1:8" x14ac:dyDescent="0.2">
      <c r="A123" s="36"/>
      <c r="B123" s="36"/>
      <c r="C123" s="36"/>
      <c r="D123" s="44"/>
      <c r="E123" s="54"/>
      <c r="F123" s="36"/>
      <c r="G123" s="36"/>
      <c r="H123" s="36"/>
    </row>
    <row r="124" spans="1:8" x14ac:dyDescent="0.2">
      <c r="A124" s="36"/>
      <c r="B124" s="36"/>
      <c r="C124" s="36"/>
      <c r="D124" s="44"/>
      <c r="E124" s="54"/>
      <c r="F124" s="36"/>
      <c r="G124" s="36"/>
      <c r="H124" s="36"/>
    </row>
    <row r="125" spans="1:8" x14ac:dyDescent="0.2">
      <c r="A125" s="36"/>
      <c r="B125" s="36"/>
      <c r="C125" s="36"/>
      <c r="D125" s="44"/>
      <c r="E125" s="54"/>
      <c r="F125" s="36"/>
      <c r="G125" s="36"/>
      <c r="H125" s="36"/>
    </row>
    <row r="126" spans="1:8" x14ac:dyDescent="0.2">
      <c r="D126" s="13"/>
    </row>
    <row r="127" spans="1:8" x14ac:dyDescent="0.2">
      <c r="D127" s="13"/>
    </row>
    <row r="128" spans="1:8" x14ac:dyDescent="0.2">
      <c r="D128" s="13"/>
    </row>
    <row r="129" spans="4:4" x14ac:dyDescent="0.2">
      <c r="D129" s="13"/>
    </row>
    <row r="130" spans="4:4" x14ac:dyDescent="0.2">
      <c r="D130" s="13"/>
    </row>
    <row r="131" spans="4:4" x14ac:dyDescent="0.2">
      <c r="D131" s="13"/>
    </row>
    <row r="132" spans="4:4" x14ac:dyDescent="0.2">
      <c r="D132" s="13"/>
    </row>
    <row r="133" spans="4:4" x14ac:dyDescent="0.2">
      <c r="D133" s="13"/>
    </row>
    <row r="134" spans="4:4" x14ac:dyDescent="0.2">
      <c r="D134" s="13"/>
    </row>
    <row r="135" spans="4:4" x14ac:dyDescent="0.2">
      <c r="D135" s="13"/>
    </row>
    <row r="136" spans="4:4" x14ac:dyDescent="0.2">
      <c r="D136" s="13"/>
    </row>
    <row r="137" spans="4:4" x14ac:dyDescent="0.2">
      <c r="D137" s="13"/>
    </row>
    <row r="138" spans="4:4" x14ac:dyDescent="0.2">
      <c r="D138" s="13"/>
    </row>
    <row r="139" spans="4:4" x14ac:dyDescent="0.2">
      <c r="D139" s="13"/>
    </row>
    <row r="140" spans="4:4" x14ac:dyDescent="0.2">
      <c r="D140" s="13"/>
    </row>
    <row r="141" spans="4:4" x14ac:dyDescent="0.2">
      <c r="D141" s="13"/>
    </row>
    <row r="142" spans="4:4" x14ac:dyDescent="0.2">
      <c r="D142" s="13"/>
    </row>
    <row r="143" spans="4:4" x14ac:dyDescent="0.2">
      <c r="D143" s="13"/>
    </row>
    <row r="144" spans="4:4" x14ac:dyDescent="0.2">
      <c r="D144" s="13"/>
    </row>
    <row r="145" spans="4:4" x14ac:dyDescent="0.2">
      <c r="D145" s="13"/>
    </row>
    <row r="146" spans="4:4" x14ac:dyDescent="0.2">
      <c r="D146" s="13"/>
    </row>
    <row r="147" spans="4:4" x14ac:dyDescent="0.2">
      <c r="D147" s="13"/>
    </row>
    <row r="148" spans="4:4" x14ac:dyDescent="0.2">
      <c r="D148" s="13"/>
    </row>
    <row r="149" spans="4:4" x14ac:dyDescent="0.2">
      <c r="D149" s="13"/>
    </row>
    <row r="150" spans="4:4" x14ac:dyDescent="0.2">
      <c r="D150" s="13"/>
    </row>
    <row r="151" spans="4:4" x14ac:dyDescent="0.2">
      <c r="D151" s="13"/>
    </row>
    <row r="152" spans="4:4" x14ac:dyDescent="0.2">
      <c r="D152" s="13"/>
    </row>
    <row r="153" spans="4:4" x14ac:dyDescent="0.2">
      <c r="D153" s="13"/>
    </row>
    <row r="154" spans="4:4" x14ac:dyDescent="0.2">
      <c r="D154" s="13"/>
    </row>
    <row r="155" spans="4:4" x14ac:dyDescent="0.2">
      <c r="D155" s="13"/>
    </row>
    <row r="156" spans="4:4" x14ac:dyDescent="0.2">
      <c r="D156" s="13"/>
    </row>
    <row r="157" spans="4:4" x14ac:dyDescent="0.2">
      <c r="D157" s="13"/>
    </row>
    <row r="158" spans="4:4" x14ac:dyDescent="0.2">
      <c r="D158" s="13"/>
    </row>
    <row r="159" spans="4:4" x14ac:dyDescent="0.2">
      <c r="D159" s="13"/>
    </row>
    <row r="160" spans="4:4" x14ac:dyDescent="0.2">
      <c r="D160" s="13"/>
    </row>
    <row r="161" spans="4:4" x14ac:dyDescent="0.2">
      <c r="D161" s="13"/>
    </row>
    <row r="162" spans="4:4" x14ac:dyDescent="0.2">
      <c r="D162" s="13"/>
    </row>
    <row r="163" spans="4:4" x14ac:dyDescent="0.2">
      <c r="D163" s="13"/>
    </row>
    <row r="164" spans="4:4" x14ac:dyDescent="0.2">
      <c r="D164" s="13"/>
    </row>
    <row r="165" spans="4:4" x14ac:dyDescent="0.2">
      <c r="D165" s="13"/>
    </row>
    <row r="166" spans="4:4" x14ac:dyDescent="0.2">
      <c r="D166" s="13"/>
    </row>
    <row r="167" spans="4:4" x14ac:dyDescent="0.2">
      <c r="D167" s="13"/>
    </row>
    <row r="168" spans="4:4" x14ac:dyDescent="0.2">
      <c r="D168" s="13"/>
    </row>
    <row r="169" spans="4:4" x14ac:dyDescent="0.2">
      <c r="D169" s="13"/>
    </row>
    <row r="170" spans="4:4" x14ac:dyDescent="0.2">
      <c r="D170" s="13"/>
    </row>
    <row r="171" spans="4:4" x14ac:dyDescent="0.2">
      <c r="D171" s="13"/>
    </row>
    <row r="172" spans="4:4" x14ac:dyDescent="0.2">
      <c r="D172" s="13"/>
    </row>
    <row r="173" spans="4:4" x14ac:dyDescent="0.2">
      <c r="D173" s="13"/>
    </row>
    <row r="174" spans="4:4" x14ac:dyDescent="0.2">
      <c r="D174" s="13"/>
    </row>
    <row r="175" spans="4:4" x14ac:dyDescent="0.2">
      <c r="D175" s="13"/>
    </row>
    <row r="176" spans="4:4" x14ac:dyDescent="0.2">
      <c r="D176" s="13"/>
    </row>
    <row r="177" spans="4:4" x14ac:dyDescent="0.2">
      <c r="D177" s="13"/>
    </row>
    <row r="178" spans="4:4" x14ac:dyDescent="0.2">
      <c r="D178" s="13"/>
    </row>
    <row r="179" spans="4:4" x14ac:dyDescent="0.2">
      <c r="D179" s="13"/>
    </row>
    <row r="180" spans="4:4" x14ac:dyDescent="0.2">
      <c r="D180" s="13"/>
    </row>
    <row r="181" spans="4:4" x14ac:dyDescent="0.2">
      <c r="D181" s="13"/>
    </row>
    <row r="182" spans="4:4" x14ac:dyDescent="0.2">
      <c r="D182" s="13"/>
    </row>
    <row r="183" spans="4:4" x14ac:dyDescent="0.2">
      <c r="D183" s="13"/>
    </row>
    <row r="184" spans="4:4" x14ac:dyDescent="0.2">
      <c r="D184" s="13"/>
    </row>
    <row r="185" spans="4:4" x14ac:dyDescent="0.2">
      <c r="D185" s="13"/>
    </row>
    <row r="186" spans="4:4" x14ac:dyDescent="0.2">
      <c r="D186" s="13"/>
    </row>
    <row r="187" spans="4:4" x14ac:dyDescent="0.2">
      <c r="D187" s="13"/>
    </row>
    <row r="188" spans="4:4" x14ac:dyDescent="0.2">
      <c r="D188" s="13"/>
    </row>
    <row r="189" spans="4:4" x14ac:dyDescent="0.2">
      <c r="D189" s="13"/>
    </row>
    <row r="190" spans="4:4" x14ac:dyDescent="0.2">
      <c r="D190" s="13"/>
    </row>
    <row r="191" spans="4:4" x14ac:dyDescent="0.2">
      <c r="D191" s="13"/>
    </row>
    <row r="192" spans="4:4" x14ac:dyDescent="0.2">
      <c r="D192" s="13"/>
    </row>
    <row r="193" spans="4:4" x14ac:dyDescent="0.2">
      <c r="D193" s="13"/>
    </row>
    <row r="194" spans="4:4" x14ac:dyDescent="0.2">
      <c r="D194" s="13"/>
    </row>
    <row r="195" spans="4:4" x14ac:dyDescent="0.2">
      <c r="D195" s="13"/>
    </row>
    <row r="196" spans="4:4" x14ac:dyDescent="0.2">
      <c r="D196" s="13"/>
    </row>
    <row r="197" spans="4:4" x14ac:dyDescent="0.2">
      <c r="D197" s="13"/>
    </row>
    <row r="198" spans="4:4" x14ac:dyDescent="0.2">
      <c r="D198" s="13"/>
    </row>
    <row r="199" spans="4:4" x14ac:dyDescent="0.2">
      <c r="D199" s="13"/>
    </row>
    <row r="200" spans="4:4" x14ac:dyDescent="0.2">
      <c r="D200" s="13"/>
    </row>
    <row r="201" spans="4:4" x14ac:dyDescent="0.2">
      <c r="D201" s="13"/>
    </row>
    <row r="202" spans="4:4" x14ac:dyDescent="0.2">
      <c r="D202" s="13"/>
    </row>
    <row r="203" spans="4:4" x14ac:dyDescent="0.2">
      <c r="D203" s="13"/>
    </row>
    <row r="204" spans="4:4" x14ac:dyDescent="0.2">
      <c r="D204" s="13"/>
    </row>
    <row r="205" spans="4:4" x14ac:dyDescent="0.2">
      <c r="D205" s="13"/>
    </row>
    <row r="206" spans="4:4" x14ac:dyDescent="0.2">
      <c r="D206" s="13"/>
    </row>
    <row r="207" spans="4:4" x14ac:dyDescent="0.2">
      <c r="D207" s="13"/>
    </row>
    <row r="208" spans="4:4" x14ac:dyDescent="0.2">
      <c r="D208" s="13"/>
    </row>
    <row r="209" spans="4:4" x14ac:dyDescent="0.2">
      <c r="D209" s="13"/>
    </row>
    <row r="210" spans="4:4" x14ac:dyDescent="0.2">
      <c r="D210" s="13"/>
    </row>
    <row r="211" spans="4:4" x14ac:dyDescent="0.2">
      <c r="D211" s="13"/>
    </row>
    <row r="212" spans="4:4" x14ac:dyDescent="0.2">
      <c r="D212" s="13"/>
    </row>
    <row r="213" spans="4:4" x14ac:dyDescent="0.2">
      <c r="D213" s="13"/>
    </row>
    <row r="214" spans="4:4" x14ac:dyDescent="0.2">
      <c r="D214" s="13"/>
    </row>
    <row r="215" spans="4:4" x14ac:dyDescent="0.2">
      <c r="D215" s="13"/>
    </row>
    <row r="216" spans="4:4" x14ac:dyDescent="0.2">
      <c r="D216" s="13"/>
    </row>
    <row r="217" spans="4:4" x14ac:dyDescent="0.2">
      <c r="D217" s="13"/>
    </row>
    <row r="218" spans="4:4" x14ac:dyDescent="0.2">
      <c r="D218" s="13"/>
    </row>
    <row r="219" spans="4:4" x14ac:dyDescent="0.2">
      <c r="D219" s="13"/>
    </row>
    <row r="220" spans="4:4" x14ac:dyDescent="0.2">
      <c r="D220" s="13"/>
    </row>
    <row r="221" spans="4:4" x14ac:dyDescent="0.2">
      <c r="D221" s="13"/>
    </row>
    <row r="222" spans="4:4" x14ac:dyDescent="0.2">
      <c r="D222" s="13"/>
    </row>
    <row r="223" spans="4:4" x14ac:dyDescent="0.2">
      <c r="D223" s="13"/>
    </row>
    <row r="224" spans="4:4" x14ac:dyDescent="0.2">
      <c r="D224" s="13"/>
    </row>
    <row r="225" spans="4:4" x14ac:dyDescent="0.2">
      <c r="D225" s="13"/>
    </row>
    <row r="226" spans="4:4" x14ac:dyDescent="0.2">
      <c r="D226" s="13"/>
    </row>
    <row r="227" spans="4:4" x14ac:dyDescent="0.2">
      <c r="D227" s="13"/>
    </row>
    <row r="228" spans="4:4" x14ac:dyDescent="0.2">
      <c r="D228" s="13"/>
    </row>
    <row r="229" spans="4:4" x14ac:dyDescent="0.2">
      <c r="D229" s="13"/>
    </row>
    <row r="230" spans="4:4" x14ac:dyDescent="0.2">
      <c r="D230" s="13"/>
    </row>
    <row r="231" spans="4:4" x14ac:dyDescent="0.2">
      <c r="D231" s="13"/>
    </row>
    <row r="232" spans="4:4" x14ac:dyDescent="0.2">
      <c r="D232" s="13"/>
    </row>
    <row r="233" spans="4:4" x14ac:dyDescent="0.2">
      <c r="D233" s="13"/>
    </row>
    <row r="234" spans="4:4" x14ac:dyDescent="0.2">
      <c r="D234" s="13"/>
    </row>
    <row r="235" spans="4:4" x14ac:dyDescent="0.2">
      <c r="D235" s="13"/>
    </row>
    <row r="236" spans="4:4" x14ac:dyDescent="0.2">
      <c r="D236" s="13"/>
    </row>
    <row r="237" spans="4:4" x14ac:dyDescent="0.2">
      <c r="D237" s="13"/>
    </row>
    <row r="238" spans="4:4" x14ac:dyDescent="0.2">
      <c r="D238" s="13"/>
    </row>
    <row r="239" spans="4:4" x14ac:dyDescent="0.2">
      <c r="D239" s="13"/>
    </row>
    <row r="240" spans="4:4" x14ac:dyDescent="0.2">
      <c r="D240" s="13"/>
    </row>
    <row r="241" spans="4:4" x14ac:dyDescent="0.2">
      <c r="D241" s="13"/>
    </row>
    <row r="242" spans="4:4" x14ac:dyDescent="0.2">
      <c r="D242" s="13"/>
    </row>
    <row r="243" spans="4:4" x14ac:dyDescent="0.2">
      <c r="D243" s="13"/>
    </row>
    <row r="244" spans="4:4" x14ac:dyDescent="0.2">
      <c r="D244" s="13"/>
    </row>
    <row r="245" spans="4:4" x14ac:dyDescent="0.2">
      <c r="D245" s="13"/>
    </row>
    <row r="246" spans="4:4" x14ac:dyDescent="0.2">
      <c r="D246" s="13"/>
    </row>
    <row r="247" spans="4:4" x14ac:dyDescent="0.2">
      <c r="D247" s="13"/>
    </row>
    <row r="248" spans="4:4" x14ac:dyDescent="0.2">
      <c r="D248" s="13"/>
    </row>
    <row r="249" spans="4:4" x14ac:dyDescent="0.2">
      <c r="D249" s="13"/>
    </row>
  </sheetData>
  <sheetProtection sheet="1" objects="1" scenarios="1" selectLockedCells="1"/>
  <mergeCells count="2">
    <mergeCell ref="B1:H1"/>
    <mergeCell ref="G6:H6"/>
  </mergeCells>
  <pageMargins left="0.7" right="0.7" top="0.78740157499999996" bottom="0.78740157499999996" header="0.3" footer="0.3"/>
  <pageSetup paperSize="8" scale="62" orientation="portrait" r:id="rId1"/>
  <drawing r:id="rId2"/>
  <legacyDrawing r:id="rId3"/>
  <controls>
    <mc:AlternateContent xmlns:mc="http://schemas.openxmlformats.org/markup-compatibility/2006">
      <mc:Choice Requires="x14">
        <control shapeId="56323" r:id="rId4" name="Löschbutton">
          <controlPr defaultSize="0" autoLine="0" r:id="rId5">
            <anchor moveWithCells="1">
              <from>
                <xdr:col>0</xdr:col>
                <xdr:colOff>123825</xdr:colOff>
                <xdr:row>0</xdr:row>
                <xdr:rowOff>28575</xdr:rowOff>
              </from>
              <to>
                <xdr:col>1</xdr:col>
                <xdr:colOff>1524000</xdr:colOff>
                <xdr:row>0</xdr:row>
                <xdr:rowOff>657225</xdr:rowOff>
              </to>
            </anchor>
          </controlPr>
        </control>
      </mc:Choice>
      <mc:Fallback>
        <control shapeId="56323" r:id="rId4" name="Löschbutton"/>
      </mc:Fallback>
    </mc:AlternateContent>
    <mc:AlternateContent xmlns:mc="http://schemas.openxmlformats.org/markup-compatibility/2006">
      <mc:Choice Requires="x14">
        <control shapeId="56326" r:id="rId6" name="Portfolioview">
          <controlPr defaultSize="0" autoLine="0" r:id="rId7">
            <anchor moveWithCells="1">
              <from>
                <xdr:col>1</xdr:col>
                <xdr:colOff>1600200</xdr:colOff>
                <xdr:row>0</xdr:row>
                <xdr:rowOff>28575</xdr:rowOff>
              </from>
              <to>
                <xdr:col>1</xdr:col>
                <xdr:colOff>3238500</xdr:colOff>
                <xdr:row>0</xdr:row>
                <xdr:rowOff>657225</xdr:rowOff>
              </to>
            </anchor>
          </controlPr>
        </control>
      </mc:Choice>
      <mc:Fallback>
        <control shapeId="56326" r:id="rId6" name="Portfolioview"/>
      </mc:Fallback>
    </mc:AlternateContent>
    <mc:AlternateContent xmlns:mc="http://schemas.openxmlformats.org/markup-compatibility/2006">
      <mc:Choice Requires="x14">
        <control shapeId="56329" r:id="rId8" name="ComboBox1">
          <controlPr defaultSize="0" autoLine="0" r:id="rId9">
            <anchor moveWithCells="1">
              <from>
                <xdr:col>1</xdr:col>
                <xdr:colOff>1600200</xdr:colOff>
                <xdr:row>0</xdr:row>
                <xdr:rowOff>28575</xdr:rowOff>
              </from>
              <to>
                <xdr:col>1</xdr:col>
                <xdr:colOff>3400425</xdr:colOff>
                <xdr:row>0</xdr:row>
                <xdr:rowOff>657225</xdr:rowOff>
              </to>
            </anchor>
          </controlPr>
        </control>
      </mc:Choice>
      <mc:Fallback>
        <control shapeId="56329" r:id="rId8" name="ComboBox1"/>
      </mc:Fallback>
    </mc:AlternateContent>
  </controls>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'Modell-Kalibrierung'!$E$29:$E$36</xm:f>
          </x14:formula1>
          <xm:sqref>D7:D59</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tabColor rgb="FF00B050"/>
    <pageSetUpPr fitToPage="1"/>
  </sheetPr>
  <dimension ref="A1:AJ189"/>
  <sheetViews>
    <sheetView view="pageBreakPreview" zoomScale="55" zoomScaleNormal="55" zoomScaleSheetLayoutView="55" zoomScalePageLayoutView="50" workbookViewId="0">
      <pane ySplit="32" topLeftCell="A33" activePane="bottomLeft" state="frozen"/>
      <selection activeCell="D31" sqref="D31"/>
      <selection pane="bottomLeft" activeCell="L35" sqref="L35"/>
    </sheetView>
  </sheetViews>
  <sheetFormatPr baseColWidth="10" defaultRowHeight="14.25" x14ac:dyDescent="0.2"/>
  <cols>
    <col min="1" max="1" width="3.75" customWidth="1"/>
    <col min="2" max="2" width="37.25" customWidth="1"/>
    <col min="3" max="3" width="44.125" customWidth="1"/>
    <col min="4" max="4" width="44.75" customWidth="1"/>
    <col min="5" max="5" width="38.75" customWidth="1"/>
    <col min="6" max="6" width="37.125" customWidth="1"/>
    <col min="7" max="7" width="26.375" customWidth="1"/>
    <col min="8" max="8" width="26.625" customWidth="1"/>
    <col min="9" max="9" width="26.375" customWidth="1"/>
    <col min="10" max="10" width="35.75" customWidth="1"/>
    <col min="11" max="11" width="15.25" bestFit="1" customWidth="1"/>
    <col min="12" max="12" width="62.375" bestFit="1" customWidth="1"/>
    <col min="13" max="13" width="3.75" style="54" customWidth="1"/>
    <col min="14" max="14" width="4.125" style="54" customWidth="1"/>
    <col min="15" max="15" width="11" style="99"/>
    <col min="16" max="16" width="17.875" style="99" customWidth="1"/>
    <col min="17" max="17" width="13.75" style="99" bestFit="1" customWidth="1"/>
    <col min="18" max="18" width="18.125" style="99" bestFit="1" customWidth="1"/>
    <col min="19" max="19" width="16.5" style="99" bestFit="1" customWidth="1"/>
    <col min="20" max="20" width="11" style="99"/>
    <col min="21" max="21" width="17.375" style="99" customWidth="1"/>
    <col min="22" max="23" width="11" style="99"/>
    <col min="24" max="24" width="22.125" style="99" bestFit="1" customWidth="1"/>
    <col min="25" max="25" width="18" style="99" customWidth="1"/>
    <col min="26" max="31" width="11" style="99"/>
  </cols>
  <sheetData>
    <row r="1" spans="1:16" s="100" customFormat="1" ht="46.5" hidden="1" customHeight="1" x14ac:dyDescent="0.2">
      <c r="B1" s="101" t="str">
        <f>B33</f>
        <v xml:space="preserve">Gesetzgebung </v>
      </c>
      <c r="C1" s="101" t="str">
        <f>B39</f>
        <v>politische Stabilität/ Rechtssicherheit</v>
      </c>
      <c r="D1" s="101" t="str">
        <f>B45</f>
        <v xml:space="preserve">Handelshemmnisse (Zölle/ Schranken/ regolatorische Hemmnisse ...) </v>
      </c>
      <c r="E1" s="101" t="str">
        <f>B51</f>
        <v xml:space="preserve">Wirtschaftswachstum </v>
      </c>
      <c r="F1" s="101" t="str">
        <f>B57</f>
        <v xml:space="preserve">Inflation, Zinsen, Wechselkurse </v>
      </c>
      <c r="G1" s="101" t="str">
        <f>B63</f>
        <v xml:space="preserve">Arbeitsmarkt (Quantität/ Qualität ...) </v>
      </c>
      <c r="H1" s="101" t="str">
        <f>B69</f>
        <v xml:space="preserve">Globalisierung/ Internationalisierung </v>
      </c>
      <c r="I1" s="101" t="str">
        <f>B75</f>
        <v xml:space="preserve">Ressourcenverfügbarkeit </v>
      </c>
      <c r="J1" s="101" t="str">
        <f>B81</f>
        <v xml:space="preserve">Werte </v>
      </c>
      <c r="K1" s="101" t="str">
        <f>B87</f>
        <v xml:space="preserve">Lebensstil/ Mentalitäten </v>
      </c>
      <c r="L1" s="101" t="str">
        <f>B93</f>
        <v>Bildung</v>
      </c>
      <c r="M1" s="100" t="str">
        <f>B99</f>
        <v xml:space="preserve">Forschung </v>
      </c>
      <c r="N1" s="102" t="str">
        <f>B105</f>
        <v xml:space="preserve">neue Technologien und Produkte </v>
      </c>
      <c r="O1" s="102" t="str">
        <f>B111</f>
        <v>neue Prozesse</v>
      </c>
      <c r="P1" s="102" t="str">
        <f>B117</f>
        <v>Produktlebenszyklen</v>
      </c>
    </row>
    <row r="2" spans="1:16" s="100" customFormat="1" hidden="1" x14ac:dyDescent="0.2">
      <c r="A2" s="100" t="str">
        <f>'Modell-Kalibrierung'!B16</f>
        <v>nicht vorhanden</v>
      </c>
      <c r="B2" s="100">
        <f t="shared" ref="B2:B8" si="0">COUNTIF(G$33:G$37,A2)+COUNTIF(I$33:I$37,A2)</f>
        <v>0</v>
      </c>
      <c r="C2" s="100">
        <f t="shared" ref="C2:C8" si="1">COUNTIF(G$39:G$43,A2)+COUNTIF(I$39:I$43,A2)</f>
        <v>0</v>
      </c>
      <c r="D2" s="100">
        <f t="shared" ref="D2:D8" si="2">COUNTIF(G$45:G$49,A2)+COUNTIF(I$45:I$49,A2)</f>
        <v>0</v>
      </c>
      <c r="E2" s="100">
        <f t="shared" ref="E2:E8" si="3">COUNTIF(G$51:G$55,A2)+COUNTIF(I$51:I$55,A2)</f>
        <v>0</v>
      </c>
      <c r="F2" s="100">
        <f t="shared" ref="F2:F8" si="4">COUNTIF(G$57:G$61,A2)+COUNTIF(I$57:I$61,A2)</f>
        <v>0</v>
      </c>
      <c r="G2" s="100">
        <f t="shared" ref="G2:G8" si="5">COUNTIF(G$63:G$67,A2)+COUNTIF(I$63:I$67,A2)</f>
        <v>0</v>
      </c>
      <c r="H2" s="100">
        <f t="shared" ref="H2:H8" si="6">COUNTIF(G$69:G$73,A2)+COUNTIF(I$69:I$73,A2)</f>
        <v>0</v>
      </c>
      <c r="I2" s="100">
        <f t="shared" ref="I2:I8" si="7">COUNTIF(G$75:G$79,A2)+COUNTIF(I$75:I$79,A2)</f>
        <v>0</v>
      </c>
      <c r="J2" s="100">
        <f t="shared" ref="J2:J8" si="8">COUNTIF(G$81:G$85,A2)+COUNTIF(I$81:I$85,A2)</f>
        <v>0</v>
      </c>
      <c r="K2" s="100">
        <f t="shared" ref="K2:K8" si="9">COUNTIF(G$87:G$91,A2)+COUNTIF(I$87:I$91,A2)</f>
        <v>0</v>
      </c>
      <c r="L2" s="100">
        <f t="shared" ref="L2:L8" si="10">COUNTIF(G$93:G$97,A2)+COUNTIF(I$93:I$97,A2)</f>
        <v>0</v>
      </c>
      <c r="M2" s="100">
        <f t="shared" ref="M2:M8" si="11">COUNTIF(G$99:G$103,A2)+COUNTIF(I$99:I$103,A2)</f>
        <v>0</v>
      </c>
      <c r="N2" s="100">
        <f t="shared" ref="N2:N8" si="12">COUNTIF(G$105:G$109,A2)+COUNTIF(I$105:I$109,A2)</f>
        <v>0</v>
      </c>
      <c r="O2" s="100">
        <f t="shared" ref="O2:O8" si="13">COUNTIF(G$111:G$115,A2)+COUNTIF(I$111:I$115,A2)</f>
        <v>0</v>
      </c>
      <c r="P2" s="100">
        <f t="shared" ref="P2:P8" si="14">COUNTIF(G$117:G$121,A2)+COUNTIF(I$117:I$121,A2)</f>
        <v>0</v>
      </c>
    </row>
    <row r="3" spans="1:16" s="100" customFormat="1" hidden="1" x14ac:dyDescent="0.2">
      <c r="A3" s="100" t="str">
        <f>'Modell-Kalibrierung'!B17</f>
        <v>sehr gering</v>
      </c>
      <c r="B3" s="100">
        <f t="shared" si="0"/>
        <v>0</v>
      </c>
      <c r="C3" s="100">
        <f t="shared" si="1"/>
        <v>0</v>
      </c>
      <c r="D3" s="100">
        <f t="shared" si="2"/>
        <v>0</v>
      </c>
      <c r="E3" s="100">
        <f t="shared" si="3"/>
        <v>0</v>
      </c>
      <c r="F3" s="100">
        <f t="shared" si="4"/>
        <v>0</v>
      </c>
      <c r="G3" s="100">
        <f t="shared" si="5"/>
        <v>0</v>
      </c>
      <c r="H3" s="100">
        <f t="shared" si="6"/>
        <v>0</v>
      </c>
      <c r="I3" s="100">
        <f t="shared" si="7"/>
        <v>0</v>
      </c>
      <c r="J3" s="100">
        <f t="shared" si="8"/>
        <v>0</v>
      </c>
      <c r="K3" s="100">
        <f t="shared" si="9"/>
        <v>0</v>
      </c>
      <c r="L3" s="100">
        <f t="shared" si="10"/>
        <v>0</v>
      </c>
      <c r="M3" s="100">
        <f t="shared" si="11"/>
        <v>0</v>
      </c>
      <c r="N3" s="100">
        <f t="shared" si="12"/>
        <v>0</v>
      </c>
      <c r="O3" s="100">
        <f t="shared" si="13"/>
        <v>0</v>
      </c>
      <c r="P3" s="100">
        <f t="shared" si="14"/>
        <v>0</v>
      </c>
    </row>
    <row r="4" spans="1:16" s="100" customFormat="1" hidden="1" x14ac:dyDescent="0.2">
      <c r="A4" s="100" t="str">
        <f>'Modell-Kalibrierung'!B18</f>
        <v>gering</v>
      </c>
      <c r="B4" s="100">
        <f t="shared" si="0"/>
        <v>0</v>
      </c>
      <c r="C4" s="100">
        <f t="shared" si="1"/>
        <v>0</v>
      </c>
      <c r="D4" s="100">
        <f t="shared" si="2"/>
        <v>0</v>
      </c>
      <c r="E4" s="100">
        <f t="shared" si="3"/>
        <v>0</v>
      </c>
      <c r="F4" s="100">
        <f t="shared" si="4"/>
        <v>0</v>
      </c>
      <c r="G4" s="100">
        <f t="shared" si="5"/>
        <v>0</v>
      </c>
      <c r="H4" s="100">
        <f t="shared" si="6"/>
        <v>0</v>
      </c>
      <c r="I4" s="100">
        <f t="shared" si="7"/>
        <v>0</v>
      </c>
      <c r="J4" s="100">
        <f t="shared" si="8"/>
        <v>0</v>
      </c>
      <c r="K4" s="100">
        <f t="shared" si="9"/>
        <v>0</v>
      </c>
      <c r="L4" s="100">
        <f t="shared" si="10"/>
        <v>0</v>
      </c>
      <c r="M4" s="100">
        <f t="shared" si="11"/>
        <v>0</v>
      </c>
      <c r="N4" s="100">
        <f t="shared" si="12"/>
        <v>0</v>
      </c>
      <c r="O4" s="100">
        <f t="shared" si="13"/>
        <v>0</v>
      </c>
      <c r="P4" s="100">
        <f t="shared" si="14"/>
        <v>0</v>
      </c>
    </row>
    <row r="5" spans="1:16" s="100" customFormat="1" hidden="1" x14ac:dyDescent="0.2">
      <c r="A5" s="100" t="str">
        <f>'Modell-Kalibrierung'!B19</f>
        <v>mittel</v>
      </c>
      <c r="B5" s="100">
        <f t="shared" si="0"/>
        <v>0</v>
      </c>
      <c r="C5" s="100">
        <f t="shared" si="1"/>
        <v>0</v>
      </c>
      <c r="D5" s="100">
        <f t="shared" si="2"/>
        <v>0</v>
      </c>
      <c r="E5" s="100">
        <f t="shared" si="3"/>
        <v>0</v>
      </c>
      <c r="F5" s="100">
        <f t="shared" si="4"/>
        <v>0</v>
      </c>
      <c r="G5" s="100">
        <f t="shared" si="5"/>
        <v>0</v>
      </c>
      <c r="H5" s="100">
        <f t="shared" si="6"/>
        <v>0</v>
      </c>
      <c r="I5" s="100">
        <f t="shared" si="7"/>
        <v>0</v>
      </c>
      <c r="J5" s="100">
        <f t="shared" si="8"/>
        <v>0</v>
      </c>
      <c r="K5" s="100">
        <f t="shared" si="9"/>
        <v>0</v>
      </c>
      <c r="L5" s="100">
        <f t="shared" si="10"/>
        <v>0</v>
      </c>
      <c r="M5" s="100">
        <f t="shared" si="11"/>
        <v>0</v>
      </c>
      <c r="N5" s="100">
        <f t="shared" si="12"/>
        <v>0</v>
      </c>
      <c r="O5" s="100">
        <f t="shared" si="13"/>
        <v>0</v>
      </c>
      <c r="P5" s="100">
        <f t="shared" si="14"/>
        <v>0</v>
      </c>
    </row>
    <row r="6" spans="1:16" s="100" customFormat="1" hidden="1" x14ac:dyDescent="0.2">
      <c r="A6" s="100" t="str">
        <f>'Modell-Kalibrierung'!B20</f>
        <v>hoch</v>
      </c>
      <c r="B6" s="100">
        <f t="shared" si="0"/>
        <v>0</v>
      </c>
      <c r="C6" s="100">
        <f t="shared" si="1"/>
        <v>0</v>
      </c>
      <c r="D6" s="100">
        <f t="shared" si="2"/>
        <v>0</v>
      </c>
      <c r="E6" s="100">
        <f t="shared" si="3"/>
        <v>0</v>
      </c>
      <c r="F6" s="100">
        <f t="shared" si="4"/>
        <v>0</v>
      </c>
      <c r="G6" s="100">
        <f t="shared" si="5"/>
        <v>0</v>
      </c>
      <c r="H6" s="100">
        <f t="shared" si="6"/>
        <v>0</v>
      </c>
      <c r="I6" s="100">
        <f t="shared" si="7"/>
        <v>0</v>
      </c>
      <c r="J6" s="100">
        <f t="shared" si="8"/>
        <v>0</v>
      </c>
      <c r="K6" s="100">
        <f t="shared" si="9"/>
        <v>0</v>
      </c>
      <c r="L6" s="100">
        <f t="shared" si="10"/>
        <v>0</v>
      </c>
      <c r="M6" s="100">
        <f t="shared" si="11"/>
        <v>0</v>
      </c>
      <c r="N6" s="100">
        <f t="shared" si="12"/>
        <v>0</v>
      </c>
      <c r="O6" s="100">
        <f t="shared" si="13"/>
        <v>0</v>
      </c>
      <c r="P6" s="100">
        <f t="shared" si="14"/>
        <v>0</v>
      </c>
    </row>
    <row r="7" spans="1:16" s="100" customFormat="1" hidden="1" x14ac:dyDescent="0.2">
      <c r="A7" s="100" t="str">
        <f>'Modell-Kalibrierung'!B21</f>
        <v>sehr hoch</v>
      </c>
      <c r="B7" s="100">
        <f t="shared" si="0"/>
        <v>0</v>
      </c>
      <c r="C7" s="100">
        <f t="shared" si="1"/>
        <v>0</v>
      </c>
      <c r="D7" s="100">
        <f t="shared" si="2"/>
        <v>0</v>
      </c>
      <c r="E7" s="100">
        <f t="shared" si="3"/>
        <v>0</v>
      </c>
      <c r="F7" s="100">
        <f t="shared" si="4"/>
        <v>0</v>
      </c>
      <c r="G7" s="100">
        <f t="shared" si="5"/>
        <v>0</v>
      </c>
      <c r="H7" s="100">
        <f t="shared" si="6"/>
        <v>0</v>
      </c>
      <c r="I7" s="100">
        <f t="shared" si="7"/>
        <v>0</v>
      </c>
      <c r="J7" s="100">
        <f t="shared" si="8"/>
        <v>0</v>
      </c>
      <c r="K7" s="100">
        <f t="shared" si="9"/>
        <v>0</v>
      </c>
      <c r="L7" s="100">
        <f t="shared" si="10"/>
        <v>0</v>
      </c>
      <c r="M7" s="100">
        <f t="shared" si="11"/>
        <v>0</v>
      </c>
      <c r="N7" s="100">
        <f t="shared" si="12"/>
        <v>0</v>
      </c>
      <c r="O7" s="100">
        <f t="shared" si="13"/>
        <v>0</v>
      </c>
      <c r="P7" s="100">
        <f t="shared" si="14"/>
        <v>0</v>
      </c>
    </row>
    <row r="8" spans="1:16" s="100" customFormat="1" hidden="1" x14ac:dyDescent="0.2">
      <c r="A8" s="100" t="str">
        <f>'Modell-Kalibrierung'!B22</f>
        <v>führt zum Abbruch</v>
      </c>
      <c r="B8" s="100">
        <f t="shared" si="0"/>
        <v>0</v>
      </c>
      <c r="C8" s="100">
        <f t="shared" si="1"/>
        <v>0</v>
      </c>
      <c r="D8" s="100">
        <f t="shared" si="2"/>
        <v>0</v>
      </c>
      <c r="E8" s="100">
        <f t="shared" si="3"/>
        <v>0</v>
      </c>
      <c r="F8" s="100">
        <f t="shared" si="4"/>
        <v>0</v>
      </c>
      <c r="G8" s="100">
        <f t="shared" si="5"/>
        <v>0</v>
      </c>
      <c r="H8" s="100">
        <f t="shared" si="6"/>
        <v>0</v>
      </c>
      <c r="I8" s="100">
        <f t="shared" si="7"/>
        <v>0</v>
      </c>
      <c r="J8" s="100">
        <f t="shared" si="8"/>
        <v>0</v>
      </c>
      <c r="K8" s="100">
        <f t="shared" si="9"/>
        <v>0</v>
      </c>
      <c r="L8" s="100">
        <f t="shared" si="10"/>
        <v>0</v>
      </c>
      <c r="M8" s="100">
        <f t="shared" si="11"/>
        <v>0</v>
      </c>
      <c r="N8" s="100">
        <f t="shared" si="12"/>
        <v>0</v>
      </c>
      <c r="O8" s="100">
        <f t="shared" si="13"/>
        <v>0</v>
      </c>
      <c r="P8" s="100">
        <f t="shared" si="14"/>
        <v>0</v>
      </c>
    </row>
    <row r="9" spans="1:16" s="100" customFormat="1" hidden="1" x14ac:dyDescent="0.2">
      <c r="A9" s="100" t="s">
        <v>82</v>
      </c>
      <c r="B9" s="100">
        <f t="shared" ref="B9:O9" si="15">IF(B8&gt;0,6,IF(B7&gt;0,5,IF(B6&gt;0,4,IF(B5&gt;0,3,IF(B4&gt;0,2,IF(B3&gt;0,1,IF(B2&gt;0,0,0)))))))</f>
        <v>0</v>
      </c>
      <c r="C9" s="100">
        <f t="shared" si="15"/>
        <v>0</v>
      </c>
      <c r="D9" s="100">
        <f t="shared" si="15"/>
        <v>0</v>
      </c>
      <c r="E9" s="100">
        <f t="shared" si="15"/>
        <v>0</v>
      </c>
      <c r="F9" s="100">
        <f t="shared" si="15"/>
        <v>0</v>
      </c>
      <c r="G9" s="100">
        <f t="shared" si="15"/>
        <v>0</v>
      </c>
      <c r="H9" s="100">
        <f t="shared" si="15"/>
        <v>0</v>
      </c>
      <c r="I9" s="100">
        <f t="shared" si="15"/>
        <v>0</v>
      </c>
      <c r="J9" s="100">
        <f t="shared" si="15"/>
        <v>0</v>
      </c>
      <c r="K9" s="100">
        <f t="shared" si="15"/>
        <v>0</v>
      </c>
      <c r="L9" s="100">
        <f t="shared" si="15"/>
        <v>0</v>
      </c>
      <c r="M9" s="100">
        <f t="shared" si="15"/>
        <v>0</v>
      </c>
      <c r="N9" s="100">
        <f t="shared" si="15"/>
        <v>0</v>
      </c>
      <c r="O9" s="100">
        <f t="shared" si="15"/>
        <v>0</v>
      </c>
      <c r="P9" s="100">
        <f t="shared" ref="P9" si="16">IF(P8&gt;0,6,IF(P7&gt;0,5,IF(P6&gt;0,4,IF(P5&gt;0,3,IF(P4&gt;0,2,IF(P3&gt;0,1,IF(P2&gt;0,0,0)))))))</f>
        <v>0</v>
      </c>
    </row>
    <row r="10" spans="1:16" s="100" customFormat="1" hidden="1" x14ac:dyDescent="0.2"/>
    <row r="11" spans="1:16" s="100" customFormat="1" hidden="1" x14ac:dyDescent="0.2"/>
    <row r="12" spans="1:16" s="100" customFormat="1" hidden="1" x14ac:dyDescent="0.2"/>
    <row r="13" spans="1:16" s="100" customFormat="1" hidden="1" x14ac:dyDescent="0.2">
      <c r="C13" s="100" t="s">
        <v>23</v>
      </c>
      <c r="D13" s="100" t="s">
        <v>82</v>
      </c>
      <c r="E13" s="100" t="s">
        <v>83</v>
      </c>
    </row>
    <row r="14" spans="1:16" s="100" customFormat="1" hidden="1" x14ac:dyDescent="0.2">
      <c r="B14" s="102" t="str">
        <f t="array" ref="B14:B28">TRANSPOSE(B1:P1)</f>
        <v xml:space="preserve">Gesetzgebung </v>
      </c>
      <c r="C14" s="100">
        <f>K38</f>
        <v>0</v>
      </c>
      <c r="D14" s="100">
        <f t="array" ref="D14:D28">TRANSPOSE($B$9:$P$9)</f>
        <v>0</v>
      </c>
      <c r="E14" s="103">
        <f t="shared" ref="E14:E28" si="17">IF(C14&gt;0,C14/$M$31,0)</f>
        <v>0</v>
      </c>
      <c r="F14" s="100" t="s">
        <v>65</v>
      </c>
    </row>
    <row r="15" spans="1:16" s="100" customFormat="1" hidden="1" x14ac:dyDescent="0.2">
      <c r="B15" s="102" t="str">
        <v>politische Stabilität/ Rechtssicherheit</v>
      </c>
      <c r="C15" s="100">
        <f>K44</f>
        <v>0</v>
      </c>
      <c r="D15" s="100">
        <v>0</v>
      </c>
      <c r="E15" s="103">
        <f t="shared" si="17"/>
        <v>0</v>
      </c>
      <c r="F15" s="100" t="s">
        <v>65</v>
      </c>
    </row>
    <row r="16" spans="1:16" s="100" customFormat="1" ht="28.5" hidden="1" x14ac:dyDescent="0.2">
      <c r="B16" s="102" t="str">
        <v xml:space="preserve">Handelshemmnisse (Zölle/ Schranken/ regolatorische Hemmnisse ...) </v>
      </c>
      <c r="C16" s="100">
        <f>K50</f>
        <v>0</v>
      </c>
      <c r="D16" s="100">
        <v>0</v>
      </c>
      <c r="E16" s="103">
        <f t="shared" si="17"/>
        <v>0</v>
      </c>
      <c r="F16" s="100" t="s">
        <v>65</v>
      </c>
    </row>
    <row r="17" spans="1:14" s="100" customFormat="1" hidden="1" x14ac:dyDescent="0.2">
      <c r="B17" s="102" t="str">
        <v xml:space="preserve">Wirtschaftswachstum </v>
      </c>
      <c r="C17" s="100">
        <f>K56</f>
        <v>0</v>
      </c>
      <c r="D17" s="100">
        <v>0</v>
      </c>
      <c r="E17" s="103">
        <f t="shared" si="17"/>
        <v>0</v>
      </c>
      <c r="F17" s="100" t="s">
        <v>3</v>
      </c>
    </row>
    <row r="18" spans="1:14" s="100" customFormat="1" hidden="1" x14ac:dyDescent="0.2">
      <c r="B18" s="102" t="str">
        <v xml:space="preserve">Inflation, Zinsen, Wechselkurse </v>
      </c>
      <c r="C18" s="100">
        <f>K62</f>
        <v>0</v>
      </c>
      <c r="D18" s="100">
        <v>0</v>
      </c>
      <c r="E18" s="103">
        <f t="shared" si="17"/>
        <v>0</v>
      </c>
      <c r="F18" s="100" t="s">
        <v>3</v>
      </c>
    </row>
    <row r="19" spans="1:14" s="100" customFormat="1" hidden="1" x14ac:dyDescent="0.2">
      <c r="B19" s="102" t="str">
        <v xml:space="preserve">Arbeitsmarkt (Quantität/ Qualität ...) </v>
      </c>
      <c r="C19" s="100">
        <f>K68</f>
        <v>0</v>
      </c>
      <c r="D19" s="100">
        <v>0</v>
      </c>
      <c r="E19" s="103">
        <f t="shared" si="17"/>
        <v>0</v>
      </c>
      <c r="F19" s="100" t="s">
        <v>3</v>
      </c>
    </row>
    <row r="20" spans="1:14" s="100" customFormat="1" hidden="1" x14ac:dyDescent="0.2">
      <c r="B20" s="102" t="str">
        <v xml:space="preserve">Globalisierung/ Internationalisierung </v>
      </c>
      <c r="C20" s="100">
        <f>K74</f>
        <v>0</v>
      </c>
      <c r="D20" s="100">
        <v>0</v>
      </c>
      <c r="E20" s="103">
        <f t="shared" si="17"/>
        <v>0</v>
      </c>
      <c r="F20" s="100" t="s">
        <v>3</v>
      </c>
    </row>
    <row r="21" spans="1:14" s="100" customFormat="1" hidden="1" x14ac:dyDescent="0.2">
      <c r="B21" s="102" t="str">
        <v xml:space="preserve">Ressourcenverfügbarkeit </v>
      </c>
      <c r="C21" s="100">
        <f>K80</f>
        <v>0</v>
      </c>
      <c r="D21" s="100">
        <v>0</v>
      </c>
      <c r="E21" s="103">
        <f t="shared" si="17"/>
        <v>0</v>
      </c>
      <c r="F21" s="100" t="s">
        <v>3</v>
      </c>
    </row>
    <row r="22" spans="1:14" s="100" customFormat="1" hidden="1" x14ac:dyDescent="0.2">
      <c r="B22" s="102" t="str">
        <v xml:space="preserve">Werte </v>
      </c>
      <c r="C22" s="100">
        <f>K86</f>
        <v>0</v>
      </c>
      <c r="D22" s="100">
        <v>0</v>
      </c>
      <c r="E22" s="103">
        <f t="shared" si="17"/>
        <v>0</v>
      </c>
      <c r="F22" s="100" t="s">
        <v>4</v>
      </c>
    </row>
    <row r="23" spans="1:14" s="100" customFormat="1" hidden="1" x14ac:dyDescent="0.2">
      <c r="B23" s="102" t="str">
        <v xml:space="preserve">Lebensstil/ Mentalitäten </v>
      </c>
      <c r="C23" s="100">
        <f>K92</f>
        <v>0</v>
      </c>
      <c r="D23" s="100">
        <v>0</v>
      </c>
      <c r="E23" s="103">
        <f t="shared" si="17"/>
        <v>0</v>
      </c>
      <c r="F23" s="100" t="s">
        <v>4</v>
      </c>
    </row>
    <row r="24" spans="1:14" s="100" customFormat="1" hidden="1" x14ac:dyDescent="0.2">
      <c r="B24" s="102" t="str">
        <v>Bildung</v>
      </c>
      <c r="C24" s="100">
        <f>K98</f>
        <v>0</v>
      </c>
      <c r="D24" s="100">
        <v>0</v>
      </c>
      <c r="E24" s="103">
        <f t="shared" si="17"/>
        <v>0</v>
      </c>
      <c r="F24" s="100" t="s">
        <v>4</v>
      </c>
    </row>
    <row r="25" spans="1:14" s="100" customFormat="1" hidden="1" x14ac:dyDescent="0.2">
      <c r="B25" s="102" t="str">
        <v xml:space="preserve">Forschung </v>
      </c>
      <c r="C25" s="100">
        <f>K104</f>
        <v>0</v>
      </c>
      <c r="D25" s="100">
        <v>0</v>
      </c>
      <c r="E25" s="103">
        <f t="shared" si="17"/>
        <v>0</v>
      </c>
      <c r="F25" s="100" t="s">
        <v>5</v>
      </c>
    </row>
    <row r="26" spans="1:14" s="100" customFormat="1" hidden="1" x14ac:dyDescent="0.2">
      <c r="B26" s="102" t="str">
        <v xml:space="preserve">neue Technologien und Produkte </v>
      </c>
      <c r="C26" s="100">
        <f>K110</f>
        <v>0</v>
      </c>
      <c r="D26" s="100">
        <v>0</v>
      </c>
      <c r="E26" s="103">
        <f t="shared" si="17"/>
        <v>0</v>
      </c>
      <c r="F26" s="100" t="s">
        <v>5</v>
      </c>
    </row>
    <row r="27" spans="1:14" s="100" customFormat="1" hidden="1" x14ac:dyDescent="0.2">
      <c r="B27" s="102" t="str">
        <v>neue Prozesse</v>
      </c>
      <c r="C27" s="100">
        <f>K116</f>
        <v>0</v>
      </c>
      <c r="D27" s="100">
        <v>0</v>
      </c>
      <c r="E27" s="103">
        <f t="shared" si="17"/>
        <v>0</v>
      </c>
      <c r="F27" s="100" t="s">
        <v>5</v>
      </c>
    </row>
    <row r="28" spans="1:14" s="100" customFormat="1" hidden="1" x14ac:dyDescent="0.2">
      <c r="B28" s="102" t="str">
        <v>Produktlebenszyklen</v>
      </c>
      <c r="C28" s="100">
        <f>K122</f>
        <v>0</v>
      </c>
      <c r="D28" s="100">
        <v>0</v>
      </c>
      <c r="E28" s="103">
        <f t="shared" si="17"/>
        <v>0</v>
      </c>
      <c r="F28" s="100" t="s">
        <v>5</v>
      </c>
    </row>
    <row r="29" spans="1:14" s="100" customFormat="1" hidden="1" x14ac:dyDescent="0.2">
      <c r="M29" s="48"/>
      <c r="N29" s="48"/>
    </row>
    <row r="30" spans="1:14" s="100" customFormat="1" ht="33" hidden="1" customHeight="1" x14ac:dyDescent="0.2">
      <c r="M30" s="48"/>
      <c r="N30" s="48"/>
    </row>
    <row r="31" spans="1:14" ht="69.75" customHeight="1" thickBot="1" x14ac:dyDescent="0.25">
      <c r="A31" s="36"/>
      <c r="B31" s="149"/>
      <c r="C31" s="149"/>
      <c r="D31" s="149"/>
      <c r="E31" s="149"/>
      <c r="F31" s="149"/>
      <c r="G31" s="149"/>
      <c r="H31" s="149"/>
      <c r="I31" s="149"/>
      <c r="J31" s="149"/>
      <c r="K31" s="149"/>
      <c r="L31" s="149"/>
      <c r="M31" s="54">
        <f>SUM(K122,K116,K110,K104,K98,K92,K86,K80,K74,K68,K62,K56,K50,K44,K38)</f>
        <v>0</v>
      </c>
      <c r="N31" s="54">
        <f>MAX(K38,K44,K50,K56,K62,K68,K74,K80,K86,K92,K98,K104,K110,K116,K122,)+5</f>
        <v>5</v>
      </c>
    </row>
    <row r="32" spans="1:14" ht="63.75" customHeight="1" thickBot="1" x14ac:dyDescent="0.25">
      <c r="A32" s="36"/>
      <c r="B32" s="61" t="s">
        <v>0</v>
      </c>
      <c r="C32" s="61" t="s">
        <v>40</v>
      </c>
      <c r="D32" s="61" t="s">
        <v>1</v>
      </c>
      <c r="E32" s="61" t="s">
        <v>2</v>
      </c>
      <c r="F32" s="61" t="s">
        <v>6</v>
      </c>
      <c r="G32" s="61" t="s">
        <v>21</v>
      </c>
      <c r="H32" s="61" t="s">
        <v>7</v>
      </c>
      <c r="I32" s="61" t="s">
        <v>20</v>
      </c>
      <c r="J32" s="61" t="s">
        <v>10</v>
      </c>
      <c r="K32" s="61" t="s">
        <v>23</v>
      </c>
      <c r="L32" s="61" t="s">
        <v>93</v>
      </c>
      <c r="M32" s="54">
        <f>SUM(M33:M2033)</f>
        <v>5</v>
      </c>
    </row>
    <row r="33" spans="1:13" ht="20.25" x14ac:dyDescent="0.2">
      <c r="A33" s="136" t="s">
        <v>65</v>
      </c>
      <c r="B33" s="148" t="s">
        <v>9</v>
      </c>
      <c r="C33" s="11"/>
      <c r="D33" s="11"/>
      <c r="E33" s="6"/>
      <c r="F33" s="10"/>
      <c r="G33" s="8"/>
      <c r="H33" s="9"/>
      <c r="I33" s="8"/>
      <c r="J33" s="1" t="e">
        <f>1-VLOOKUP(H33,'Modell-Kalibrierung'!$B$3:$C$8,2,0)</f>
        <v>#N/A</v>
      </c>
      <c r="K33" s="2">
        <f>IF(ISNA(J33),0,VLOOKUP(G33,'Modell-Kalibrierung'!$B$16:$C$22,2,FALSE)*VLOOKUP(H33,'Modell-Kalibrierung'!$B$3:$C$8,2,0)+VLOOKUP(I33,'Modell-Kalibrierung'!$B$16:$C$22,2,0)*'STEP-Analyse'!J33)</f>
        <v>0</v>
      </c>
      <c r="L33" s="6"/>
      <c r="M33" s="54">
        <v>1</v>
      </c>
    </row>
    <row r="34" spans="1:13" ht="20.25" x14ac:dyDescent="0.2">
      <c r="A34" s="137"/>
      <c r="B34" s="139"/>
      <c r="C34" s="10"/>
      <c r="D34" s="10"/>
      <c r="E34" s="6"/>
      <c r="F34" s="10"/>
      <c r="G34" s="8"/>
      <c r="H34" s="9"/>
      <c r="I34" s="8"/>
      <c r="J34" s="1" t="e">
        <f>1-VLOOKUP(H34,'Modell-Kalibrierung'!$B$3:$C$8,2,0)</f>
        <v>#N/A</v>
      </c>
      <c r="K34" s="2">
        <f>IF(ISNA(J34),0,VLOOKUP(G34,'Modell-Kalibrierung'!$B$16:$C$22,2,FALSE)*VLOOKUP(H34,'Modell-Kalibrierung'!$B$3:$C$8,2,0)+VLOOKUP(I34,'Modell-Kalibrierung'!$B$16:$C$22,2,0)*'STEP-Analyse'!J34)</f>
        <v>0</v>
      </c>
      <c r="L34" s="6"/>
      <c r="M34" s="54">
        <v>1</v>
      </c>
    </row>
    <row r="35" spans="1:13" ht="20.25" x14ac:dyDescent="0.2">
      <c r="A35" s="137"/>
      <c r="B35" s="139"/>
      <c r="C35" s="10"/>
      <c r="D35" s="10"/>
      <c r="E35" s="6"/>
      <c r="F35" s="10"/>
      <c r="G35" s="8"/>
      <c r="H35" s="9"/>
      <c r="I35" s="8"/>
      <c r="J35" s="1" t="e">
        <f>1-VLOOKUP(H35,'Modell-Kalibrierung'!$B$3:$C$8,2,0)</f>
        <v>#N/A</v>
      </c>
      <c r="K35" s="93">
        <f>IF(ISNA(J35),0,VLOOKUP(G35,'Modell-Kalibrierung'!$B$16:$C$22,2,FALSE)*VLOOKUP(H35,'Modell-Kalibrierung'!$B$3:$C$8,2,0)+VLOOKUP(I35,'Modell-Kalibrierung'!$B$16:$C$22,2,0)*'STEP-Analyse'!J35)</f>
        <v>0</v>
      </c>
      <c r="L35" s="6"/>
      <c r="M35" s="54">
        <v>1</v>
      </c>
    </row>
    <row r="36" spans="1:13" ht="29.25" customHeight="1" x14ac:dyDescent="0.2">
      <c r="A36" s="137"/>
      <c r="B36" s="139"/>
      <c r="C36" s="24"/>
      <c r="D36" s="10"/>
      <c r="E36" s="6"/>
      <c r="F36" s="10"/>
      <c r="G36" s="8"/>
      <c r="H36" s="9"/>
      <c r="I36" s="8"/>
      <c r="J36" s="1" t="e">
        <f>1-VLOOKUP(H36,'Modell-Kalibrierung'!$B$3:$C$8,2,0)</f>
        <v>#N/A</v>
      </c>
      <c r="K36" s="93">
        <f>IF(ISNA(J36),0,VLOOKUP(G36,'Modell-Kalibrierung'!$B$16:$C$22,2,FALSE)*VLOOKUP(H36,'Modell-Kalibrierung'!$B$3:$C$8,2,0)+VLOOKUP(I36,'Modell-Kalibrierung'!$B$16:$C$22,2,0)*'STEP-Analyse'!J36)</f>
        <v>0</v>
      </c>
      <c r="L36" s="6"/>
      <c r="M36" s="54">
        <v>1</v>
      </c>
    </row>
    <row r="37" spans="1:13" ht="30" customHeight="1" thickBot="1" x14ac:dyDescent="0.25">
      <c r="A37" s="137"/>
      <c r="B37" s="139"/>
      <c r="C37" s="10"/>
      <c r="D37" s="10"/>
      <c r="E37" s="6"/>
      <c r="F37" s="10"/>
      <c r="G37" s="8"/>
      <c r="H37" s="9"/>
      <c r="I37" s="8"/>
      <c r="J37" s="1" t="e">
        <f>1-VLOOKUP(H37,'Modell-Kalibrierung'!$B$3:$C$8,2,0)</f>
        <v>#N/A</v>
      </c>
      <c r="K37" s="93">
        <f>IF(ISNA(J37),0,VLOOKUP(G37,'Modell-Kalibrierung'!$B$16:$C$22,2,FALSE)*VLOOKUP(H37,'Modell-Kalibrierung'!$B$3:$C$8,2,0)+VLOOKUP(I37,'Modell-Kalibrierung'!$B$16:$C$22,2,0)*'STEP-Analyse'!J37)</f>
        <v>0</v>
      </c>
      <c r="L37" s="14"/>
      <c r="M37" s="54">
        <v>1</v>
      </c>
    </row>
    <row r="38" spans="1:13" ht="36" thickBot="1" x14ac:dyDescent="0.25">
      <c r="A38" s="137"/>
      <c r="B38" s="139"/>
      <c r="C38" s="125" t="str">
        <f>B33</f>
        <v xml:space="preserve">Gesetzgebung </v>
      </c>
      <c r="D38" s="126"/>
      <c r="E38" s="126"/>
      <c r="F38" s="126"/>
      <c r="G38" s="127"/>
      <c r="H38" s="127"/>
      <c r="I38" s="127"/>
      <c r="J38" s="128"/>
      <c r="K38" s="3">
        <f>SUM(K33:K37)</f>
        <v>0</v>
      </c>
      <c r="L38" s="16" t="str">
        <f>IF(K38=0,"0% Anteil am Gesamtprojektrisiko",(K38/$K$123))</f>
        <v>0% Anteil am Gesamtprojektrisiko</v>
      </c>
    </row>
    <row r="39" spans="1:13" ht="20.25" x14ac:dyDescent="0.2">
      <c r="A39" s="137"/>
      <c r="B39" s="141" t="s">
        <v>24</v>
      </c>
      <c r="C39" s="11"/>
      <c r="D39" s="11"/>
      <c r="E39" s="6"/>
      <c r="F39" s="10"/>
      <c r="G39" s="8"/>
      <c r="H39" s="9"/>
      <c r="I39" s="8"/>
      <c r="J39" s="12" t="e">
        <f>1-VLOOKUP(H39,'Modell-Kalibrierung'!$B$3:$C$8,2,0)</f>
        <v>#N/A</v>
      </c>
      <c r="K39" s="93">
        <f>IF(ISNA(J39),0,VLOOKUP(G39,'Modell-Kalibrierung'!$B$16:$C$22,2,FALSE)*VLOOKUP(H39,'Modell-Kalibrierung'!$B$3:$C$8,2,0)+VLOOKUP(I39,'Modell-Kalibrierung'!$B$16:$C$22,2,0)*'STEP-Analyse'!J39)</f>
        <v>0</v>
      </c>
      <c r="L39" s="6"/>
    </row>
    <row r="40" spans="1:13" ht="20.25" x14ac:dyDescent="0.2">
      <c r="A40" s="137"/>
      <c r="B40" s="139"/>
      <c r="C40" s="11"/>
      <c r="D40" s="11"/>
      <c r="E40" s="6"/>
      <c r="F40" s="10"/>
      <c r="G40" s="8"/>
      <c r="H40" s="9"/>
      <c r="I40" s="8"/>
      <c r="J40" s="12" t="e">
        <f>1-VLOOKUP(H40,'Modell-Kalibrierung'!$B$3:$C$8,2,0)</f>
        <v>#N/A</v>
      </c>
      <c r="K40" s="93">
        <f>IF(ISNA(J40),0,VLOOKUP(G40,'Modell-Kalibrierung'!$B$16:$C$22,2,FALSE)*VLOOKUP(H40,'Modell-Kalibrierung'!$B$3:$C$8,2,0)+VLOOKUP(I40,'Modell-Kalibrierung'!$B$16:$C$22,2,0)*'STEP-Analyse'!J40)</f>
        <v>0</v>
      </c>
      <c r="L40" s="6"/>
    </row>
    <row r="41" spans="1:13" ht="20.25" x14ac:dyDescent="0.2">
      <c r="A41" s="137"/>
      <c r="B41" s="139"/>
      <c r="C41" s="11"/>
      <c r="D41" s="11"/>
      <c r="E41" s="6"/>
      <c r="F41" s="10"/>
      <c r="G41" s="8"/>
      <c r="H41" s="9"/>
      <c r="I41" s="8"/>
      <c r="J41" s="12" t="e">
        <f>1-VLOOKUP(H41,'Modell-Kalibrierung'!$B$3:$C$8,2,0)</f>
        <v>#N/A</v>
      </c>
      <c r="K41" s="93">
        <f>IF(ISNA(J41),0,VLOOKUP(G41,'Modell-Kalibrierung'!$B$16:$C$22,2,FALSE)*VLOOKUP(H41,'Modell-Kalibrierung'!$B$3:$C$8,2,0)+VLOOKUP(I41,'Modell-Kalibrierung'!$B$16:$C$22,2,0)*'STEP-Analyse'!J41)</f>
        <v>0</v>
      </c>
      <c r="L41" s="6"/>
    </row>
    <row r="42" spans="1:13" ht="20.25" x14ac:dyDescent="0.2">
      <c r="A42" s="137"/>
      <c r="B42" s="139"/>
      <c r="C42" s="11"/>
      <c r="D42" s="11"/>
      <c r="E42" s="6"/>
      <c r="F42" s="10"/>
      <c r="G42" s="8"/>
      <c r="H42" s="9"/>
      <c r="I42" s="8"/>
      <c r="J42" s="12" t="e">
        <f>1-VLOOKUP(H42,'Modell-Kalibrierung'!$B$3:$C$8,2,0)</f>
        <v>#N/A</v>
      </c>
      <c r="K42" s="93">
        <f>IF(ISNA(J42),0,VLOOKUP(G42,'Modell-Kalibrierung'!$B$16:$C$22,2,FALSE)*VLOOKUP(H42,'Modell-Kalibrierung'!$B$3:$C$8,2,0)+VLOOKUP(I42,'Modell-Kalibrierung'!$B$16:$C$22,2,0)*'STEP-Analyse'!J42)</f>
        <v>0</v>
      </c>
      <c r="L42" s="6"/>
    </row>
    <row r="43" spans="1:13" ht="21" thickBot="1" x14ac:dyDescent="0.25">
      <c r="A43" s="137"/>
      <c r="B43" s="139"/>
      <c r="C43" s="11"/>
      <c r="D43" s="11"/>
      <c r="E43" s="6"/>
      <c r="F43" s="10"/>
      <c r="G43" s="8"/>
      <c r="H43" s="9"/>
      <c r="I43" s="8"/>
      <c r="J43" s="12" t="e">
        <f>1-VLOOKUP(H43,'Modell-Kalibrierung'!$B$3:$C$8,2,0)</f>
        <v>#N/A</v>
      </c>
      <c r="K43" s="93">
        <f>IF(ISNA(J43),0,VLOOKUP(G43,'Modell-Kalibrierung'!$B$16:$C$22,2,FALSE)*VLOOKUP(H43,'Modell-Kalibrierung'!$B$3:$C$8,2,0)+VLOOKUP(I43,'Modell-Kalibrierung'!$B$16:$C$22,2,0)*'STEP-Analyse'!J43)</f>
        <v>0</v>
      </c>
      <c r="L43" s="6"/>
    </row>
    <row r="44" spans="1:13" ht="36" customHeight="1" thickBot="1" x14ac:dyDescent="0.25">
      <c r="A44" s="137"/>
      <c r="B44" s="140"/>
      <c r="C44" s="125" t="str">
        <f>B39</f>
        <v>politische Stabilität/ Rechtssicherheit</v>
      </c>
      <c r="D44" s="126"/>
      <c r="E44" s="126"/>
      <c r="F44" s="126"/>
      <c r="G44" s="127"/>
      <c r="H44" s="127"/>
      <c r="I44" s="127"/>
      <c r="J44" s="128"/>
      <c r="K44" s="3">
        <f>SUM(K39:K43)</f>
        <v>0</v>
      </c>
      <c r="L44" s="16" t="str">
        <f>IF(K44=0,"0% Anteil am Gesamtprojektrisiko",(K44/$K$123))</f>
        <v>0% Anteil am Gesamtprojektrisiko</v>
      </c>
    </row>
    <row r="45" spans="1:13" ht="20.25" x14ac:dyDescent="0.2">
      <c r="A45" s="137"/>
      <c r="B45" s="129" t="s">
        <v>25</v>
      </c>
      <c r="C45" s="11"/>
      <c r="D45" s="11"/>
      <c r="E45" s="6"/>
      <c r="F45" s="10"/>
      <c r="G45" s="8"/>
      <c r="H45" s="9"/>
      <c r="I45" s="8"/>
      <c r="J45" s="1" t="e">
        <f>1-VLOOKUP(H45,'Modell-Kalibrierung'!$B$3:$C$8,2,0)</f>
        <v>#N/A</v>
      </c>
      <c r="K45" s="93">
        <f>IF(ISNA(J45),0,VLOOKUP(G45,'Modell-Kalibrierung'!$B$16:$C$22,2,FALSE)*VLOOKUP(H45,'Modell-Kalibrierung'!$B$3:$C$8,2,0)+VLOOKUP(I45,'Modell-Kalibrierung'!$B$16:$C$22,2,0)*'STEP-Analyse'!J45)</f>
        <v>0</v>
      </c>
      <c r="L45" s="6"/>
    </row>
    <row r="46" spans="1:13" ht="20.25" x14ac:dyDescent="0.2">
      <c r="A46" s="151"/>
      <c r="B46" s="130"/>
      <c r="C46" s="11"/>
      <c r="D46" s="11"/>
      <c r="E46" s="6"/>
      <c r="F46" s="10"/>
      <c r="G46" s="8"/>
      <c r="H46" s="9"/>
      <c r="I46" s="8"/>
      <c r="J46" s="1" t="e">
        <f>1-VLOOKUP(H46,'Modell-Kalibrierung'!$B$3:$C$8,2,0)</f>
        <v>#N/A</v>
      </c>
      <c r="K46" s="93">
        <f>IF(ISNA(J46),0,VLOOKUP(G46,'Modell-Kalibrierung'!$B$16:$C$22,2,FALSE)*VLOOKUP(H46,'Modell-Kalibrierung'!$B$3:$C$8,2,0)+VLOOKUP(I46,'Modell-Kalibrierung'!$B$16:$C$22,2,0)*'STEP-Analyse'!J46)</f>
        <v>0</v>
      </c>
      <c r="L46" s="6"/>
    </row>
    <row r="47" spans="1:13" ht="20.25" x14ac:dyDescent="0.2">
      <c r="A47" s="151"/>
      <c r="B47" s="130"/>
      <c r="C47" s="11"/>
      <c r="D47" s="11"/>
      <c r="E47" s="6"/>
      <c r="F47" s="10"/>
      <c r="G47" s="8"/>
      <c r="H47" s="9"/>
      <c r="I47" s="8"/>
      <c r="J47" s="1" t="e">
        <f>1-VLOOKUP(H47,'Modell-Kalibrierung'!$B$3:$C$8,2,0)</f>
        <v>#N/A</v>
      </c>
      <c r="K47" s="93">
        <f>IF(ISNA(J47),0,VLOOKUP(G47,'Modell-Kalibrierung'!$B$16:$C$22,2,FALSE)*VLOOKUP(H47,'Modell-Kalibrierung'!$B$3:$C$8,2,0)+VLOOKUP(I47,'Modell-Kalibrierung'!$B$16:$C$22,2,0)*'STEP-Analyse'!J47)</f>
        <v>0</v>
      </c>
      <c r="L47" s="6"/>
    </row>
    <row r="48" spans="1:13" ht="20.25" x14ac:dyDescent="0.2">
      <c r="A48" s="151"/>
      <c r="B48" s="130"/>
      <c r="C48" s="11"/>
      <c r="D48" s="11"/>
      <c r="E48" s="6"/>
      <c r="F48" s="10"/>
      <c r="G48" s="8"/>
      <c r="H48" s="9"/>
      <c r="I48" s="8"/>
      <c r="J48" s="1" t="e">
        <f>1-VLOOKUP(H48,'Modell-Kalibrierung'!$B$3:$C$8,2,0)</f>
        <v>#N/A</v>
      </c>
      <c r="K48" s="93">
        <f>IF(ISNA(J48),0,VLOOKUP(G48,'Modell-Kalibrierung'!$B$16:$C$22,2,FALSE)*VLOOKUP(H48,'Modell-Kalibrierung'!$B$3:$C$8,2,0)+VLOOKUP(I48,'Modell-Kalibrierung'!$B$16:$C$22,2,0)*'STEP-Analyse'!J48)</f>
        <v>0</v>
      </c>
      <c r="L48" s="6"/>
    </row>
    <row r="49" spans="1:12" ht="21" thickBot="1" x14ac:dyDescent="0.25">
      <c r="A49" s="151"/>
      <c r="B49" s="130"/>
      <c r="C49" s="11"/>
      <c r="D49" s="11"/>
      <c r="E49" s="6"/>
      <c r="F49" s="10"/>
      <c r="G49" s="8"/>
      <c r="H49" s="9"/>
      <c r="I49" s="8"/>
      <c r="J49" s="1" t="e">
        <f>1-VLOOKUP(H49,'Modell-Kalibrierung'!$B$3:$C$8,2,0)</f>
        <v>#N/A</v>
      </c>
      <c r="K49" s="93">
        <f>IF(ISNA(J49),0,VLOOKUP(G49,'Modell-Kalibrierung'!$B$16:$C$22,2,FALSE)*VLOOKUP(H49,'Modell-Kalibrierung'!$B$3:$C$8,2,0)+VLOOKUP(I49,'Modell-Kalibrierung'!$B$16:$C$22,2,0)*'STEP-Analyse'!J49)</f>
        <v>0</v>
      </c>
      <c r="L49" s="6"/>
    </row>
    <row r="50" spans="1:12" ht="36" customHeight="1" thickBot="1" x14ac:dyDescent="0.25">
      <c r="A50" s="138"/>
      <c r="B50" s="131"/>
      <c r="C50" s="132" t="str">
        <f>B45</f>
        <v xml:space="preserve">Handelshemmnisse (Zölle/ Schranken/ regolatorische Hemmnisse ...) </v>
      </c>
      <c r="D50" s="133"/>
      <c r="E50" s="133"/>
      <c r="F50" s="133"/>
      <c r="G50" s="134"/>
      <c r="H50" s="134"/>
      <c r="I50" s="134"/>
      <c r="J50" s="135"/>
      <c r="K50" s="3">
        <f>SUM(K45:K49)</f>
        <v>0</v>
      </c>
      <c r="L50" s="16" t="str">
        <f>IF(K50=0,"0% Anteil am Gesamtprojektrisiko",(K50/$K$123))</f>
        <v>0% Anteil am Gesamtprojektrisiko</v>
      </c>
    </row>
    <row r="51" spans="1:12" ht="20.25" x14ac:dyDescent="0.2">
      <c r="A51" s="136" t="s">
        <v>3</v>
      </c>
      <c r="B51" s="139" t="s">
        <v>26</v>
      </c>
      <c r="C51" s="7"/>
      <c r="D51" s="7"/>
      <c r="E51" s="6"/>
      <c r="F51" s="6"/>
      <c r="G51" s="8"/>
      <c r="H51" s="9"/>
      <c r="I51" s="8"/>
      <c r="J51" s="1" t="e">
        <f>1-VLOOKUP(H51,'Modell-Kalibrierung'!$B$3:$C$8,2,0)</f>
        <v>#N/A</v>
      </c>
      <c r="K51" s="93">
        <f>IF(ISNA(J51),0,VLOOKUP(G51,'Modell-Kalibrierung'!$B$16:$C$22,2,FALSE)*VLOOKUP(H51,'Modell-Kalibrierung'!$B$3:$C$8,2,0)+VLOOKUP(I51,'Modell-Kalibrierung'!$B$16:$C$22,2,0)*'STEP-Analyse'!J51)</f>
        <v>0</v>
      </c>
      <c r="L51" s="6"/>
    </row>
    <row r="52" spans="1:12" ht="20.25" x14ac:dyDescent="0.2">
      <c r="A52" s="137"/>
      <c r="B52" s="139"/>
      <c r="C52" s="11"/>
      <c r="D52" s="11"/>
      <c r="E52" s="6"/>
      <c r="F52" s="10"/>
      <c r="G52" s="8"/>
      <c r="H52" s="9"/>
      <c r="I52" s="8"/>
      <c r="J52" s="1" t="e">
        <f>1-VLOOKUP(H52,'Modell-Kalibrierung'!$B$3:$C$8,2,0)</f>
        <v>#N/A</v>
      </c>
      <c r="K52" s="93">
        <f>IF(ISNA(J52),0,VLOOKUP(G52,'Modell-Kalibrierung'!$B$16:$C$22,2,FALSE)*VLOOKUP(H52,'Modell-Kalibrierung'!$B$3:$C$8,2,0)+VLOOKUP(I52,'Modell-Kalibrierung'!$B$16:$C$22,2,0)*'STEP-Analyse'!J52)</f>
        <v>0</v>
      </c>
      <c r="L52" s="6"/>
    </row>
    <row r="53" spans="1:12" ht="20.25" x14ac:dyDescent="0.2">
      <c r="A53" s="137"/>
      <c r="B53" s="139"/>
      <c r="C53" s="11"/>
      <c r="D53" s="11"/>
      <c r="E53" s="6"/>
      <c r="F53" s="10"/>
      <c r="G53" s="8"/>
      <c r="H53" s="9"/>
      <c r="I53" s="8"/>
      <c r="J53" s="1" t="e">
        <f>1-VLOOKUP(H53,'Modell-Kalibrierung'!$B$3:$C$8,2,0)</f>
        <v>#N/A</v>
      </c>
      <c r="K53" s="93">
        <f>IF(ISNA(J53),0,VLOOKUP(G53,'Modell-Kalibrierung'!$B$16:$C$22,2,FALSE)*VLOOKUP(H53,'Modell-Kalibrierung'!$B$3:$C$8,2,0)+VLOOKUP(I53,'Modell-Kalibrierung'!$B$16:$C$22,2,0)*'STEP-Analyse'!J53)</f>
        <v>0</v>
      </c>
      <c r="L53" s="6"/>
    </row>
    <row r="54" spans="1:12" ht="20.25" x14ac:dyDescent="0.2">
      <c r="A54" s="137"/>
      <c r="B54" s="139"/>
      <c r="C54" s="11"/>
      <c r="D54" s="11"/>
      <c r="E54" s="6"/>
      <c r="F54" s="10"/>
      <c r="G54" s="8"/>
      <c r="H54" s="9"/>
      <c r="I54" s="8"/>
      <c r="J54" s="1" t="e">
        <f>1-VLOOKUP(H54,'Modell-Kalibrierung'!$B$3:$C$8,2,0)</f>
        <v>#N/A</v>
      </c>
      <c r="K54" s="93">
        <f>IF(ISNA(J54),0,VLOOKUP(G54,'Modell-Kalibrierung'!$B$16:$C$22,2,FALSE)*VLOOKUP(H54,'Modell-Kalibrierung'!$B$3:$C$8,2,0)+VLOOKUP(I54,'Modell-Kalibrierung'!$B$16:$C$22,2,0)*'STEP-Analyse'!J54)</f>
        <v>0</v>
      </c>
      <c r="L54" s="6"/>
    </row>
    <row r="55" spans="1:12" ht="21" thickBot="1" x14ac:dyDescent="0.25">
      <c r="A55" s="137"/>
      <c r="B55" s="139"/>
      <c r="C55" s="11"/>
      <c r="D55" s="11"/>
      <c r="E55" s="6"/>
      <c r="F55" s="10"/>
      <c r="G55" s="8"/>
      <c r="H55" s="9"/>
      <c r="I55" s="8"/>
      <c r="J55" s="1" t="e">
        <f>1-VLOOKUP(H55,'Modell-Kalibrierung'!$B$3:$C$8,2,0)</f>
        <v>#N/A</v>
      </c>
      <c r="K55" s="93">
        <f>IF(ISNA(J55),0,VLOOKUP(G55,'Modell-Kalibrierung'!$B$16:$C$22,2,FALSE)*VLOOKUP(H55,'Modell-Kalibrierung'!$B$3:$C$8,2,0)+VLOOKUP(I55,'Modell-Kalibrierung'!$B$16:$C$22,2,0)*'STEP-Analyse'!J55)</f>
        <v>0</v>
      </c>
      <c r="L55" s="6"/>
    </row>
    <row r="56" spans="1:12" ht="36" customHeight="1" thickBot="1" x14ac:dyDescent="0.25">
      <c r="A56" s="137"/>
      <c r="B56" s="140"/>
      <c r="C56" s="125" t="str">
        <f>B51</f>
        <v xml:space="preserve">Wirtschaftswachstum </v>
      </c>
      <c r="D56" s="126"/>
      <c r="E56" s="126"/>
      <c r="F56" s="126"/>
      <c r="G56" s="127"/>
      <c r="H56" s="127"/>
      <c r="I56" s="127"/>
      <c r="J56" s="128"/>
      <c r="K56" s="3">
        <f>SUM(K51:K55)</f>
        <v>0</v>
      </c>
      <c r="L56" s="16" t="str">
        <f>IF(K56=0,"0% Anteil am Gesamtprojektrisiko",(K56/$K$123))</f>
        <v>0% Anteil am Gesamtprojektrisiko</v>
      </c>
    </row>
    <row r="57" spans="1:12" ht="20.25" x14ac:dyDescent="0.2">
      <c r="A57" s="137"/>
      <c r="B57" s="141" t="s">
        <v>27</v>
      </c>
      <c r="C57" s="7"/>
      <c r="D57" s="7"/>
      <c r="E57" s="6"/>
      <c r="F57" s="6"/>
      <c r="G57" s="8"/>
      <c r="H57" s="9"/>
      <c r="I57" s="8"/>
      <c r="J57" s="1" t="e">
        <f>1-VLOOKUP(H57,'Modell-Kalibrierung'!$B$3:$C$8,2,0)</f>
        <v>#N/A</v>
      </c>
      <c r="K57" s="93">
        <f>IF(ISNA(J57),0,VLOOKUP(G57,'Modell-Kalibrierung'!$B$16:$C$22,2,FALSE)*VLOOKUP(H57,'Modell-Kalibrierung'!$B$3:$C$8,2,0)+VLOOKUP(I57,'Modell-Kalibrierung'!$B$16:$C$22,2,0)*'STEP-Analyse'!J57)</f>
        <v>0</v>
      </c>
      <c r="L57" s="6"/>
    </row>
    <row r="58" spans="1:12" ht="20.25" x14ac:dyDescent="0.2">
      <c r="A58" s="137"/>
      <c r="B58" s="139"/>
      <c r="C58" s="11"/>
      <c r="D58" s="11"/>
      <c r="E58" s="6"/>
      <c r="F58" s="10"/>
      <c r="G58" s="8"/>
      <c r="H58" s="9"/>
      <c r="I58" s="8"/>
      <c r="J58" s="1" t="e">
        <f>1-VLOOKUP(H58,'Modell-Kalibrierung'!$B$3:$C$8,2,0)</f>
        <v>#N/A</v>
      </c>
      <c r="K58" s="93">
        <f>IF(ISNA(J58),0,VLOOKUP(G58,'Modell-Kalibrierung'!$B$16:$C$22,2,FALSE)*VLOOKUP(H58,'Modell-Kalibrierung'!$B$3:$C$8,2,0)+VLOOKUP(I58,'Modell-Kalibrierung'!$B$16:$C$22,2,0)*'STEP-Analyse'!J58)</f>
        <v>0</v>
      </c>
      <c r="L58" s="6"/>
    </row>
    <row r="59" spans="1:12" ht="20.25" x14ac:dyDescent="0.2">
      <c r="A59" s="137"/>
      <c r="B59" s="139"/>
      <c r="C59" s="11"/>
      <c r="D59" s="11"/>
      <c r="E59" s="6"/>
      <c r="F59" s="10"/>
      <c r="G59" s="8"/>
      <c r="H59" s="9"/>
      <c r="I59" s="8"/>
      <c r="J59" s="1" t="e">
        <f>1-VLOOKUP(H59,'Modell-Kalibrierung'!$B$3:$C$8,2,0)</f>
        <v>#N/A</v>
      </c>
      <c r="K59" s="93">
        <f>IF(ISNA(J59),0,VLOOKUP(G59,'Modell-Kalibrierung'!$B$16:$C$22,2,FALSE)*VLOOKUP(H59,'Modell-Kalibrierung'!$B$3:$C$8,2,0)+VLOOKUP(I59,'Modell-Kalibrierung'!$B$16:$C$22,2,0)*'STEP-Analyse'!J59)</f>
        <v>0</v>
      </c>
      <c r="L59" s="6"/>
    </row>
    <row r="60" spans="1:12" ht="20.25" x14ac:dyDescent="0.2">
      <c r="A60" s="137"/>
      <c r="B60" s="139"/>
      <c r="C60" s="11"/>
      <c r="D60" s="11"/>
      <c r="E60" s="6"/>
      <c r="F60" s="10"/>
      <c r="G60" s="8"/>
      <c r="H60" s="9"/>
      <c r="I60" s="8"/>
      <c r="J60" s="1" t="e">
        <f>1-VLOOKUP(H60,'Modell-Kalibrierung'!$B$3:$C$8,2,0)</f>
        <v>#N/A</v>
      </c>
      <c r="K60" s="93">
        <f>IF(ISNA(J60),0,VLOOKUP(G60,'Modell-Kalibrierung'!$B$16:$C$22,2,FALSE)*VLOOKUP(H60,'Modell-Kalibrierung'!$B$3:$C$8,2,0)+VLOOKUP(I60,'Modell-Kalibrierung'!$B$16:$C$22,2,0)*'STEP-Analyse'!J60)</f>
        <v>0</v>
      </c>
      <c r="L60" s="6"/>
    </row>
    <row r="61" spans="1:12" ht="21" thickBot="1" x14ac:dyDescent="0.25">
      <c r="A61" s="137"/>
      <c r="B61" s="139"/>
      <c r="C61" s="11"/>
      <c r="D61" s="11"/>
      <c r="E61" s="6"/>
      <c r="F61" s="10"/>
      <c r="G61" s="8"/>
      <c r="H61" s="9"/>
      <c r="I61" s="8"/>
      <c r="J61" s="1" t="e">
        <f>1-VLOOKUP(H61,'Modell-Kalibrierung'!$B$3:$C$8,2,0)</f>
        <v>#N/A</v>
      </c>
      <c r="K61" s="93">
        <f>IF(ISNA(J61),0,VLOOKUP(G61,'Modell-Kalibrierung'!$B$16:$C$22,2,FALSE)*VLOOKUP(H61,'Modell-Kalibrierung'!$B$3:$C$8,2,0)+VLOOKUP(I61,'Modell-Kalibrierung'!$B$16:$C$22,2,0)*'STEP-Analyse'!J61)</f>
        <v>0</v>
      </c>
      <c r="L61" s="6"/>
    </row>
    <row r="62" spans="1:12" ht="36" customHeight="1" thickBot="1" x14ac:dyDescent="0.25">
      <c r="A62" s="137"/>
      <c r="B62" s="140"/>
      <c r="C62" s="125" t="str">
        <f>B57</f>
        <v xml:space="preserve">Inflation, Zinsen, Wechselkurse </v>
      </c>
      <c r="D62" s="126"/>
      <c r="E62" s="126"/>
      <c r="F62" s="126"/>
      <c r="G62" s="127"/>
      <c r="H62" s="127"/>
      <c r="I62" s="127"/>
      <c r="J62" s="128"/>
      <c r="K62" s="3">
        <f>SUM(K57:K61)</f>
        <v>0</v>
      </c>
      <c r="L62" s="16" t="str">
        <f>IF(K62=0,"0% Anteil am Gesamtprojektrisiko",(K62/$K$123))</f>
        <v>0% Anteil am Gesamtprojektrisiko</v>
      </c>
    </row>
    <row r="63" spans="1:12" ht="20.25" x14ac:dyDescent="0.2">
      <c r="A63" s="137"/>
      <c r="B63" s="141" t="s">
        <v>28</v>
      </c>
      <c r="C63" s="7"/>
      <c r="D63" s="7"/>
      <c r="E63" s="6"/>
      <c r="F63" s="6"/>
      <c r="G63" s="8"/>
      <c r="H63" s="9"/>
      <c r="I63" s="8"/>
      <c r="J63" s="1" t="e">
        <f>1-VLOOKUP(H63,'Modell-Kalibrierung'!$B$3:$C$8,2,0)</f>
        <v>#N/A</v>
      </c>
      <c r="K63" s="93">
        <f>IF(ISNA(J63),0,VLOOKUP(G63,'Modell-Kalibrierung'!$B$16:$C$22,2,FALSE)*VLOOKUP(H63,'Modell-Kalibrierung'!$B$3:$C$8,2,0)+VLOOKUP(I63,'Modell-Kalibrierung'!$B$16:$C$22,2,0)*'STEP-Analyse'!J63)</f>
        <v>0</v>
      </c>
      <c r="L63" s="6"/>
    </row>
    <row r="64" spans="1:12" ht="20.25" x14ac:dyDescent="0.2">
      <c r="A64" s="137"/>
      <c r="B64" s="139"/>
      <c r="C64" s="11"/>
      <c r="D64" s="11"/>
      <c r="E64" s="6"/>
      <c r="F64" s="10"/>
      <c r="G64" s="8"/>
      <c r="H64" s="9"/>
      <c r="I64" s="8"/>
      <c r="J64" s="1" t="e">
        <f>1-VLOOKUP(H64,'Modell-Kalibrierung'!$B$3:$C$8,2,0)</f>
        <v>#N/A</v>
      </c>
      <c r="K64" s="93">
        <f>IF(ISNA(J64),0,VLOOKUP(G64,'Modell-Kalibrierung'!$B$16:$C$22,2,FALSE)*VLOOKUP(H64,'Modell-Kalibrierung'!$B$3:$C$8,2,0)+VLOOKUP(I64,'Modell-Kalibrierung'!$B$16:$C$22,2,0)*'STEP-Analyse'!J64)</f>
        <v>0</v>
      </c>
      <c r="L64" s="6"/>
    </row>
    <row r="65" spans="1:12" ht="20.25" x14ac:dyDescent="0.2">
      <c r="A65" s="137"/>
      <c r="B65" s="139"/>
      <c r="C65" s="11"/>
      <c r="D65" s="11"/>
      <c r="E65" s="6"/>
      <c r="F65" s="10"/>
      <c r="G65" s="8"/>
      <c r="H65" s="9"/>
      <c r="I65" s="8"/>
      <c r="J65" s="1" t="e">
        <f>1-VLOOKUP(H65,'Modell-Kalibrierung'!$B$3:$C$8,2,0)</f>
        <v>#N/A</v>
      </c>
      <c r="K65" s="93">
        <f>IF(ISNA(J65),0,VLOOKUP(G65,'Modell-Kalibrierung'!$B$16:$C$22,2,FALSE)*VLOOKUP(H65,'Modell-Kalibrierung'!$B$3:$C$8,2,0)+VLOOKUP(I65,'Modell-Kalibrierung'!$B$16:$C$22,2,0)*'STEP-Analyse'!J65)</f>
        <v>0</v>
      </c>
      <c r="L65" s="6"/>
    </row>
    <row r="66" spans="1:12" ht="20.25" x14ac:dyDescent="0.2">
      <c r="A66" s="137"/>
      <c r="B66" s="139"/>
      <c r="C66" s="11"/>
      <c r="D66" s="11"/>
      <c r="E66" s="6"/>
      <c r="F66" s="10"/>
      <c r="G66" s="8"/>
      <c r="H66" s="9"/>
      <c r="I66" s="8"/>
      <c r="J66" s="1" t="e">
        <f>1-VLOOKUP(H66,'Modell-Kalibrierung'!$B$3:$C$8,2,0)</f>
        <v>#N/A</v>
      </c>
      <c r="K66" s="93">
        <f>IF(ISNA(J66),0,VLOOKUP(G66,'Modell-Kalibrierung'!$B$16:$C$22,2,FALSE)*VLOOKUP(H66,'Modell-Kalibrierung'!$B$3:$C$8,2,0)+VLOOKUP(I66,'Modell-Kalibrierung'!$B$16:$C$22,2,0)*'STEP-Analyse'!J66)</f>
        <v>0</v>
      </c>
      <c r="L66" s="6"/>
    </row>
    <row r="67" spans="1:12" ht="21" thickBot="1" x14ac:dyDescent="0.25">
      <c r="A67" s="137"/>
      <c r="B67" s="139"/>
      <c r="C67" s="11"/>
      <c r="D67" s="11"/>
      <c r="E67" s="6"/>
      <c r="F67" s="10"/>
      <c r="G67" s="8"/>
      <c r="H67" s="9"/>
      <c r="I67" s="8"/>
      <c r="J67" s="1" t="e">
        <f>1-VLOOKUP(H67,'Modell-Kalibrierung'!$B$3:$C$8,2,0)</f>
        <v>#N/A</v>
      </c>
      <c r="K67" s="93">
        <f>IF(ISNA(J67),0,VLOOKUP(G67,'Modell-Kalibrierung'!$B$16:$C$22,2,FALSE)*VLOOKUP(H67,'Modell-Kalibrierung'!$B$3:$C$8,2,0)+VLOOKUP(I67,'Modell-Kalibrierung'!$B$16:$C$22,2,0)*'STEP-Analyse'!J67)</f>
        <v>0</v>
      </c>
      <c r="L67" s="6"/>
    </row>
    <row r="68" spans="1:12" ht="36" customHeight="1" thickBot="1" x14ac:dyDescent="0.25">
      <c r="A68" s="137"/>
      <c r="B68" s="140"/>
      <c r="C68" s="125" t="str">
        <f>B63</f>
        <v xml:space="preserve">Arbeitsmarkt (Quantität/ Qualität ...) </v>
      </c>
      <c r="D68" s="126"/>
      <c r="E68" s="126"/>
      <c r="F68" s="126"/>
      <c r="G68" s="127"/>
      <c r="H68" s="127"/>
      <c r="I68" s="127"/>
      <c r="J68" s="128"/>
      <c r="K68" s="3">
        <f>SUM(K63:K67)</f>
        <v>0</v>
      </c>
      <c r="L68" s="16" t="str">
        <f>IF(K68=0,"0% Anteil am Gesamtprojektrisiko",(K68/$K$123))</f>
        <v>0% Anteil am Gesamtprojektrisiko</v>
      </c>
    </row>
    <row r="69" spans="1:12" ht="20.25" x14ac:dyDescent="0.2">
      <c r="A69" s="137"/>
      <c r="B69" s="141" t="s">
        <v>29</v>
      </c>
      <c r="C69" s="7"/>
      <c r="D69" s="7"/>
      <c r="E69" s="6"/>
      <c r="F69" s="6"/>
      <c r="G69" s="8"/>
      <c r="H69" s="9"/>
      <c r="I69" s="8"/>
      <c r="J69" s="1" t="e">
        <f>1-VLOOKUP(H69,'Modell-Kalibrierung'!$B$3:$C$8,2,0)</f>
        <v>#N/A</v>
      </c>
      <c r="K69" s="93">
        <f>IF(ISNA(J69),0,VLOOKUP(G69,'Modell-Kalibrierung'!$B$16:$C$22,2,FALSE)*VLOOKUP(H69,'Modell-Kalibrierung'!$B$3:$C$8,2,0)+VLOOKUP(I69,'Modell-Kalibrierung'!$B$16:$C$22,2,0)*'STEP-Analyse'!J69)</f>
        <v>0</v>
      </c>
      <c r="L69" s="6"/>
    </row>
    <row r="70" spans="1:12" ht="20.25" x14ac:dyDescent="0.2">
      <c r="A70" s="137"/>
      <c r="B70" s="139"/>
      <c r="C70" s="11"/>
      <c r="D70" s="11"/>
      <c r="E70" s="6"/>
      <c r="F70" s="10"/>
      <c r="G70" s="8"/>
      <c r="H70" s="9"/>
      <c r="I70" s="8"/>
      <c r="J70" s="1" t="e">
        <f>1-VLOOKUP(H70,'Modell-Kalibrierung'!$B$3:$C$8,2,0)</f>
        <v>#N/A</v>
      </c>
      <c r="K70" s="93">
        <f>IF(ISNA(J70),0,VLOOKUP(G70,'Modell-Kalibrierung'!$B$16:$C$22,2,FALSE)*VLOOKUP(H70,'Modell-Kalibrierung'!$B$3:$C$8,2,0)+VLOOKUP(I70,'Modell-Kalibrierung'!$B$16:$C$22,2,0)*'STEP-Analyse'!J70)</f>
        <v>0</v>
      </c>
      <c r="L70" s="6"/>
    </row>
    <row r="71" spans="1:12" ht="20.25" x14ac:dyDescent="0.2">
      <c r="A71" s="137"/>
      <c r="B71" s="139"/>
      <c r="C71" s="11"/>
      <c r="D71" s="11"/>
      <c r="E71" s="6"/>
      <c r="F71" s="10"/>
      <c r="G71" s="8"/>
      <c r="H71" s="9"/>
      <c r="I71" s="8"/>
      <c r="J71" s="1" t="e">
        <f>1-VLOOKUP(H71,'Modell-Kalibrierung'!$B$3:$C$8,2,0)</f>
        <v>#N/A</v>
      </c>
      <c r="K71" s="93">
        <f>IF(ISNA(J71),0,VLOOKUP(G71,'Modell-Kalibrierung'!$B$16:$C$22,2,FALSE)*VLOOKUP(H71,'Modell-Kalibrierung'!$B$3:$C$8,2,0)+VLOOKUP(I71,'Modell-Kalibrierung'!$B$16:$C$22,2,0)*'STEP-Analyse'!J71)</f>
        <v>0</v>
      </c>
      <c r="L71" s="6"/>
    </row>
    <row r="72" spans="1:12" ht="20.25" x14ac:dyDescent="0.2">
      <c r="A72" s="137"/>
      <c r="B72" s="139"/>
      <c r="C72" s="11"/>
      <c r="D72" s="11"/>
      <c r="E72" s="6"/>
      <c r="F72" s="10"/>
      <c r="G72" s="8"/>
      <c r="H72" s="9"/>
      <c r="I72" s="8"/>
      <c r="J72" s="1" t="e">
        <f>1-VLOOKUP(H72,'Modell-Kalibrierung'!$B$3:$C$8,2,0)</f>
        <v>#N/A</v>
      </c>
      <c r="K72" s="93">
        <f>IF(ISNA(J72),0,VLOOKUP(G72,'Modell-Kalibrierung'!$B$16:$C$22,2,FALSE)*VLOOKUP(H72,'Modell-Kalibrierung'!$B$3:$C$8,2,0)+VLOOKUP(I72,'Modell-Kalibrierung'!$B$16:$C$22,2,0)*'STEP-Analyse'!J72)</f>
        <v>0</v>
      </c>
      <c r="L72" s="6"/>
    </row>
    <row r="73" spans="1:12" ht="21" thickBot="1" x14ac:dyDescent="0.25">
      <c r="A73" s="137"/>
      <c r="B73" s="139"/>
      <c r="C73" s="11"/>
      <c r="D73" s="11"/>
      <c r="E73" s="6"/>
      <c r="F73" s="10"/>
      <c r="G73" s="8"/>
      <c r="H73" s="9"/>
      <c r="I73" s="8"/>
      <c r="J73" s="1" t="e">
        <f>1-VLOOKUP(H73,'Modell-Kalibrierung'!$B$3:$C$8,2,0)</f>
        <v>#N/A</v>
      </c>
      <c r="K73" s="93">
        <f>IF(ISNA(J73),0,VLOOKUP(G73,'Modell-Kalibrierung'!$B$16:$C$22,2,FALSE)*VLOOKUP(H73,'Modell-Kalibrierung'!$B$3:$C$8,2,0)+VLOOKUP(I73,'Modell-Kalibrierung'!$B$16:$C$22,2,0)*'STEP-Analyse'!J73)</f>
        <v>0</v>
      </c>
      <c r="L73" s="6"/>
    </row>
    <row r="74" spans="1:12" ht="36" customHeight="1" thickBot="1" x14ac:dyDescent="0.25">
      <c r="A74" s="137"/>
      <c r="B74" s="139"/>
      <c r="C74" s="125" t="str">
        <f>B69</f>
        <v xml:space="preserve">Globalisierung/ Internationalisierung </v>
      </c>
      <c r="D74" s="126"/>
      <c r="E74" s="126"/>
      <c r="F74" s="126"/>
      <c r="G74" s="127"/>
      <c r="H74" s="127"/>
      <c r="I74" s="127"/>
      <c r="J74" s="128"/>
      <c r="K74" s="3">
        <f>SUM(K69:K73)</f>
        <v>0</v>
      </c>
      <c r="L74" s="16" t="str">
        <f>IF(K74=0,"0% Anteil am Gesamtprojektrisiko",(K74/$K$123))</f>
        <v>0% Anteil am Gesamtprojektrisiko</v>
      </c>
    </row>
    <row r="75" spans="1:12" ht="20.25" x14ac:dyDescent="0.2">
      <c r="A75" s="137"/>
      <c r="B75" s="141" t="s">
        <v>30</v>
      </c>
      <c r="C75" s="11"/>
      <c r="D75" s="11"/>
      <c r="E75" s="10"/>
      <c r="F75" s="10"/>
      <c r="G75" s="8"/>
      <c r="H75" s="9"/>
      <c r="I75" s="8"/>
      <c r="J75" s="5" t="e">
        <f>1-VLOOKUP(H75,'Modell-Kalibrierung'!$B$3:$C$8,2,0)</f>
        <v>#N/A</v>
      </c>
      <c r="K75" s="93">
        <f>IF(ISNA(J75),0,VLOOKUP(G75,'Modell-Kalibrierung'!$B$16:$C$22,2,FALSE)*VLOOKUP(H75,'Modell-Kalibrierung'!$B$3:$C$8,2,0)+VLOOKUP(I75,'Modell-Kalibrierung'!$B$16:$C$22,2,0)*'STEP-Analyse'!J75)</f>
        <v>0</v>
      </c>
      <c r="L75" s="10"/>
    </row>
    <row r="76" spans="1:12" ht="20.25" x14ac:dyDescent="0.2">
      <c r="A76" s="137"/>
      <c r="B76" s="139"/>
      <c r="C76" s="11"/>
      <c r="D76" s="11"/>
      <c r="E76" s="6"/>
      <c r="F76" s="10"/>
      <c r="G76" s="8"/>
      <c r="H76" s="9"/>
      <c r="I76" s="8"/>
      <c r="J76" s="1" t="e">
        <f>1-VLOOKUP(H76,'Modell-Kalibrierung'!$B$3:$C$8,2,0)</f>
        <v>#N/A</v>
      </c>
      <c r="K76" s="93">
        <f>IF(ISNA(J76),0,VLOOKUP(G76,'Modell-Kalibrierung'!$B$16:$C$22,2,FALSE)*VLOOKUP(H76,'Modell-Kalibrierung'!$B$3:$C$8,2,0)+VLOOKUP(I76,'Modell-Kalibrierung'!$B$16:$C$22,2,0)*'STEP-Analyse'!J76)</f>
        <v>0</v>
      </c>
      <c r="L76" s="6"/>
    </row>
    <row r="77" spans="1:12" ht="20.25" x14ac:dyDescent="0.2">
      <c r="A77" s="137"/>
      <c r="B77" s="139"/>
      <c r="C77" s="11"/>
      <c r="D77" s="11"/>
      <c r="E77" s="6"/>
      <c r="F77" s="10"/>
      <c r="G77" s="8"/>
      <c r="H77" s="9"/>
      <c r="I77" s="8"/>
      <c r="J77" s="1" t="e">
        <f>1-VLOOKUP(H77,'Modell-Kalibrierung'!$B$3:$C$8,2,0)</f>
        <v>#N/A</v>
      </c>
      <c r="K77" s="93">
        <f>IF(ISNA(J77),0,VLOOKUP(G77,'Modell-Kalibrierung'!$B$16:$C$22,2,FALSE)*VLOOKUP(H77,'Modell-Kalibrierung'!$B$3:$C$8,2,0)+VLOOKUP(I77,'Modell-Kalibrierung'!$B$16:$C$22,2,0)*'STEP-Analyse'!J77)</f>
        <v>0</v>
      </c>
      <c r="L77" s="6"/>
    </row>
    <row r="78" spans="1:12" ht="20.25" x14ac:dyDescent="0.2">
      <c r="A78" s="137"/>
      <c r="B78" s="139"/>
      <c r="C78" s="11"/>
      <c r="D78" s="11"/>
      <c r="E78" s="6"/>
      <c r="F78" s="10"/>
      <c r="G78" s="8"/>
      <c r="H78" s="9"/>
      <c r="I78" s="8"/>
      <c r="J78" s="1" t="e">
        <f>1-VLOOKUP(H78,'Modell-Kalibrierung'!$B$3:$C$8,2,0)</f>
        <v>#N/A</v>
      </c>
      <c r="K78" s="93">
        <f>IF(ISNA(J78),0,VLOOKUP(G78,'Modell-Kalibrierung'!$B$16:$C$22,2,FALSE)*VLOOKUP(H78,'Modell-Kalibrierung'!$B$3:$C$8,2,0)+VLOOKUP(I78,'Modell-Kalibrierung'!$B$16:$C$22,2,0)*'STEP-Analyse'!J78)</f>
        <v>0</v>
      </c>
      <c r="L78" s="6"/>
    </row>
    <row r="79" spans="1:12" ht="21" thickBot="1" x14ac:dyDescent="0.25">
      <c r="A79" s="137"/>
      <c r="B79" s="139"/>
      <c r="C79" s="11"/>
      <c r="D79" s="11"/>
      <c r="E79" s="6"/>
      <c r="F79" s="10"/>
      <c r="G79" s="8"/>
      <c r="H79" s="9"/>
      <c r="I79" s="8"/>
      <c r="J79" s="1" t="e">
        <f>1-VLOOKUP(H79,'Modell-Kalibrierung'!$B$3:$C$8,2,0)</f>
        <v>#N/A</v>
      </c>
      <c r="K79" s="93">
        <f>IF(ISNA(J79),0,VLOOKUP(G79,'Modell-Kalibrierung'!$B$16:$C$22,2,FALSE)*VLOOKUP(H79,'Modell-Kalibrierung'!$B$3:$C$8,2,0)+VLOOKUP(I79,'Modell-Kalibrierung'!$B$16:$C$22,2,0)*'STEP-Analyse'!J79)</f>
        <v>0</v>
      </c>
      <c r="L79" s="6"/>
    </row>
    <row r="80" spans="1:12" ht="36" customHeight="1" thickBot="1" x14ac:dyDescent="0.25">
      <c r="A80" s="138"/>
      <c r="B80" s="150"/>
      <c r="C80" s="132" t="str">
        <f>B75</f>
        <v xml:space="preserve">Ressourcenverfügbarkeit </v>
      </c>
      <c r="D80" s="133"/>
      <c r="E80" s="133"/>
      <c r="F80" s="133"/>
      <c r="G80" s="134"/>
      <c r="H80" s="134"/>
      <c r="I80" s="134"/>
      <c r="J80" s="135"/>
      <c r="K80" s="3">
        <f>SUM(K75:K79)</f>
        <v>0</v>
      </c>
      <c r="L80" s="16" t="str">
        <f>IF(K80=0,"0% Anteil am Gesamtprojektrisiko",(K80/$K$123))</f>
        <v>0% Anteil am Gesamtprojektrisiko</v>
      </c>
    </row>
    <row r="81" spans="1:12" ht="20.25" x14ac:dyDescent="0.2">
      <c r="A81" s="144" t="s">
        <v>4</v>
      </c>
      <c r="B81" s="139" t="s">
        <v>31</v>
      </c>
      <c r="C81" s="6"/>
      <c r="D81" s="7"/>
      <c r="E81" s="6"/>
      <c r="F81" s="6"/>
      <c r="G81" s="9"/>
      <c r="H81" s="9"/>
      <c r="I81" s="9"/>
      <c r="J81" s="1" t="e">
        <f>1-VLOOKUP(H81,'Modell-Kalibrierung'!$B$3:$C$8,2,0)</f>
        <v>#N/A</v>
      </c>
      <c r="K81" s="93">
        <f>IF(ISNA(J81),0,VLOOKUP(G81,'Modell-Kalibrierung'!$B$16:$C$22,2,FALSE)*VLOOKUP(H81,'Modell-Kalibrierung'!$B$3:$C$8,2,0)+VLOOKUP(I81,'Modell-Kalibrierung'!$B$16:$C$22,2,0)*'STEP-Analyse'!J81)</f>
        <v>0</v>
      </c>
      <c r="L81" s="6"/>
    </row>
    <row r="82" spans="1:12" ht="20.25" x14ac:dyDescent="0.2">
      <c r="A82" s="145"/>
      <c r="B82" s="139"/>
      <c r="C82" s="10"/>
      <c r="D82" s="11"/>
      <c r="E82" s="6"/>
      <c r="F82" s="10"/>
      <c r="G82" s="8"/>
      <c r="H82" s="9"/>
      <c r="I82" s="8"/>
      <c r="J82" s="1" t="e">
        <f>1-VLOOKUP(H82,'Modell-Kalibrierung'!$B$3:$C$8,2,0)</f>
        <v>#N/A</v>
      </c>
      <c r="K82" s="93">
        <f>IF(ISNA(J82),0,VLOOKUP(G82,'Modell-Kalibrierung'!$B$16:$C$22,2,FALSE)*VLOOKUP(H82,'Modell-Kalibrierung'!$B$3:$C$8,2,0)+VLOOKUP(I82,'Modell-Kalibrierung'!$B$16:$C$22,2,0)*'STEP-Analyse'!J82)</f>
        <v>0</v>
      </c>
      <c r="L82" s="6"/>
    </row>
    <row r="83" spans="1:12" ht="20.25" x14ac:dyDescent="0.2">
      <c r="A83" s="145"/>
      <c r="B83" s="139"/>
      <c r="C83" s="10"/>
      <c r="D83" s="11"/>
      <c r="E83" s="6"/>
      <c r="F83" s="10"/>
      <c r="G83" s="8"/>
      <c r="H83" s="9"/>
      <c r="I83" s="8"/>
      <c r="J83" s="1" t="e">
        <f>1-VLOOKUP(H83,'Modell-Kalibrierung'!$B$3:$C$8,2,0)</f>
        <v>#N/A</v>
      </c>
      <c r="K83" s="93">
        <f>IF(ISNA(J83),0,VLOOKUP(G83,'Modell-Kalibrierung'!$B$16:$C$22,2,FALSE)*VLOOKUP(H83,'Modell-Kalibrierung'!$B$3:$C$8,2,0)+VLOOKUP(I83,'Modell-Kalibrierung'!$B$16:$C$22,2,0)*'STEP-Analyse'!J83)</f>
        <v>0</v>
      </c>
      <c r="L83" s="6"/>
    </row>
    <row r="84" spans="1:12" ht="20.25" x14ac:dyDescent="0.2">
      <c r="A84" s="145"/>
      <c r="B84" s="139"/>
      <c r="C84" s="10"/>
      <c r="D84" s="11"/>
      <c r="E84" s="6"/>
      <c r="F84" s="10"/>
      <c r="G84" s="8"/>
      <c r="H84" s="9"/>
      <c r="I84" s="8"/>
      <c r="J84" s="1" t="e">
        <f>1-VLOOKUP(H84,'Modell-Kalibrierung'!$B$3:$C$8,2,0)</f>
        <v>#N/A</v>
      </c>
      <c r="K84" s="93">
        <f>IF(ISNA(J84),0,VLOOKUP(G84,'Modell-Kalibrierung'!$B$16:$C$22,2,FALSE)*VLOOKUP(H84,'Modell-Kalibrierung'!$B$3:$C$8,2,0)+VLOOKUP(I84,'Modell-Kalibrierung'!$B$16:$C$22,2,0)*'STEP-Analyse'!J84)</f>
        <v>0</v>
      </c>
      <c r="L84" s="6"/>
    </row>
    <row r="85" spans="1:12" ht="21" thickBot="1" x14ac:dyDescent="0.25">
      <c r="A85" s="145"/>
      <c r="B85" s="139"/>
      <c r="C85" s="10"/>
      <c r="D85" s="11"/>
      <c r="E85" s="6"/>
      <c r="F85" s="10"/>
      <c r="G85" s="8"/>
      <c r="H85" s="9"/>
      <c r="I85" s="8"/>
      <c r="J85" s="1" t="e">
        <f>1-VLOOKUP(H85,'Modell-Kalibrierung'!$B$3:$C$8,2,0)</f>
        <v>#N/A</v>
      </c>
      <c r="K85" s="93">
        <f>IF(ISNA(J85),0,VLOOKUP(G85,'Modell-Kalibrierung'!$B$16:$C$22,2,FALSE)*VLOOKUP(H85,'Modell-Kalibrierung'!$B$3:$C$8,2,0)+VLOOKUP(I85,'Modell-Kalibrierung'!$B$16:$C$22,2,0)*'STEP-Analyse'!J85)</f>
        <v>0</v>
      </c>
      <c r="L85" s="6"/>
    </row>
    <row r="86" spans="1:12" ht="36" customHeight="1" thickBot="1" x14ac:dyDescent="0.25">
      <c r="A86" s="145"/>
      <c r="B86" s="140"/>
      <c r="C86" s="125" t="str">
        <f>B81</f>
        <v xml:space="preserve">Werte </v>
      </c>
      <c r="D86" s="126"/>
      <c r="E86" s="126"/>
      <c r="F86" s="126"/>
      <c r="G86" s="127"/>
      <c r="H86" s="127"/>
      <c r="I86" s="127"/>
      <c r="J86" s="128"/>
      <c r="K86" s="3">
        <f>SUM(K81:K85)</f>
        <v>0</v>
      </c>
      <c r="L86" s="16" t="str">
        <f>IF(K86=0,"0% Anteil am Gesamtprojektrisiko",(K86/$K$123))</f>
        <v>0% Anteil am Gesamtprojektrisiko</v>
      </c>
    </row>
    <row r="87" spans="1:12" ht="20.25" x14ac:dyDescent="0.2">
      <c r="A87" s="146"/>
      <c r="B87" s="141" t="s">
        <v>8</v>
      </c>
      <c r="C87" s="7"/>
      <c r="D87" s="7"/>
      <c r="E87" s="6"/>
      <c r="F87" s="6"/>
      <c r="G87" s="8"/>
      <c r="H87" s="9"/>
      <c r="I87" s="8"/>
      <c r="J87" s="1" t="e">
        <f>1-VLOOKUP(H87,'Modell-Kalibrierung'!$B$3:$C$8,2,0)</f>
        <v>#N/A</v>
      </c>
      <c r="K87" s="93">
        <f>IF(ISNA(J87),0,VLOOKUP(G87,'Modell-Kalibrierung'!$B$16:$C$22,2,FALSE)*VLOOKUP(H87,'Modell-Kalibrierung'!$B$3:$C$8,2,0)+VLOOKUP(I87,'Modell-Kalibrierung'!$B$16:$C$22,2,0)*'STEP-Analyse'!J87)</f>
        <v>0</v>
      </c>
      <c r="L87" s="6"/>
    </row>
    <row r="88" spans="1:12" ht="20.25" x14ac:dyDescent="0.2">
      <c r="A88" s="146"/>
      <c r="B88" s="139"/>
      <c r="C88" s="11"/>
      <c r="D88" s="11"/>
      <c r="E88" s="6"/>
      <c r="F88" s="10"/>
      <c r="G88" s="8"/>
      <c r="H88" s="9"/>
      <c r="I88" s="8"/>
      <c r="J88" s="1" t="e">
        <f>1-VLOOKUP(H88,'Modell-Kalibrierung'!$B$3:$C$8,2,0)</f>
        <v>#N/A</v>
      </c>
      <c r="K88" s="93">
        <f>IF(ISNA(J88),0,VLOOKUP(G88,'Modell-Kalibrierung'!$B$16:$C$22,2,FALSE)*VLOOKUP(H88,'Modell-Kalibrierung'!$B$3:$C$8,2,0)+VLOOKUP(I88,'Modell-Kalibrierung'!$B$16:$C$22,2,0)*'STEP-Analyse'!J88)</f>
        <v>0</v>
      </c>
      <c r="L88" s="6"/>
    </row>
    <row r="89" spans="1:12" ht="20.25" x14ac:dyDescent="0.2">
      <c r="A89" s="146"/>
      <c r="B89" s="139"/>
      <c r="C89" s="11"/>
      <c r="D89" s="11"/>
      <c r="E89" s="6"/>
      <c r="F89" s="10"/>
      <c r="G89" s="8"/>
      <c r="H89" s="9"/>
      <c r="I89" s="8"/>
      <c r="J89" s="1" t="e">
        <f>1-VLOOKUP(H89,'Modell-Kalibrierung'!$B$3:$C$8,2,0)</f>
        <v>#N/A</v>
      </c>
      <c r="K89" s="93">
        <f>IF(ISNA(J89),0,VLOOKUP(G89,'Modell-Kalibrierung'!$B$16:$C$22,2,FALSE)*VLOOKUP(H89,'Modell-Kalibrierung'!$B$3:$C$8,2,0)+VLOOKUP(I89,'Modell-Kalibrierung'!$B$16:$C$22,2,0)*'STEP-Analyse'!J89)</f>
        <v>0</v>
      </c>
      <c r="L89" s="6"/>
    </row>
    <row r="90" spans="1:12" ht="20.25" x14ac:dyDescent="0.2">
      <c r="A90" s="146"/>
      <c r="B90" s="139"/>
      <c r="C90" s="11"/>
      <c r="D90" s="11"/>
      <c r="E90" s="6"/>
      <c r="F90" s="10"/>
      <c r="G90" s="8"/>
      <c r="H90" s="9"/>
      <c r="I90" s="8"/>
      <c r="J90" s="1" t="e">
        <f>1-VLOOKUP(H90,'Modell-Kalibrierung'!$B$3:$C$8,2,0)</f>
        <v>#N/A</v>
      </c>
      <c r="K90" s="93">
        <f>IF(ISNA(J90),0,VLOOKUP(G90,'Modell-Kalibrierung'!$B$16:$C$22,2,FALSE)*VLOOKUP(H90,'Modell-Kalibrierung'!$B$3:$C$8,2,0)+VLOOKUP(I90,'Modell-Kalibrierung'!$B$16:$C$22,2,0)*'STEP-Analyse'!J90)</f>
        <v>0</v>
      </c>
      <c r="L90" s="6"/>
    </row>
    <row r="91" spans="1:12" ht="21" thickBot="1" x14ac:dyDescent="0.25">
      <c r="A91" s="146"/>
      <c r="B91" s="139"/>
      <c r="C91" s="11"/>
      <c r="D91" s="11"/>
      <c r="E91" s="6"/>
      <c r="F91" s="10"/>
      <c r="G91" s="8"/>
      <c r="H91" s="9"/>
      <c r="I91" s="8"/>
      <c r="J91" s="1" t="e">
        <f>1-VLOOKUP(H91,'Modell-Kalibrierung'!$B$3:$C$8,2,0)</f>
        <v>#N/A</v>
      </c>
      <c r="K91" s="93">
        <f>IF(ISNA(J91),0,VLOOKUP(G91,'Modell-Kalibrierung'!$B$16:$C$22,2,FALSE)*VLOOKUP(H91,'Modell-Kalibrierung'!$B$3:$C$8,2,0)+VLOOKUP(I91,'Modell-Kalibrierung'!$B$16:$C$22,2,0)*'STEP-Analyse'!J91)</f>
        <v>0</v>
      </c>
      <c r="L91" s="6"/>
    </row>
    <row r="92" spans="1:12" ht="36" customHeight="1" thickBot="1" x14ac:dyDescent="0.25">
      <c r="A92" s="146"/>
      <c r="B92" s="139"/>
      <c r="C92" s="125" t="str">
        <f>B87</f>
        <v xml:space="preserve">Lebensstil/ Mentalitäten </v>
      </c>
      <c r="D92" s="126"/>
      <c r="E92" s="126"/>
      <c r="F92" s="126"/>
      <c r="G92" s="127"/>
      <c r="H92" s="127"/>
      <c r="I92" s="127"/>
      <c r="J92" s="128"/>
      <c r="K92" s="3">
        <f>SUM(K87:K91)</f>
        <v>0</v>
      </c>
      <c r="L92" s="16" t="str">
        <f>IF(K92=0,"0% Anteil am Gesamtprojektrisiko",(K92/$K$123))</f>
        <v>0% Anteil am Gesamtprojektrisiko</v>
      </c>
    </row>
    <row r="93" spans="1:12" ht="20.25" x14ac:dyDescent="0.2">
      <c r="A93" s="146"/>
      <c r="B93" s="141" t="s">
        <v>36</v>
      </c>
      <c r="C93" s="11"/>
      <c r="D93" s="11"/>
      <c r="E93" s="10"/>
      <c r="F93" s="10"/>
      <c r="G93" s="8"/>
      <c r="H93" s="9"/>
      <c r="I93" s="8"/>
      <c r="J93" s="5" t="e">
        <f>1-VLOOKUP(H93,'Modell-Kalibrierung'!$B$3:$C$8,2,0)</f>
        <v>#N/A</v>
      </c>
      <c r="K93" s="93">
        <f>IF(ISNA(J93),0,VLOOKUP(G93,'Modell-Kalibrierung'!$B$16:$C$22,2,FALSE)*VLOOKUP(H93,'Modell-Kalibrierung'!$B$3:$C$8,2,0)+VLOOKUP(I93,'Modell-Kalibrierung'!$B$16:$C$22,2,0)*'STEP-Analyse'!J93)</f>
        <v>0</v>
      </c>
      <c r="L93" s="10"/>
    </row>
    <row r="94" spans="1:12" ht="20.25" x14ac:dyDescent="0.2">
      <c r="A94" s="146"/>
      <c r="B94" s="139"/>
      <c r="C94" s="11"/>
      <c r="D94" s="11"/>
      <c r="E94" s="6"/>
      <c r="F94" s="10"/>
      <c r="G94" s="8"/>
      <c r="H94" s="9"/>
      <c r="I94" s="8"/>
      <c r="J94" s="1" t="e">
        <f>1-VLOOKUP(H94,'Modell-Kalibrierung'!$B$3:$C$8,2,0)</f>
        <v>#N/A</v>
      </c>
      <c r="K94" s="93">
        <f>IF(ISNA(J94),0,VLOOKUP(G94,'Modell-Kalibrierung'!$B$16:$C$22,2,FALSE)*VLOOKUP(H94,'Modell-Kalibrierung'!$B$3:$C$8,2,0)+VLOOKUP(I94,'Modell-Kalibrierung'!$B$16:$C$22,2,0)*'STEP-Analyse'!J94)</f>
        <v>0</v>
      </c>
      <c r="L94" s="6"/>
    </row>
    <row r="95" spans="1:12" ht="20.25" x14ac:dyDescent="0.2">
      <c r="A95" s="146"/>
      <c r="B95" s="139"/>
      <c r="C95" s="11"/>
      <c r="D95" s="11"/>
      <c r="E95" s="6"/>
      <c r="F95" s="10"/>
      <c r="G95" s="8"/>
      <c r="H95" s="9"/>
      <c r="I95" s="8"/>
      <c r="J95" s="1" t="e">
        <f>1-VLOOKUP(H95,'Modell-Kalibrierung'!$B$3:$C$8,2,0)</f>
        <v>#N/A</v>
      </c>
      <c r="K95" s="93">
        <f>IF(ISNA(J95),0,VLOOKUP(G95,'Modell-Kalibrierung'!$B$16:$C$22,2,FALSE)*VLOOKUP(H95,'Modell-Kalibrierung'!$B$3:$C$8,2,0)+VLOOKUP(I95,'Modell-Kalibrierung'!$B$16:$C$22,2,0)*'STEP-Analyse'!J95)</f>
        <v>0</v>
      </c>
      <c r="L95" s="6"/>
    </row>
    <row r="96" spans="1:12" ht="20.25" x14ac:dyDescent="0.2">
      <c r="A96" s="146"/>
      <c r="B96" s="139"/>
      <c r="C96" s="11"/>
      <c r="D96" s="11"/>
      <c r="E96" s="6"/>
      <c r="F96" s="10"/>
      <c r="G96" s="8"/>
      <c r="H96" s="9"/>
      <c r="I96" s="8"/>
      <c r="J96" s="1" t="e">
        <f>1-VLOOKUP(H96,'Modell-Kalibrierung'!$B$3:$C$8,2,0)</f>
        <v>#N/A</v>
      </c>
      <c r="K96" s="93">
        <f>IF(ISNA(J96),0,VLOOKUP(G96,'Modell-Kalibrierung'!$B$16:$C$22,2,FALSE)*VLOOKUP(H96,'Modell-Kalibrierung'!$B$3:$C$8,2,0)+VLOOKUP(I96,'Modell-Kalibrierung'!$B$16:$C$22,2,0)*'STEP-Analyse'!J96)</f>
        <v>0</v>
      </c>
      <c r="L96" s="6"/>
    </row>
    <row r="97" spans="1:12" ht="21" thickBot="1" x14ac:dyDescent="0.25">
      <c r="A97" s="146"/>
      <c r="B97" s="139"/>
      <c r="C97" s="11"/>
      <c r="D97" s="11"/>
      <c r="E97" s="6"/>
      <c r="F97" s="10"/>
      <c r="G97" s="8"/>
      <c r="H97" s="9"/>
      <c r="I97" s="8"/>
      <c r="J97" s="1" t="e">
        <f>1-VLOOKUP(H97,'Modell-Kalibrierung'!$B$3:$C$8,2,0)</f>
        <v>#N/A</v>
      </c>
      <c r="K97" s="93">
        <f>IF(ISNA(J97),0,VLOOKUP(G97,'Modell-Kalibrierung'!$B$16:$C$22,2,FALSE)*VLOOKUP(H97,'Modell-Kalibrierung'!$B$3:$C$8,2,0)+VLOOKUP(I97,'Modell-Kalibrierung'!$B$16:$C$22,2,0)*'STEP-Analyse'!J97)</f>
        <v>0</v>
      </c>
      <c r="L97" s="6"/>
    </row>
    <row r="98" spans="1:12" ht="36" customHeight="1" thickBot="1" x14ac:dyDescent="0.25">
      <c r="A98" s="146"/>
      <c r="B98" s="150"/>
      <c r="C98" s="132" t="str">
        <f>B93</f>
        <v>Bildung</v>
      </c>
      <c r="D98" s="133"/>
      <c r="E98" s="133"/>
      <c r="F98" s="133"/>
      <c r="G98" s="134"/>
      <c r="H98" s="134"/>
      <c r="I98" s="134"/>
      <c r="J98" s="135"/>
      <c r="K98" s="3">
        <f>SUM(K93:K97)</f>
        <v>0</v>
      </c>
      <c r="L98" s="16" t="str">
        <f>IF(K98=0,"0% Anteil am Gesamtprojektrisiko",(K98/$K$123))</f>
        <v>0% Anteil am Gesamtprojektrisiko</v>
      </c>
    </row>
    <row r="99" spans="1:12" ht="20.25" x14ac:dyDescent="0.2">
      <c r="A99" s="144" t="s">
        <v>5</v>
      </c>
      <c r="B99" s="148" t="s">
        <v>37</v>
      </c>
      <c r="C99" s="6"/>
      <c r="D99" s="7"/>
      <c r="E99" s="6"/>
      <c r="F99" s="6"/>
      <c r="G99" s="9"/>
      <c r="H99" s="9"/>
      <c r="I99" s="9"/>
      <c r="J99" s="1" t="e">
        <f>1-VLOOKUP(H99,'Modell-Kalibrierung'!$B$3:$C$8,2,0)</f>
        <v>#N/A</v>
      </c>
      <c r="K99" s="93">
        <f>IF(ISNA(J99),0,VLOOKUP(G99,'Modell-Kalibrierung'!$B$16:$C$22,2,FALSE)*VLOOKUP(H99,'Modell-Kalibrierung'!$B$3:$C$8,2,0)+VLOOKUP(I99,'Modell-Kalibrierung'!$B$16:$C$22,2,0)*'STEP-Analyse'!J99)</f>
        <v>0</v>
      </c>
      <c r="L99" s="6"/>
    </row>
    <row r="100" spans="1:12" ht="20.25" x14ac:dyDescent="0.2">
      <c r="A100" s="145"/>
      <c r="B100" s="139"/>
      <c r="C100" s="10"/>
      <c r="D100" s="11"/>
      <c r="E100" s="6"/>
      <c r="F100" s="10"/>
      <c r="G100" s="8"/>
      <c r="H100" s="9"/>
      <c r="I100" s="8"/>
      <c r="J100" s="1" t="e">
        <f>1-VLOOKUP(H100,'Modell-Kalibrierung'!$B$3:$C$8,2,0)</f>
        <v>#N/A</v>
      </c>
      <c r="K100" s="93">
        <f>IF(ISNA(J100),0,VLOOKUP(G100,'Modell-Kalibrierung'!$B$16:$C$22,2,FALSE)*VLOOKUP(H100,'Modell-Kalibrierung'!$B$3:$C$8,2,0)+VLOOKUP(I100,'Modell-Kalibrierung'!$B$16:$C$22,2,0)*'STEP-Analyse'!J100)</f>
        <v>0</v>
      </c>
      <c r="L100" s="6"/>
    </row>
    <row r="101" spans="1:12" ht="20.25" x14ac:dyDescent="0.2">
      <c r="A101" s="145"/>
      <c r="B101" s="139"/>
      <c r="C101" s="10"/>
      <c r="D101" s="11"/>
      <c r="E101" s="6"/>
      <c r="F101" s="10"/>
      <c r="G101" s="8"/>
      <c r="H101" s="9"/>
      <c r="I101" s="8"/>
      <c r="J101" s="1" t="e">
        <f>1-VLOOKUP(H101,'Modell-Kalibrierung'!$B$3:$C$8,2,0)</f>
        <v>#N/A</v>
      </c>
      <c r="K101" s="93">
        <f>IF(ISNA(J101),0,VLOOKUP(G101,'Modell-Kalibrierung'!$B$16:$C$22,2,FALSE)*VLOOKUP(H101,'Modell-Kalibrierung'!$B$3:$C$8,2,0)+VLOOKUP(I101,'Modell-Kalibrierung'!$B$16:$C$22,2,0)*'STEP-Analyse'!J101)</f>
        <v>0</v>
      </c>
      <c r="L101" s="6"/>
    </row>
    <row r="102" spans="1:12" ht="20.25" x14ac:dyDescent="0.2">
      <c r="A102" s="145"/>
      <c r="B102" s="139"/>
      <c r="C102" s="10"/>
      <c r="D102" s="11"/>
      <c r="E102" s="6"/>
      <c r="F102" s="10"/>
      <c r="G102" s="8"/>
      <c r="H102" s="9"/>
      <c r="I102" s="8"/>
      <c r="J102" s="1" t="e">
        <f>1-VLOOKUP(H102,'Modell-Kalibrierung'!$B$3:$C$8,2,0)</f>
        <v>#N/A</v>
      </c>
      <c r="K102" s="93">
        <f>IF(ISNA(J102),0,VLOOKUP(G102,'Modell-Kalibrierung'!$B$16:$C$22,2,FALSE)*VLOOKUP(H102,'Modell-Kalibrierung'!$B$3:$C$8,2,0)+VLOOKUP(I102,'Modell-Kalibrierung'!$B$16:$C$22,2,0)*'STEP-Analyse'!J102)</f>
        <v>0</v>
      </c>
      <c r="L102" s="6"/>
    </row>
    <row r="103" spans="1:12" ht="21" thickBot="1" x14ac:dyDescent="0.25">
      <c r="A103" s="145"/>
      <c r="B103" s="139"/>
      <c r="C103" s="10"/>
      <c r="D103" s="11"/>
      <c r="E103" s="6"/>
      <c r="F103" s="10"/>
      <c r="G103" s="8"/>
      <c r="H103" s="9"/>
      <c r="I103" s="8"/>
      <c r="J103" s="1" t="e">
        <f>1-VLOOKUP(H103,'Modell-Kalibrierung'!$B$3:$C$8,2,0)</f>
        <v>#N/A</v>
      </c>
      <c r="K103" s="93">
        <f>IF(ISNA(J103),0,VLOOKUP(G103,'Modell-Kalibrierung'!$B$16:$C$22,2,FALSE)*VLOOKUP(H103,'Modell-Kalibrierung'!$B$3:$C$8,2,0)+VLOOKUP(I103,'Modell-Kalibrierung'!$B$16:$C$22,2,0)*'STEP-Analyse'!J103)</f>
        <v>0</v>
      </c>
      <c r="L103" s="6"/>
    </row>
    <row r="104" spans="1:12" ht="36" customHeight="1" thickBot="1" x14ac:dyDescent="0.25">
      <c r="A104" s="145"/>
      <c r="B104" s="140"/>
      <c r="C104" s="125" t="str">
        <f>B99</f>
        <v xml:space="preserve">Forschung </v>
      </c>
      <c r="D104" s="126"/>
      <c r="E104" s="126"/>
      <c r="F104" s="126"/>
      <c r="G104" s="127"/>
      <c r="H104" s="127"/>
      <c r="I104" s="127"/>
      <c r="J104" s="128"/>
      <c r="K104" s="3">
        <f>SUM(K99:K103)</f>
        <v>0</v>
      </c>
      <c r="L104" s="16" t="str">
        <f>IF(K104=0,"0% Anteil am Gesamtprojektrisiko",(K104/$K$123))</f>
        <v>0% Anteil am Gesamtprojektrisiko</v>
      </c>
    </row>
    <row r="105" spans="1:12" ht="20.25" x14ac:dyDescent="0.2">
      <c r="A105" s="146"/>
      <c r="B105" s="141" t="s">
        <v>38</v>
      </c>
      <c r="C105" s="6"/>
      <c r="D105" s="7"/>
      <c r="E105" s="6"/>
      <c r="F105" s="6"/>
      <c r="G105" s="8"/>
      <c r="H105" s="9"/>
      <c r="I105" s="8"/>
      <c r="J105" s="1" t="e">
        <f>1-VLOOKUP(H105,'Modell-Kalibrierung'!$B$3:$C$8,2,0)</f>
        <v>#N/A</v>
      </c>
      <c r="K105" s="93">
        <f>IF(ISNA(J105),0,VLOOKUP(G105,'Modell-Kalibrierung'!$B$16:$C$22,2,FALSE)*VLOOKUP(H105,'Modell-Kalibrierung'!$B$3:$C$8,2,0)+VLOOKUP(I105,'Modell-Kalibrierung'!$B$16:$C$22,2,0)*'STEP-Analyse'!J105)</f>
        <v>0</v>
      </c>
      <c r="L105" s="6"/>
    </row>
    <row r="106" spans="1:12" ht="20.25" x14ac:dyDescent="0.2">
      <c r="A106" s="146"/>
      <c r="B106" s="139"/>
      <c r="C106" s="10"/>
      <c r="D106" s="11"/>
      <c r="E106" s="6"/>
      <c r="F106" s="10"/>
      <c r="G106" s="8"/>
      <c r="H106" s="9"/>
      <c r="I106" s="8"/>
      <c r="J106" s="1" t="e">
        <f>1-VLOOKUP(H106,'Modell-Kalibrierung'!$B$3:$C$8,2,0)</f>
        <v>#N/A</v>
      </c>
      <c r="K106" s="93">
        <f>IF(ISNA(J106),0,VLOOKUP(G106,'Modell-Kalibrierung'!$B$16:$C$22,2,FALSE)*VLOOKUP(H106,'Modell-Kalibrierung'!$B$3:$C$8,2,0)+VLOOKUP(I106,'Modell-Kalibrierung'!$B$16:$C$22,2,0)*'STEP-Analyse'!J106)</f>
        <v>0</v>
      </c>
      <c r="L106" s="6"/>
    </row>
    <row r="107" spans="1:12" ht="20.25" x14ac:dyDescent="0.2">
      <c r="A107" s="146"/>
      <c r="B107" s="139"/>
      <c r="C107" s="10"/>
      <c r="D107" s="11"/>
      <c r="E107" s="6"/>
      <c r="F107" s="10"/>
      <c r="G107" s="8"/>
      <c r="H107" s="9"/>
      <c r="I107" s="8"/>
      <c r="J107" s="1" t="e">
        <f>1-VLOOKUP(H107,'Modell-Kalibrierung'!$B$3:$C$8,2,0)</f>
        <v>#N/A</v>
      </c>
      <c r="K107" s="93">
        <f>IF(ISNA(J107),0,VLOOKUP(G107,'Modell-Kalibrierung'!$B$16:$C$22,2,FALSE)*VLOOKUP(H107,'Modell-Kalibrierung'!$B$3:$C$8,2,0)+VLOOKUP(I107,'Modell-Kalibrierung'!$B$16:$C$22,2,0)*'STEP-Analyse'!J107)</f>
        <v>0</v>
      </c>
      <c r="L107" s="6"/>
    </row>
    <row r="108" spans="1:12" ht="20.25" x14ac:dyDescent="0.2">
      <c r="A108" s="146"/>
      <c r="B108" s="139"/>
      <c r="C108" s="10"/>
      <c r="D108" s="11"/>
      <c r="E108" s="6"/>
      <c r="F108" s="10"/>
      <c r="G108" s="8"/>
      <c r="H108" s="9"/>
      <c r="I108" s="8"/>
      <c r="J108" s="1" t="e">
        <f>1-VLOOKUP(H108,'Modell-Kalibrierung'!$B$3:$C$8,2,0)</f>
        <v>#N/A</v>
      </c>
      <c r="K108" s="93">
        <f>IF(ISNA(J108),0,VLOOKUP(G108,'Modell-Kalibrierung'!$B$16:$C$22,2,FALSE)*VLOOKUP(H108,'Modell-Kalibrierung'!$B$3:$C$8,2,0)+VLOOKUP(I108,'Modell-Kalibrierung'!$B$16:$C$22,2,0)*'STEP-Analyse'!J108)</f>
        <v>0</v>
      </c>
      <c r="L108" s="6"/>
    </row>
    <row r="109" spans="1:12" ht="21" thickBot="1" x14ac:dyDescent="0.25">
      <c r="A109" s="146"/>
      <c r="B109" s="139"/>
      <c r="C109" s="10"/>
      <c r="D109" s="11"/>
      <c r="E109" s="6"/>
      <c r="F109" s="10"/>
      <c r="G109" s="8"/>
      <c r="H109" s="9"/>
      <c r="I109" s="8"/>
      <c r="J109" s="1" t="e">
        <f>1-VLOOKUP(H109,'Modell-Kalibrierung'!$B$3:$C$8,2,0)</f>
        <v>#N/A</v>
      </c>
      <c r="K109" s="93">
        <f>IF(ISNA(J109),0,VLOOKUP(G109,'Modell-Kalibrierung'!$B$16:$C$22,2,FALSE)*VLOOKUP(H109,'Modell-Kalibrierung'!$B$3:$C$8,2,0)+VLOOKUP(I109,'Modell-Kalibrierung'!$B$16:$C$22,2,0)*'STEP-Analyse'!J109)</f>
        <v>0</v>
      </c>
      <c r="L109" s="6"/>
    </row>
    <row r="110" spans="1:12" ht="36" customHeight="1" thickBot="1" x14ac:dyDescent="0.25">
      <c r="A110" s="146"/>
      <c r="B110" s="140"/>
      <c r="C110" s="125" t="str">
        <f>B105</f>
        <v xml:space="preserve">neue Technologien und Produkte </v>
      </c>
      <c r="D110" s="126"/>
      <c r="E110" s="126"/>
      <c r="F110" s="126"/>
      <c r="G110" s="127"/>
      <c r="H110" s="127"/>
      <c r="I110" s="127"/>
      <c r="J110" s="128"/>
      <c r="K110" s="3">
        <f>SUM(K105:K109)</f>
        <v>0</v>
      </c>
      <c r="L110" s="16" t="str">
        <f>IF(K110=0,"0% Anteil am Gesamtprojektrisiko",(K110/$K$123))</f>
        <v>0% Anteil am Gesamtprojektrisiko</v>
      </c>
    </row>
    <row r="111" spans="1:12" ht="20.25" x14ac:dyDescent="0.2">
      <c r="A111" s="146"/>
      <c r="B111" s="141" t="s">
        <v>39</v>
      </c>
      <c r="C111" s="6"/>
      <c r="D111" s="7"/>
      <c r="E111" s="6"/>
      <c r="F111" s="6"/>
      <c r="G111" s="8"/>
      <c r="H111" s="9"/>
      <c r="I111" s="8"/>
      <c r="J111" s="1" t="e">
        <f>1-VLOOKUP(H111,'Modell-Kalibrierung'!$B$3:$C$8,2,0)</f>
        <v>#N/A</v>
      </c>
      <c r="K111" s="93">
        <f>IF(ISNA(J111),0,VLOOKUP(G111,'Modell-Kalibrierung'!$B$16:$C$22,2,FALSE)*VLOOKUP(H111,'Modell-Kalibrierung'!$B$3:$C$8,2,0)+VLOOKUP(I111,'Modell-Kalibrierung'!$B$16:$C$22,2,0)*'STEP-Analyse'!J111)</f>
        <v>0</v>
      </c>
      <c r="L111" s="6"/>
    </row>
    <row r="112" spans="1:12" ht="20.25" x14ac:dyDescent="0.2">
      <c r="A112" s="147"/>
      <c r="B112" s="139"/>
      <c r="C112" s="10"/>
      <c r="D112" s="11"/>
      <c r="E112" s="6"/>
      <c r="F112" s="10"/>
      <c r="G112" s="8"/>
      <c r="H112" s="9"/>
      <c r="I112" s="8"/>
      <c r="J112" s="1" t="e">
        <f>1-VLOOKUP(H112,'Modell-Kalibrierung'!$B$3:$C$8,2,0)</f>
        <v>#N/A</v>
      </c>
      <c r="K112" s="93">
        <f>IF(ISNA(J112),0,VLOOKUP(G112,'Modell-Kalibrierung'!$B$16:$C$22,2,FALSE)*VLOOKUP(H112,'Modell-Kalibrierung'!$B$3:$C$8,2,0)+VLOOKUP(I112,'Modell-Kalibrierung'!$B$16:$C$22,2,0)*'STEP-Analyse'!J112)</f>
        <v>0</v>
      </c>
      <c r="L112" s="6"/>
    </row>
    <row r="113" spans="1:12" ht="20.25" x14ac:dyDescent="0.2">
      <c r="A113" s="147"/>
      <c r="B113" s="139"/>
      <c r="C113" s="10"/>
      <c r="D113" s="11"/>
      <c r="E113" s="6"/>
      <c r="F113" s="10"/>
      <c r="G113" s="8"/>
      <c r="H113" s="9"/>
      <c r="I113" s="8"/>
      <c r="J113" s="1" t="e">
        <f>1-VLOOKUP(H113,'Modell-Kalibrierung'!$B$3:$C$8,2,0)</f>
        <v>#N/A</v>
      </c>
      <c r="K113" s="93">
        <f>IF(ISNA(J113),0,VLOOKUP(G113,'Modell-Kalibrierung'!$B$16:$C$22,2,FALSE)*VLOOKUP(H113,'Modell-Kalibrierung'!$B$3:$C$8,2,0)+VLOOKUP(I113,'Modell-Kalibrierung'!$B$16:$C$22,2,0)*'STEP-Analyse'!J113)</f>
        <v>0</v>
      </c>
      <c r="L113" s="6"/>
    </row>
    <row r="114" spans="1:12" ht="20.25" x14ac:dyDescent="0.2">
      <c r="A114" s="147"/>
      <c r="B114" s="139"/>
      <c r="C114" s="10"/>
      <c r="D114" s="11"/>
      <c r="E114" s="6"/>
      <c r="F114" s="10"/>
      <c r="G114" s="8"/>
      <c r="H114" s="9"/>
      <c r="I114" s="8"/>
      <c r="J114" s="1" t="e">
        <f>1-VLOOKUP(H114,'Modell-Kalibrierung'!$B$3:$C$8,2,0)</f>
        <v>#N/A</v>
      </c>
      <c r="K114" s="93">
        <f>IF(ISNA(J114),0,VLOOKUP(G114,'Modell-Kalibrierung'!$B$16:$C$22,2,FALSE)*VLOOKUP(H114,'Modell-Kalibrierung'!$B$3:$C$8,2,0)+VLOOKUP(I114,'Modell-Kalibrierung'!$B$16:$C$22,2,0)*'STEP-Analyse'!J114)</f>
        <v>0</v>
      </c>
      <c r="L114" s="6"/>
    </row>
    <row r="115" spans="1:12" ht="21" thickBot="1" x14ac:dyDescent="0.25">
      <c r="A115" s="147"/>
      <c r="B115" s="139"/>
      <c r="C115" s="10"/>
      <c r="D115" s="11"/>
      <c r="E115" s="6"/>
      <c r="F115" s="10"/>
      <c r="G115" s="8"/>
      <c r="H115" s="9"/>
      <c r="I115" s="8"/>
      <c r="J115" s="1" t="e">
        <f>1-VLOOKUP(H115,'Modell-Kalibrierung'!$B$3:$C$8,2,0)</f>
        <v>#N/A</v>
      </c>
      <c r="K115" s="93">
        <f>IF(ISNA(J115),0,VLOOKUP(G115,'Modell-Kalibrierung'!$B$16:$C$22,2,FALSE)*VLOOKUP(H115,'Modell-Kalibrierung'!$B$3:$C$8,2,0)+VLOOKUP(I115,'Modell-Kalibrierung'!$B$16:$C$22,2,0)*'STEP-Analyse'!J115)</f>
        <v>0</v>
      </c>
      <c r="L115" s="6"/>
    </row>
    <row r="116" spans="1:12" ht="36" customHeight="1" thickBot="1" x14ac:dyDescent="0.25">
      <c r="A116" s="147"/>
      <c r="B116" s="140"/>
      <c r="C116" s="125" t="str">
        <f>B111</f>
        <v>neue Prozesse</v>
      </c>
      <c r="D116" s="126"/>
      <c r="E116" s="126"/>
      <c r="F116" s="126"/>
      <c r="G116" s="127"/>
      <c r="H116" s="127"/>
      <c r="I116" s="127"/>
      <c r="J116" s="128"/>
      <c r="K116" s="3">
        <f>SUM(K111:K115)</f>
        <v>0</v>
      </c>
      <c r="L116" s="16" t="str">
        <f>IF(K116=0,"0% Anteil am Gesamtprojektrisiko",(K116/$K$123))</f>
        <v>0% Anteil am Gesamtprojektrisiko</v>
      </c>
    </row>
    <row r="117" spans="1:12" ht="20.25" x14ac:dyDescent="0.2">
      <c r="A117" s="147"/>
      <c r="B117" s="141" t="s">
        <v>64</v>
      </c>
      <c r="C117" s="6"/>
      <c r="D117" s="7"/>
      <c r="E117" s="6"/>
      <c r="F117" s="6"/>
      <c r="G117" s="8"/>
      <c r="H117" s="9"/>
      <c r="I117" s="8"/>
      <c r="J117" s="1" t="e">
        <f>1-VLOOKUP(H117,'Modell-Kalibrierung'!$B$3:$C$8,2,0)</f>
        <v>#N/A</v>
      </c>
      <c r="K117" s="93">
        <f>IF(ISNA(J117),0,VLOOKUP(G117,'Modell-Kalibrierung'!$B$16:$C$22,2,FALSE)*VLOOKUP(H117,'Modell-Kalibrierung'!$B$3:$C$8,2,0)+VLOOKUP(I117,'Modell-Kalibrierung'!$B$16:$C$22,2,0)*'STEP-Analyse'!J117)</f>
        <v>0</v>
      </c>
      <c r="L117" s="6"/>
    </row>
    <row r="118" spans="1:12" ht="20.25" x14ac:dyDescent="0.2">
      <c r="A118" s="147"/>
      <c r="B118" s="139"/>
      <c r="C118" s="10"/>
      <c r="D118" s="11"/>
      <c r="E118" s="6"/>
      <c r="F118" s="10"/>
      <c r="G118" s="8"/>
      <c r="H118" s="9"/>
      <c r="I118" s="8"/>
      <c r="J118" s="1" t="e">
        <f>1-VLOOKUP(H118,'Modell-Kalibrierung'!$B$3:$C$8,2,0)</f>
        <v>#N/A</v>
      </c>
      <c r="K118" s="93">
        <f>IF(ISNA(J118),0,VLOOKUP(G118,'Modell-Kalibrierung'!$B$16:$C$22,2,FALSE)*VLOOKUP(H118,'Modell-Kalibrierung'!$B$3:$C$8,2,0)+VLOOKUP(I118,'Modell-Kalibrierung'!$B$16:$C$22,2,0)*'STEP-Analyse'!J118)</f>
        <v>0</v>
      </c>
      <c r="L118" s="6"/>
    </row>
    <row r="119" spans="1:12" ht="20.25" x14ac:dyDescent="0.2">
      <c r="A119" s="147"/>
      <c r="B119" s="139"/>
      <c r="C119" s="10"/>
      <c r="D119" s="11"/>
      <c r="E119" s="6"/>
      <c r="F119" s="10"/>
      <c r="G119" s="8"/>
      <c r="H119" s="9"/>
      <c r="I119" s="8"/>
      <c r="J119" s="1" t="e">
        <f>1-VLOOKUP(H119,'Modell-Kalibrierung'!$B$3:$C$8,2,0)</f>
        <v>#N/A</v>
      </c>
      <c r="K119" s="93">
        <f>IF(ISNA(J119),0,VLOOKUP(G119,'Modell-Kalibrierung'!$B$16:$C$22,2,FALSE)*VLOOKUP(H119,'Modell-Kalibrierung'!$B$3:$C$8,2,0)+VLOOKUP(I119,'Modell-Kalibrierung'!$B$16:$C$22,2,0)*'STEP-Analyse'!J119)</f>
        <v>0</v>
      </c>
      <c r="L119" s="6"/>
    </row>
    <row r="120" spans="1:12" ht="20.25" x14ac:dyDescent="0.2">
      <c r="A120" s="147"/>
      <c r="B120" s="139"/>
      <c r="C120" s="10"/>
      <c r="D120" s="11"/>
      <c r="E120" s="6"/>
      <c r="F120" s="10"/>
      <c r="G120" s="8"/>
      <c r="H120" s="9"/>
      <c r="I120" s="8"/>
      <c r="J120" s="1" t="e">
        <f>1-VLOOKUP(H120,'Modell-Kalibrierung'!$B$3:$C$8,2,0)</f>
        <v>#N/A</v>
      </c>
      <c r="K120" s="93">
        <f>IF(ISNA(J120),0,VLOOKUP(G120,'Modell-Kalibrierung'!$B$16:$C$22,2,FALSE)*VLOOKUP(H120,'Modell-Kalibrierung'!$B$3:$C$8,2,0)+VLOOKUP(I120,'Modell-Kalibrierung'!$B$16:$C$22,2,0)*'STEP-Analyse'!J120)</f>
        <v>0</v>
      </c>
      <c r="L120" s="6"/>
    </row>
    <row r="121" spans="1:12" ht="21" thickBot="1" x14ac:dyDescent="0.25">
      <c r="A121" s="147"/>
      <c r="B121" s="139"/>
      <c r="C121" s="10"/>
      <c r="D121" s="11"/>
      <c r="E121" s="6"/>
      <c r="F121" s="10"/>
      <c r="G121" s="8"/>
      <c r="H121" s="9"/>
      <c r="I121" s="8"/>
      <c r="J121" s="1" t="e">
        <f>1-VLOOKUP(H121,'Modell-Kalibrierung'!$B$3:$C$8,2,0)</f>
        <v>#N/A</v>
      </c>
      <c r="K121" s="93">
        <f>IF(ISNA(J121),0,VLOOKUP(G121,'Modell-Kalibrierung'!$B$16:$C$22,2,FALSE)*VLOOKUP(H121,'Modell-Kalibrierung'!$B$3:$C$8,2,0)+VLOOKUP(I121,'Modell-Kalibrierung'!$B$16:$C$22,2,0)*'STEP-Analyse'!J121)</f>
        <v>0</v>
      </c>
      <c r="L121" s="6"/>
    </row>
    <row r="122" spans="1:12" ht="36" customHeight="1" thickBot="1" x14ac:dyDescent="0.25">
      <c r="A122" s="147"/>
      <c r="B122" s="139"/>
      <c r="C122" s="125" t="str">
        <f>B117</f>
        <v>Produktlebenszyklen</v>
      </c>
      <c r="D122" s="126"/>
      <c r="E122" s="126"/>
      <c r="F122" s="126"/>
      <c r="G122" s="127"/>
      <c r="H122" s="127"/>
      <c r="I122" s="127"/>
      <c r="J122" s="128"/>
      <c r="K122" s="4">
        <f>SUM(K117:K121)</f>
        <v>0</v>
      </c>
      <c r="L122" s="16" t="str">
        <f>IF(K122=0,"0% Anteil am Gesamtprojektrisiko",(K122/$K$123))</f>
        <v>0% Anteil am Gesamtprojektrisiko</v>
      </c>
    </row>
    <row r="123" spans="1:12" ht="63.75" customHeight="1" thickBot="1" x14ac:dyDescent="0.25">
      <c r="A123" s="142" t="s">
        <v>32</v>
      </c>
      <c r="B123" s="143"/>
      <c r="C123" s="143"/>
      <c r="D123" s="143"/>
      <c r="E123" s="143"/>
      <c r="F123" s="143"/>
      <c r="G123" s="143"/>
      <c r="H123" s="143"/>
      <c r="I123" s="143"/>
      <c r="J123" s="143"/>
      <c r="K123" s="60">
        <f>M31</f>
        <v>0</v>
      </c>
      <c r="L123" s="15"/>
    </row>
    <row r="124" spans="1:12" x14ac:dyDescent="0.2">
      <c r="A124" s="36"/>
      <c r="B124" s="36"/>
      <c r="C124" s="36"/>
      <c r="D124" s="36"/>
      <c r="E124" s="36"/>
      <c r="F124" s="36"/>
      <c r="G124" s="36"/>
      <c r="H124" s="36"/>
      <c r="I124" s="36"/>
      <c r="J124" s="36"/>
      <c r="K124" s="36"/>
    </row>
    <row r="125" spans="1:12" x14ac:dyDescent="0.2">
      <c r="A125" s="36"/>
      <c r="B125" s="36"/>
      <c r="C125" s="36"/>
      <c r="D125" s="36"/>
      <c r="E125" s="36"/>
      <c r="F125" s="36"/>
      <c r="G125" s="36"/>
      <c r="H125" s="36"/>
      <c r="I125" s="36"/>
      <c r="J125" s="94"/>
      <c r="K125" s="94"/>
      <c r="L125" s="94"/>
    </row>
    <row r="126" spans="1:12" ht="20.25" x14ac:dyDescent="0.2">
      <c r="A126" s="36"/>
      <c r="B126" s="36"/>
      <c r="C126" s="36"/>
      <c r="D126" s="36"/>
      <c r="E126" s="36"/>
      <c r="F126" s="36"/>
      <c r="G126" s="36"/>
      <c r="H126" s="36"/>
      <c r="I126" s="36"/>
      <c r="J126" s="95"/>
      <c r="K126" s="96"/>
      <c r="L126" s="94"/>
    </row>
    <row r="127" spans="1:12" x14ac:dyDescent="0.2">
      <c r="A127" s="36"/>
      <c r="B127" s="36"/>
      <c r="C127" s="36"/>
      <c r="D127" s="36"/>
      <c r="E127" s="36"/>
      <c r="F127" s="36"/>
      <c r="G127" s="36"/>
      <c r="H127" s="36"/>
      <c r="I127" s="36"/>
      <c r="J127" s="94"/>
      <c r="K127" s="94"/>
      <c r="L127" s="94"/>
    </row>
    <row r="128" spans="1:12" x14ac:dyDescent="0.2">
      <c r="A128" s="36"/>
      <c r="B128" s="36"/>
      <c r="C128" s="36"/>
      <c r="D128" s="36"/>
      <c r="E128" s="36"/>
      <c r="F128" s="36"/>
      <c r="G128" s="36"/>
      <c r="H128" s="36"/>
      <c r="I128" s="36"/>
      <c r="J128" s="94"/>
      <c r="K128" s="94"/>
      <c r="L128" s="94"/>
    </row>
    <row r="129" spans="1:36" x14ac:dyDescent="0.2">
      <c r="A129" s="36"/>
      <c r="B129" s="36"/>
      <c r="C129" s="36"/>
      <c r="D129" s="36"/>
      <c r="E129" s="36"/>
      <c r="F129" s="36"/>
      <c r="G129" s="36"/>
      <c r="H129" s="36"/>
      <c r="I129" s="36"/>
      <c r="J129" s="94"/>
      <c r="K129" s="94"/>
      <c r="L129" s="94"/>
    </row>
    <row r="130" spans="1:36" x14ac:dyDescent="0.2">
      <c r="A130" s="36"/>
      <c r="B130" s="36"/>
      <c r="C130" s="36"/>
      <c r="D130" s="36"/>
      <c r="E130" s="36"/>
      <c r="F130" s="36"/>
      <c r="G130" s="36"/>
      <c r="H130" s="36"/>
      <c r="I130" s="36"/>
      <c r="J130" s="94"/>
      <c r="K130" s="94"/>
      <c r="L130" s="94"/>
    </row>
    <row r="131" spans="1:36" x14ac:dyDescent="0.2">
      <c r="A131" s="36"/>
      <c r="B131" s="36"/>
      <c r="C131" s="36"/>
      <c r="D131" s="36"/>
      <c r="E131" s="36"/>
      <c r="F131" s="36"/>
      <c r="G131" s="36"/>
      <c r="H131" s="36"/>
      <c r="I131" s="36"/>
      <c r="J131" s="94"/>
      <c r="K131" s="94"/>
      <c r="L131" s="94"/>
    </row>
    <row r="132" spans="1:36" x14ac:dyDescent="0.2">
      <c r="A132" s="36"/>
      <c r="B132" s="36"/>
      <c r="C132" s="36"/>
      <c r="D132" s="36"/>
      <c r="E132" s="36"/>
      <c r="F132" s="36"/>
      <c r="G132" s="36"/>
      <c r="H132" s="36"/>
      <c r="I132" s="36"/>
      <c r="J132" s="94"/>
      <c r="K132" s="94"/>
      <c r="L132" s="94"/>
      <c r="AF132" s="97"/>
      <c r="AG132" s="97"/>
      <c r="AH132" s="97"/>
      <c r="AI132" s="97"/>
      <c r="AJ132" s="97"/>
    </row>
    <row r="133" spans="1:36" ht="20.25" x14ac:dyDescent="0.2">
      <c r="A133" s="36"/>
      <c r="B133" s="36"/>
      <c r="C133" s="36"/>
      <c r="D133" s="36"/>
      <c r="E133" s="36"/>
      <c r="F133" s="36"/>
      <c r="G133" s="36"/>
      <c r="H133" s="36"/>
      <c r="I133" s="36"/>
      <c r="J133" s="95"/>
      <c r="K133" s="96"/>
      <c r="L133" s="94"/>
    </row>
    <row r="134" spans="1:36" x14ac:dyDescent="0.2">
      <c r="A134" s="36"/>
      <c r="B134" s="36"/>
      <c r="C134" s="36"/>
      <c r="D134" s="36"/>
      <c r="E134" s="36"/>
      <c r="F134" s="36"/>
      <c r="G134" s="36"/>
      <c r="H134" s="36"/>
      <c r="I134" s="36"/>
      <c r="J134" s="94"/>
      <c r="K134" s="94"/>
      <c r="L134" s="94"/>
    </row>
    <row r="135" spans="1:36" x14ac:dyDescent="0.2">
      <c r="A135" s="36"/>
      <c r="B135" s="36"/>
      <c r="C135" s="36"/>
      <c r="D135" s="36"/>
      <c r="E135" s="36"/>
      <c r="F135" s="36"/>
      <c r="G135" s="36"/>
      <c r="H135" s="36"/>
      <c r="I135" s="36"/>
      <c r="J135" s="94"/>
      <c r="K135" s="94"/>
      <c r="L135" s="94"/>
    </row>
    <row r="136" spans="1:36" x14ac:dyDescent="0.2">
      <c r="A136" s="36"/>
      <c r="B136" s="36"/>
      <c r="C136" s="36"/>
      <c r="D136" s="36"/>
      <c r="E136" s="36"/>
      <c r="F136" s="36"/>
      <c r="G136" s="36"/>
      <c r="H136" s="36"/>
      <c r="I136" s="36"/>
      <c r="J136" s="94"/>
      <c r="K136" s="94"/>
      <c r="L136" s="94"/>
    </row>
    <row r="137" spans="1:36" x14ac:dyDescent="0.2">
      <c r="A137" s="36"/>
      <c r="B137" s="36"/>
      <c r="C137" s="36"/>
      <c r="D137" s="36"/>
      <c r="E137" s="36"/>
      <c r="F137" s="36"/>
      <c r="G137" s="36"/>
      <c r="H137" s="36"/>
      <c r="I137" s="36"/>
      <c r="J137" s="94"/>
      <c r="K137" s="94"/>
      <c r="L137" s="94"/>
    </row>
    <row r="138" spans="1:36" x14ac:dyDescent="0.2">
      <c r="A138" s="36"/>
      <c r="B138" s="36"/>
      <c r="C138" s="36"/>
      <c r="D138" s="36"/>
      <c r="E138" s="36"/>
      <c r="F138" s="36"/>
      <c r="G138" s="36"/>
      <c r="H138" s="36"/>
      <c r="I138" s="36"/>
      <c r="J138" s="94"/>
      <c r="K138" s="94"/>
      <c r="L138" s="94"/>
    </row>
    <row r="139" spans="1:36" x14ac:dyDescent="0.2">
      <c r="A139" s="36"/>
      <c r="B139" s="36"/>
      <c r="C139" s="36"/>
      <c r="D139" s="36"/>
      <c r="E139" s="36"/>
      <c r="F139" s="36"/>
      <c r="G139" s="36"/>
      <c r="H139" s="36"/>
      <c r="I139" s="36"/>
      <c r="J139" s="94"/>
      <c r="K139" s="94"/>
      <c r="L139" s="94"/>
    </row>
    <row r="140" spans="1:36" ht="20.25" x14ac:dyDescent="0.2">
      <c r="A140" s="36"/>
      <c r="B140" s="36"/>
      <c r="C140" s="36"/>
      <c r="D140" s="36"/>
      <c r="E140" s="36"/>
      <c r="F140" s="36"/>
      <c r="G140" s="36"/>
      <c r="H140" s="36"/>
      <c r="I140" s="36"/>
      <c r="J140" s="95"/>
      <c r="K140" s="96"/>
      <c r="L140" s="94"/>
    </row>
    <row r="141" spans="1:36" x14ac:dyDescent="0.2">
      <c r="A141" s="36"/>
      <c r="B141" s="36"/>
      <c r="C141" s="36"/>
      <c r="D141" s="36"/>
      <c r="E141" s="36"/>
      <c r="F141" s="36"/>
      <c r="G141" s="36"/>
      <c r="H141" s="36"/>
      <c r="I141" s="36"/>
      <c r="J141" s="94"/>
      <c r="K141" s="94"/>
      <c r="L141" s="94"/>
    </row>
    <row r="142" spans="1:36" x14ac:dyDescent="0.2">
      <c r="A142" s="36"/>
      <c r="B142" s="36"/>
      <c r="C142" s="36"/>
      <c r="D142" s="36"/>
      <c r="E142" s="36"/>
      <c r="F142" s="36"/>
      <c r="G142" s="36"/>
      <c r="H142" s="36"/>
      <c r="I142" s="36"/>
      <c r="J142" s="94"/>
      <c r="K142" s="94"/>
      <c r="L142" s="94"/>
    </row>
    <row r="143" spans="1:36" x14ac:dyDescent="0.2">
      <c r="A143" s="36"/>
      <c r="B143" s="36"/>
      <c r="C143" s="36"/>
      <c r="D143" s="36"/>
      <c r="E143" s="36"/>
      <c r="F143" s="36"/>
      <c r="G143" s="36"/>
      <c r="H143" s="36"/>
      <c r="I143" s="36"/>
      <c r="J143" s="36"/>
      <c r="K143" s="36"/>
      <c r="L143" s="36"/>
    </row>
    <row r="144" spans="1:36" x14ac:dyDescent="0.2">
      <c r="A144" s="36"/>
      <c r="B144" s="36"/>
      <c r="C144" s="36"/>
      <c r="D144" s="36"/>
      <c r="E144" s="36"/>
      <c r="F144" s="36"/>
      <c r="G144" s="36"/>
      <c r="H144" s="36"/>
      <c r="I144" s="36"/>
      <c r="J144" s="36"/>
      <c r="K144" s="36"/>
      <c r="L144" s="36"/>
    </row>
    <row r="145" spans="1:31" x14ac:dyDescent="0.2">
      <c r="A145" s="36"/>
      <c r="B145" s="36"/>
      <c r="C145" s="36"/>
      <c r="D145" s="36"/>
      <c r="E145" s="36"/>
      <c r="F145" s="36"/>
      <c r="G145" s="36"/>
      <c r="H145" s="36"/>
      <c r="I145" s="36"/>
      <c r="J145" s="36"/>
      <c r="K145" s="36"/>
      <c r="L145" s="36"/>
    </row>
    <row r="146" spans="1:31" x14ac:dyDescent="0.2">
      <c r="A146" s="36"/>
      <c r="B146" s="36"/>
      <c r="C146" s="36"/>
      <c r="D146" s="36"/>
      <c r="E146" s="36"/>
      <c r="F146" s="36"/>
      <c r="G146" s="36"/>
      <c r="H146" s="36"/>
      <c r="I146" s="36"/>
      <c r="J146" s="36"/>
      <c r="K146" s="36"/>
      <c r="L146" s="36"/>
    </row>
    <row r="147" spans="1:31" x14ac:dyDescent="0.2">
      <c r="A147" s="36"/>
      <c r="B147" s="36"/>
      <c r="C147" s="36"/>
      <c r="D147" s="36"/>
      <c r="E147" s="36"/>
      <c r="F147" s="36"/>
      <c r="G147" s="36"/>
      <c r="H147" s="36"/>
      <c r="I147" s="36"/>
      <c r="J147" s="36"/>
      <c r="K147" s="36"/>
      <c r="L147" s="36"/>
    </row>
    <row r="148" spans="1:31" x14ac:dyDescent="0.2">
      <c r="A148" s="36"/>
      <c r="B148" s="36"/>
      <c r="C148" s="36"/>
      <c r="D148" s="36"/>
      <c r="E148" s="36"/>
      <c r="F148" s="36"/>
      <c r="G148" s="36"/>
      <c r="H148" s="36"/>
      <c r="I148" s="36"/>
      <c r="J148" s="36"/>
      <c r="K148" s="36"/>
      <c r="L148" s="36"/>
    </row>
    <row r="149" spans="1:31" x14ac:dyDescent="0.2">
      <c r="A149" s="36"/>
      <c r="B149" s="36"/>
      <c r="C149" s="36"/>
      <c r="D149" s="36"/>
      <c r="E149" s="36"/>
      <c r="F149" s="36"/>
      <c r="G149" s="36"/>
      <c r="H149" s="36"/>
      <c r="I149" s="36"/>
      <c r="J149" s="36"/>
      <c r="K149" s="36"/>
      <c r="L149" s="36"/>
    </row>
    <row r="150" spans="1:31" x14ac:dyDescent="0.2">
      <c r="A150" s="36"/>
      <c r="B150" s="36"/>
      <c r="C150" s="36"/>
      <c r="D150" s="36"/>
      <c r="E150" s="36"/>
      <c r="F150" s="36"/>
      <c r="G150" s="36"/>
      <c r="H150" s="36"/>
      <c r="I150" s="36"/>
      <c r="J150" s="36"/>
      <c r="K150" s="36"/>
      <c r="L150" s="36"/>
    </row>
    <row r="151" spans="1:31" x14ac:dyDescent="0.2">
      <c r="A151" s="36"/>
      <c r="B151" s="36"/>
      <c r="C151" s="36"/>
      <c r="D151" s="36"/>
      <c r="E151" s="36"/>
      <c r="F151" s="36"/>
      <c r="G151" s="36"/>
      <c r="H151" s="36"/>
      <c r="I151" s="36"/>
      <c r="J151" s="36"/>
      <c r="K151" s="36"/>
      <c r="L151" s="36"/>
    </row>
    <row r="152" spans="1:31" x14ac:dyDescent="0.2">
      <c r="A152" s="36"/>
      <c r="B152" s="36"/>
      <c r="C152" s="36"/>
      <c r="D152" s="36"/>
      <c r="E152" s="36"/>
      <c r="F152" s="36"/>
      <c r="G152" s="36"/>
      <c r="H152" s="36"/>
      <c r="I152" s="36"/>
      <c r="J152" s="36"/>
      <c r="K152" s="36"/>
      <c r="L152" s="36"/>
    </row>
    <row r="153" spans="1:31" x14ac:dyDescent="0.2">
      <c r="A153" s="36"/>
      <c r="B153" s="36"/>
      <c r="C153" s="36"/>
      <c r="D153" s="36"/>
      <c r="E153" s="36"/>
      <c r="F153" s="36"/>
      <c r="G153" s="36"/>
      <c r="H153" s="36"/>
      <c r="I153" s="36"/>
      <c r="J153" s="36"/>
      <c r="K153" s="36"/>
      <c r="L153" s="36"/>
    </row>
    <row r="154" spans="1:31" x14ac:dyDescent="0.2">
      <c r="A154" s="36"/>
      <c r="B154" s="36"/>
      <c r="C154" s="36"/>
      <c r="D154" s="36"/>
      <c r="E154" s="36"/>
      <c r="F154" s="36"/>
      <c r="G154" s="36"/>
      <c r="H154" s="36"/>
      <c r="I154" s="36"/>
      <c r="J154" s="36"/>
      <c r="K154" s="36"/>
      <c r="L154" s="36"/>
    </row>
    <row r="155" spans="1:31" x14ac:dyDescent="0.2">
      <c r="A155" s="36"/>
      <c r="B155" s="36"/>
      <c r="C155" s="36"/>
      <c r="D155" s="36"/>
      <c r="E155" s="36"/>
      <c r="F155" s="36"/>
      <c r="G155" s="36"/>
      <c r="H155" s="36"/>
      <c r="I155" s="36"/>
      <c r="J155" s="36"/>
      <c r="K155" s="36"/>
      <c r="L155" s="36"/>
    </row>
    <row r="156" spans="1:31" x14ac:dyDescent="0.2">
      <c r="A156" s="36"/>
      <c r="B156" s="36"/>
      <c r="C156" s="36"/>
      <c r="D156" s="36"/>
      <c r="E156" s="36"/>
      <c r="F156" s="36"/>
      <c r="G156" s="36"/>
      <c r="H156" s="36"/>
      <c r="I156" s="36"/>
      <c r="J156" s="36"/>
      <c r="K156" s="36"/>
      <c r="L156" s="36"/>
    </row>
    <row r="157" spans="1:31" x14ac:dyDescent="0.2">
      <c r="A157" s="36"/>
      <c r="B157" s="36"/>
      <c r="C157" s="36"/>
      <c r="D157" s="36"/>
      <c r="E157" s="36"/>
      <c r="F157" s="36"/>
      <c r="G157" s="36"/>
      <c r="H157" s="36"/>
      <c r="I157" s="36"/>
      <c r="J157" s="36"/>
      <c r="K157" s="36"/>
      <c r="L157" s="36"/>
    </row>
    <row r="158" spans="1:31" x14ac:dyDescent="0.2">
      <c r="A158" s="36"/>
      <c r="B158" s="36"/>
      <c r="C158" s="36"/>
      <c r="D158" s="36"/>
      <c r="E158" s="36"/>
      <c r="F158" s="36"/>
      <c r="G158" s="36"/>
      <c r="H158" s="36"/>
      <c r="I158" s="36"/>
      <c r="J158" s="36"/>
      <c r="K158" s="36"/>
      <c r="L158" s="36"/>
    </row>
    <row r="159" spans="1:31" x14ac:dyDescent="0.2">
      <c r="A159" s="36"/>
      <c r="B159" s="36"/>
      <c r="C159" s="36"/>
      <c r="D159" s="36"/>
      <c r="E159" s="36"/>
      <c r="F159" s="36"/>
      <c r="G159" s="36"/>
      <c r="H159" s="36"/>
      <c r="I159" s="36"/>
      <c r="J159" s="36"/>
      <c r="K159" s="36"/>
      <c r="L159" s="36"/>
    </row>
    <row r="160" spans="1:31" x14ac:dyDescent="0.2">
      <c r="A160" s="36"/>
      <c r="B160" s="36"/>
      <c r="C160" s="36"/>
      <c r="D160" s="36"/>
      <c r="E160" s="36"/>
      <c r="F160" s="36"/>
      <c r="G160" s="36"/>
      <c r="H160" s="36"/>
      <c r="I160" s="36"/>
      <c r="J160" s="36"/>
      <c r="K160" s="36"/>
      <c r="L160" s="36"/>
      <c r="P160" s="98"/>
      <c r="Q160" s="98"/>
      <c r="R160" s="98"/>
      <c r="S160" s="98"/>
      <c r="T160" s="98"/>
      <c r="U160" s="98"/>
      <c r="V160" s="98"/>
      <c r="W160" s="98"/>
      <c r="X160" s="98"/>
      <c r="Y160" s="98"/>
      <c r="Z160" s="98"/>
      <c r="AA160" s="98"/>
      <c r="AB160" s="98"/>
      <c r="AC160" s="98"/>
      <c r="AD160" s="98"/>
      <c r="AE160" s="98"/>
    </row>
    <row r="161" spans="1:31" x14ac:dyDescent="0.2">
      <c r="A161" s="36"/>
      <c r="B161" s="36"/>
      <c r="C161" s="36"/>
      <c r="D161" s="36"/>
      <c r="E161" s="36"/>
      <c r="F161" s="36"/>
      <c r="G161" s="36"/>
      <c r="H161" s="36"/>
      <c r="I161" s="36"/>
      <c r="J161" s="36"/>
      <c r="K161" s="36"/>
      <c r="L161" s="36"/>
      <c r="P161" s="98"/>
      <c r="Q161" s="98"/>
      <c r="R161" s="98"/>
      <c r="S161" s="98"/>
      <c r="T161" s="98"/>
      <c r="U161" s="98"/>
      <c r="V161" s="98"/>
      <c r="W161" s="98"/>
      <c r="X161" s="98"/>
      <c r="Y161" s="98"/>
      <c r="Z161" s="98"/>
      <c r="AA161" s="98"/>
      <c r="AB161" s="98"/>
      <c r="AC161" s="98"/>
      <c r="AD161" s="98"/>
      <c r="AE161" s="98"/>
    </row>
    <row r="162" spans="1:31" x14ac:dyDescent="0.2">
      <c r="A162" s="36"/>
      <c r="B162" s="36"/>
      <c r="C162" s="36"/>
      <c r="D162" s="36"/>
      <c r="E162" s="36"/>
      <c r="F162" s="36"/>
      <c r="G162" s="36"/>
      <c r="H162" s="36"/>
      <c r="I162" s="36"/>
      <c r="J162" s="36"/>
      <c r="K162" s="36"/>
      <c r="L162" s="36"/>
      <c r="P162" s="98"/>
      <c r="Q162" s="98"/>
      <c r="R162" s="98"/>
      <c r="S162" s="98"/>
      <c r="T162" s="98"/>
      <c r="U162" s="98"/>
      <c r="V162" s="98"/>
      <c r="W162" s="98"/>
      <c r="X162" s="98"/>
      <c r="Y162" s="98"/>
      <c r="Z162" s="98"/>
      <c r="AA162" s="98"/>
      <c r="AB162" s="98"/>
      <c r="AC162" s="98"/>
      <c r="AD162" s="98"/>
      <c r="AE162" s="98"/>
    </row>
    <row r="163" spans="1:31" x14ac:dyDescent="0.2">
      <c r="A163" s="36"/>
      <c r="B163" s="36"/>
      <c r="C163" s="36"/>
      <c r="D163" s="36"/>
      <c r="E163" s="36"/>
      <c r="F163" s="36"/>
      <c r="G163" s="36"/>
      <c r="H163" s="36"/>
      <c r="I163" s="36"/>
      <c r="J163" s="36"/>
      <c r="K163" s="36"/>
      <c r="L163" s="36"/>
      <c r="P163" s="98"/>
      <c r="Q163" s="98"/>
      <c r="R163" s="98"/>
      <c r="S163" s="98"/>
      <c r="T163" s="98"/>
      <c r="U163" s="98"/>
      <c r="V163" s="98"/>
      <c r="W163" s="98"/>
      <c r="X163" s="98"/>
      <c r="Y163" s="98"/>
      <c r="Z163" s="98"/>
      <c r="AA163" s="98"/>
      <c r="AB163" s="98"/>
      <c r="AC163" s="98"/>
      <c r="AD163" s="98"/>
      <c r="AE163" s="98"/>
    </row>
    <row r="164" spans="1:31" x14ac:dyDescent="0.2">
      <c r="A164" s="36"/>
      <c r="B164" s="36"/>
      <c r="C164" s="36"/>
      <c r="D164" s="36"/>
      <c r="E164" s="36"/>
      <c r="F164" s="36"/>
      <c r="G164" s="36"/>
      <c r="H164" s="36"/>
      <c r="I164" s="36"/>
      <c r="J164" s="36"/>
      <c r="K164" s="36"/>
      <c r="L164" s="36"/>
      <c r="P164" s="98"/>
      <c r="Q164" s="98"/>
      <c r="R164" s="98"/>
      <c r="S164" s="98"/>
      <c r="T164" s="98"/>
      <c r="U164" s="98"/>
      <c r="V164" s="98"/>
      <c r="W164" s="98"/>
      <c r="X164" s="98"/>
      <c r="Y164" s="98"/>
      <c r="Z164" s="98"/>
      <c r="AA164" s="98"/>
      <c r="AB164" s="98"/>
      <c r="AC164" s="98"/>
      <c r="AD164" s="98"/>
      <c r="AE164" s="98"/>
    </row>
    <row r="165" spans="1:31" x14ac:dyDescent="0.2">
      <c r="A165" s="36"/>
      <c r="B165" s="36"/>
      <c r="C165" s="36"/>
      <c r="D165" s="36"/>
      <c r="E165" s="36"/>
      <c r="F165" s="36"/>
      <c r="G165" s="36"/>
      <c r="H165" s="36"/>
      <c r="I165" s="36"/>
      <c r="J165" s="36"/>
      <c r="K165" s="36"/>
      <c r="L165" s="36"/>
    </row>
    <row r="166" spans="1:31" x14ac:dyDescent="0.2">
      <c r="A166" s="36"/>
      <c r="B166" s="36"/>
      <c r="C166" s="36"/>
      <c r="D166" s="36"/>
      <c r="E166" s="36"/>
      <c r="F166" s="36"/>
      <c r="G166" s="36"/>
      <c r="H166" s="36"/>
      <c r="I166" s="36"/>
      <c r="J166" s="36"/>
      <c r="K166" s="36"/>
      <c r="L166" s="36"/>
    </row>
    <row r="167" spans="1:31" x14ac:dyDescent="0.2">
      <c r="A167" s="36"/>
      <c r="B167" s="36"/>
      <c r="C167" s="36"/>
      <c r="D167" s="36"/>
      <c r="E167" s="36"/>
      <c r="F167" s="36"/>
      <c r="G167" s="36"/>
      <c r="H167" s="36"/>
      <c r="I167" s="36"/>
      <c r="J167" s="36"/>
      <c r="K167" s="36"/>
      <c r="L167" s="36"/>
    </row>
    <row r="168" spans="1:31" x14ac:dyDescent="0.2">
      <c r="A168" s="36"/>
      <c r="B168" s="36"/>
      <c r="C168" s="36"/>
      <c r="D168" s="36"/>
      <c r="E168" s="36"/>
      <c r="F168" s="36"/>
      <c r="G168" s="36"/>
      <c r="H168" s="36"/>
      <c r="I168" s="36"/>
      <c r="J168" s="36"/>
      <c r="K168" s="36"/>
      <c r="L168" s="36"/>
    </row>
    <row r="169" spans="1:31" x14ac:dyDescent="0.2">
      <c r="A169" s="36"/>
      <c r="B169" s="36"/>
      <c r="C169" s="36"/>
      <c r="D169" s="36"/>
      <c r="E169" s="36"/>
      <c r="F169" s="36"/>
      <c r="G169" s="36"/>
      <c r="H169" s="36"/>
      <c r="I169" s="36"/>
      <c r="J169" s="36"/>
      <c r="K169" s="36"/>
      <c r="L169" s="36"/>
    </row>
    <row r="170" spans="1:31" x14ac:dyDescent="0.2">
      <c r="A170" s="36"/>
      <c r="B170" s="36"/>
      <c r="C170" s="36"/>
      <c r="D170" s="36"/>
      <c r="E170" s="36"/>
      <c r="F170" s="36"/>
      <c r="G170" s="36"/>
      <c r="H170" s="36"/>
      <c r="I170" s="36"/>
      <c r="J170" s="36"/>
      <c r="K170" s="36"/>
      <c r="L170" s="36"/>
    </row>
    <row r="171" spans="1:31" x14ac:dyDescent="0.2">
      <c r="A171" s="36"/>
      <c r="B171" s="36"/>
      <c r="C171" s="36"/>
      <c r="D171" s="36"/>
      <c r="E171" s="36"/>
      <c r="F171" s="36"/>
      <c r="G171" s="36"/>
      <c r="H171" s="36"/>
      <c r="I171" s="36"/>
      <c r="J171" s="36"/>
      <c r="K171" s="36"/>
      <c r="L171" s="36"/>
    </row>
    <row r="172" spans="1:31" x14ac:dyDescent="0.2">
      <c r="A172" s="36"/>
      <c r="B172" s="36"/>
      <c r="C172" s="36"/>
      <c r="D172" s="36"/>
      <c r="E172" s="36"/>
      <c r="F172" s="36"/>
      <c r="G172" s="36"/>
      <c r="H172" s="36"/>
      <c r="I172" s="36"/>
      <c r="J172" s="36"/>
      <c r="K172" s="36"/>
      <c r="L172" s="36"/>
    </row>
    <row r="173" spans="1:31" x14ac:dyDescent="0.2">
      <c r="A173" s="36"/>
      <c r="B173" s="36"/>
      <c r="C173" s="36"/>
      <c r="D173" s="36"/>
      <c r="E173" s="36"/>
      <c r="F173" s="36"/>
      <c r="G173" s="36"/>
      <c r="H173" s="36"/>
      <c r="I173" s="36"/>
      <c r="J173" s="36"/>
      <c r="K173" s="36"/>
      <c r="L173" s="36"/>
    </row>
    <row r="174" spans="1:31" x14ac:dyDescent="0.2">
      <c r="A174" s="36"/>
      <c r="B174" s="36"/>
      <c r="C174" s="36"/>
      <c r="D174" s="36"/>
      <c r="E174" s="36"/>
      <c r="F174" s="36"/>
      <c r="G174" s="36"/>
      <c r="H174" s="36"/>
      <c r="I174" s="36"/>
      <c r="J174" s="36"/>
      <c r="K174" s="36"/>
      <c r="L174" s="36"/>
    </row>
    <row r="175" spans="1:31" x14ac:dyDescent="0.2">
      <c r="A175" s="36"/>
      <c r="B175" s="36"/>
      <c r="C175" s="36"/>
      <c r="D175" s="36"/>
      <c r="E175" s="36"/>
      <c r="F175" s="36"/>
      <c r="G175" s="36"/>
      <c r="H175" s="36"/>
      <c r="I175" s="36"/>
      <c r="J175" s="36"/>
      <c r="K175" s="36"/>
      <c r="L175" s="36"/>
    </row>
    <row r="176" spans="1:31" x14ac:dyDescent="0.2">
      <c r="A176" s="36"/>
      <c r="B176" s="36"/>
      <c r="C176" s="36"/>
      <c r="D176" s="36"/>
      <c r="E176" s="36"/>
      <c r="F176" s="36"/>
      <c r="G176" s="36"/>
      <c r="H176" s="36"/>
      <c r="I176" s="36"/>
      <c r="J176" s="36"/>
      <c r="K176" s="36"/>
      <c r="L176" s="36"/>
    </row>
    <row r="177" spans="1:31" x14ac:dyDescent="0.2">
      <c r="A177" s="36"/>
      <c r="B177" s="36"/>
      <c r="C177" s="36"/>
      <c r="D177" s="36"/>
      <c r="E177" s="36"/>
      <c r="F177" s="36"/>
      <c r="G177" s="36"/>
      <c r="H177" s="36"/>
      <c r="I177" s="36"/>
      <c r="J177" s="36"/>
      <c r="K177" s="36"/>
      <c r="L177" s="36"/>
    </row>
    <row r="178" spans="1:31" s="36" customFormat="1" x14ac:dyDescent="0.2">
      <c r="M178" s="54"/>
      <c r="N178" s="54"/>
      <c r="O178" s="104"/>
      <c r="P178" s="104"/>
      <c r="Q178" s="104"/>
      <c r="R178" s="104"/>
      <c r="S178" s="104"/>
      <c r="T178" s="104"/>
      <c r="U178" s="104"/>
      <c r="V178" s="104"/>
      <c r="W178" s="104"/>
      <c r="X178" s="104"/>
      <c r="Y178" s="104"/>
      <c r="Z178" s="104"/>
      <c r="AA178" s="104"/>
      <c r="AB178" s="104"/>
      <c r="AC178" s="104"/>
      <c r="AD178" s="104"/>
      <c r="AE178" s="104"/>
    </row>
    <row r="179" spans="1:31" s="36" customFormat="1" x14ac:dyDescent="0.2">
      <c r="M179" s="54"/>
      <c r="N179" s="54"/>
      <c r="O179" s="104"/>
      <c r="P179" s="104"/>
      <c r="Q179" s="104"/>
      <c r="R179" s="104"/>
      <c r="S179" s="104"/>
      <c r="T179" s="104"/>
      <c r="U179" s="104"/>
      <c r="V179" s="104"/>
      <c r="W179" s="104"/>
      <c r="X179" s="104"/>
      <c r="Y179" s="104"/>
      <c r="Z179" s="104"/>
      <c r="AA179" s="104"/>
      <c r="AB179" s="104"/>
      <c r="AC179" s="104"/>
      <c r="AD179" s="104"/>
      <c r="AE179" s="104"/>
    </row>
    <row r="180" spans="1:31" s="36" customFormat="1" x14ac:dyDescent="0.2">
      <c r="M180" s="54"/>
      <c r="N180" s="54"/>
      <c r="O180" s="104"/>
      <c r="P180" s="104"/>
      <c r="Q180" s="104"/>
      <c r="R180" s="104"/>
      <c r="S180" s="104"/>
      <c r="T180" s="104"/>
      <c r="U180" s="104"/>
      <c r="V180" s="104"/>
      <c r="W180" s="104"/>
      <c r="X180" s="104"/>
      <c r="Y180" s="104"/>
      <c r="Z180" s="104"/>
      <c r="AA180" s="104"/>
      <c r="AB180" s="104"/>
      <c r="AC180" s="104"/>
      <c r="AD180" s="104"/>
      <c r="AE180" s="104"/>
    </row>
    <row r="181" spans="1:31" s="36" customFormat="1" x14ac:dyDescent="0.2">
      <c r="M181" s="54"/>
      <c r="N181" s="54"/>
      <c r="O181" s="104"/>
      <c r="P181" s="104"/>
      <c r="Q181" s="104"/>
      <c r="R181" s="104"/>
      <c r="S181" s="104"/>
      <c r="T181" s="104"/>
      <c r="U181" s="104"/>
      <c r="V181" s="104"/>
      <c r="W181" s="104"/>
      <c r="X181" s="104"/>
      <c r="Y181" s="104"/>
      <c r="Z181" s="104"/>
      <c r="AA181" s="104"/>
      <c r="AB181" s="104"/>
      <c r="AC181" s="104"/>
      <c r="AD181" s="104"/>
      <c r="AE181" s="104"/>
    </row>
    <row r="182" spans="1:31" s="36" customFormat="1" x14ac:dyDescent="0.2">
      <c r="M182" s="54"/>
      <c r="N182" s="54"/>
      <c r="O182" s="104"/>
      <c r="P182" s="104"/>
      <c r="Q182" s="104"/>
      <c r="R182" s="104"/>
      <c r="S182" s="104"/>
      <c r="T182" s="104"/>
      <c r="U182" s="104"/>
      <c r="V182" s="104"/>
      <c r="W182" s="104"/>
      <c r="X182" s="104"/>
      <c r="Y182" s="104"/>
      <c r="Z182" s="104"/>
      <c r="AA182" s="104"/>
      <c r="AB182" s="104"/>
      <c r="AC182" s="104"/>
      <c r="AD182" s="104"/>
      <c r="AE182" s="104"/>
    </row>
    <row r="183" spans="1:31" s="36" customFormat="1" x14ac:dyDescent="0.2">
      <c r="M183" s="54"/>
      <c r="N183" s="54"/>
      <c r="O183" s="104"/>
      <c r="P183" s="104"/>
      <c r="Q183" s="104"/>
      <c r="R183" s="104"/>
      <c r="S183" s="104"/>
      <c r="T183" s="104"/>
      <c r="U183" s="104"/>
      <c r="V183" s="104"/>
      <c r="W183" s="104"/>
      <c r="X183" s="104"/>
      <c r="Y183" s="104"/>
      <c r="Z183" s="104"/>
      <c r="AA183" s="104"/>
      <c r="AB183" s="104"/>
      <c r="AC183" s="104"/>
      <c r="AD183" s="104"/>
      <c r="AE183" s="104"/>
    </row>
    <row r="184" spans="1:31" s="36" customFormat="1" x14ac:dyDescent="0.2">
      <c r="M184" s="54"/>
      <c r="N184" s="54"/>
      <c r="O184" s="104"/>
      <c r="P184" s="104"/>
      <c r="Q184" s="104"/>
      <c r="R184" s="104"/>
      <c r="S184" s="104"/>
      <c r="T184" s="104"/>
      <c r="U184" s="104"/>
      <c r="V184" s="104"/>
      <c r="W184" s="104"/>
      <c r="X184" s="104"/>
      <c r="Y184" s="104"/>
      <c r="Z184" s="104"/>
      <c r="AA184" s="104"/>
      <c r="AB184" s="104"/>
      <c r="AC184" s="104"/>
      <c r="AD184" s="104"/>
      <c r="AE184" s="104"/>
    </row>
    <row r="185" spans="1:31" s="36" customFormat="1" x14ac:dyDescent="0.2">
      <c r="M185" s="54"/>
      <c r="N185" s="54"/>
      <c r="O185" s="104"/>
      <c r="P185" s="104"/>
      <c r="Q185" s="104"/>
      <c r="R185" s="104"/>
      <c r="S185" s="104"/>
      <c r="T185" s="104"/>
      <c r="U185" s="104"/>
      <c r="V185" s="104"/>
      <c r="W185" s="104"/>
      <c r="X185" s="104"/>
      <c r="Y185" s="104"/>
      <c r="Z185" s="104"/>
      <c r="AA185" s="104"/>
      <c r="AB185" s="104"/>
      <c r="AC185" s="104"/>
      <c r="AD185" s="104"/>
      <c r="AE185" s="104"/>
    </row>
    <row r="186" spans="1:31" s="36" customFormat="1" x14ac:dyDescent="0.2">
      <c r="M186" s="54"/>
      <c r="N186" s="54"/>
      <c r="O186" s="104"/>
      <c r="P186" s="104"/>
      <c r="Q186" s="104"/>
      <c r="R186" s="104"/>
      <c r="S186" s="104"/>
      <c r="T186" s="104"/>
      <c r="U186" s="104"/>
      <c r="V186" s="104"/>
      <c r="W186" s="104"/>
      <c r="X186" s="104"/>
      <c r="Y186" s="104"/>
      <c r="Z186" s="104"/>
      <c r="AA186" s="104"/>
      <c r="AB186" s="104"/>
      <c r="AC186" s="104"/>
      <c r="AD186" s="104"/>
      <c r="AE186" s="104"/>
    </row>
    <row r="187" spans="1:31" s="36" customFormat="1" x14ac:dyDescent="0.2">
      <c r="M187" s="54"/>
      <c r="N187" s="54"/>
      <c r="O187" s="104"/>
      <c r="P187" s="104"/>
      <c r="Q187" s="104"/>
      <c r="R187" s="104"/>
      <c r="S187" s="104"/>
      <c r="T187" s="104"/>
      <c r="U187" s="104"/>
      <c r="V187" s="104"/>
      <c r="W187" s="104"/>
      <c r="X187" s="104"/>
      <c r="Y187" s="104"/>
      <c r="Z187" s="104"/>
      <c r="AA187" s="104"/>
      <c r="AB187" s="104"/>
      <c r="AC187" s="104"/>
      <c r="AD187" s="104"/>
      <c r="AE187" s="104"/>
    </row>
    <row r="188" spans="1:31" s="36" customFormat="1" x14ac:dyDescent="0.2">
      <c r="M188" s="54"/>
      <c r="N188" s="54"/>
      <c r="O188" s="104"/>
      <c r="P188" s="104"/>
      <c r="Q188" s="104"/>
      <c r="R188" s="104"/>
      <c r="S188" s="104"/>
      <c r="T188" s="104"/>
      <c r="U188" s="104"/>
      <c r="V188" s="104"/>
      <c r="W188" s="104"/>
      <c r="X188" s="104"/>
      <c r="Y188" s="104"/>
      <c r="Z188" s="104"/>
      <c r="AA188" s="104"/>
      <c r="AB188" s="104"/>
      <c r="AC188" s="104"/>
      <c r="AD188" s="104"/>
      <c r="AE188" s="104"/>
    </row>
    <row r="189" spans="1:31" s="36" customFormat="1" x14ac:dyDescent="0.2">
      <c r="M189" s="54"/>
      <c r="N189" s="54"/>
      <c r="O189" s="104"/>
      <c r="P189" s="104"/>
      <c r="Q189" s="104"/>
      <c r="R189" s="104"/>
      <c r="S189" s="104"/>
      <c r="T189" s="104"/>
      <c r="U189" s="104"/>
      <c r="V189" s="104"/>
      <c r="W189" s="104"/>
      <c r="X189" s="104"/>
      <c r="Y189" s="104"/>
      <c r="Z189" s="104"/>
      <c r="AA189" s="104"/>
      <c r="AB189" s="104"/>
      <c r="AC189" s="104"/>
      <c r="AD189" s="104"/>
      <c r="AE189" s="104"/>
    </row>
  </sheetData>
  <sheetProtection sheet="1" objects="1" scenarios="1" selectLockedCells="1"/>
  <mergeCells count="36">
    <mergeCell ref="B31:L31"/>
    <mergeCell ref="A81:A98"/>
    <mergeCell ref="B81:B86"/>
    <mergeCell ref="C86:J86"/>
    <mergeCell ref="B87:B92"/>
    <mergeCell ref="C92:J92"/>
    <mergeCell ref="B93:B98"/>
    <mergeCell ref="C98:J98"/>
    <mergeCell ref="C74:J74"/>
    <mergeCell ref="B75:B80"/>
    <mergeCell ref="C80:J80"/>
    <mergeCell ref="B69:B74"/>
    <mergeCell ref="A33:A50"/>
    <mergeCell ref="B33:B38"/>
    <mergeCell ref="C38:J38"/>
    <mergeCell ref="B39:B44"/>
    <mergeCell ref="A123:J123"/>
    <mergeCell ref="A99:A122"/>
    <mergeCell ref="B99:B104"/>
    <mergeCell ref="C104:J104"/>
    <mergeCell ref="B105:B110"/>
    <mergeCell ref="C110:J110"/>
    <mergeCell ref="B111:B116"/>
    <mergeCell ref="C116:J116"/>
    <mergeCell ref="B117:B122"/>
    <mergeCell ref="C122:J122"/>
    <mergeCell ref="C44:J44"/>
    <mergeCell ref="B45:B50"/>
    <mergeCell ref="C50:J50"/>
    <mergeCell ref="A51:A80"/>
    <mergeCell ref="B51:B56"/>
    <mergeCell ref="C56:J56"/>
    <mergeCell ref="B57:B62"/>
    <mergeCell ref="C62:J62"/>
    <mergeCell ref="B63:B68"/>
    <mergeCell ref="C68:J68"/>
  </mergeCells>
  <conditionalFormatting sqref="H42:H43">
    <cfRule type="cellIs" dxfId="3605" priority="969" operator="equal">
      <formula>"sehr hoch"</formula>
    </cfRule>
    <cfRule type="cellIs" dxfId="3604" priority="970" operator="equal">
      <formula>"hoch"</formula>
    </cfRule>
    <cfRule type="cellIs" dxfId="3603" priority="971" operator="equal">
      <formula>"mittel"</formula>
    </cfRule>
    <cfRule type="cellIs" dxfId="3602" priority="972" operator="equal">
      <formula>"gering"</formula>
    </cfRule>
    <cfRule type="cellIs" dxfId="3601" priority="973" operator="equal">
      <formula>"sehr gering"</formula>
    </cfRule>
    <cfRule type="cellIs" dxfId="3600" priority="974" operator="equal">
      <formula>"trifft nicht ein"</formula>
    </cfRule>
  </conditionalFormatting>
  <conditionalFormatting sqref="H39:H41">
    <cfRule type="cellIs" dxfId="3599" priority="963" operator="equal">
      <formula>"sehr hoch"</formula>
    </cfRule>
    <cfRule type="cellIs" dxfId="3598" priority="964" operator="equal">
      <formula>"hoch"</formula>
    </cfRule>
    <cfRule type="cellIs" dxfId="3597" priority="965" operator="equal">
      <formula>"mittel"</formula>
    </cfRule>
    <cfRule type="cellIs" dxfId="3596" priority="966" operator="equal">
      <formula>"gering"</formula>
    </cfRule>
    <cfRule type="cellIs" dxfId="3595" priority="967" operator="equal">
      <formula>"sehr gering"</formula>
    </cfRule>
    <cfRule type="cellIs" dxfId="3594" priority="968" operator="equal">
      <formula>"trifft nicht ein"</formula>
    </cfRule>
  </conditionalFormatting>
  <conditionalFormatting sqref="H66:H67">
    <cfRule type="cellIs" dxfId="3593" priority="921" operator="equal">
      <formula>"sehr hoch"</formula>
    </cfRule>
    <cfRule type="cellIs" dxfId="3592" priority="922" operator="equal">
      <formula>"hoch"</formula>
    </cfRule>
    <cfRule type="cellIs" dxfId="3591" priority="923" operator="equal">
      <formula>"mittel"</formula>
    </cfRule>
    <cfRule type="cellIs" dxfId="3590" priority="924" operator="equal">
      <formula>"gering"</formula>
    </cfRule>
    <cfRule type="cellIs" dxfId="3589" priority="925" operator="equal">
      <formula>"sehr gering"</formula>
    </cfRule>
    <cfRule type="cellIs" dxfId="3588" priority="926" operator="equal">
      <formula>"trifft nicht ein"</formula>
    </cfRule>
  </conditionalFormatting>
  <conditionalFormatting sqref="H63:H65">
    <cfRule type="cellIs" dxfId="3587" priority="915" operator="equal">
      <formula>"sehr hoch"</formula>
    </cfRule>
    <cfRule type="cellIs" dxfId="3586" priority="916" operator="equal">
      <formula>"hoch"</formula>
    </cfRule>
    <cfRule type="cellIs" dxfId="3585" priority="917" operator="equal">
      <formula>"mittel"</formula>
    </cfRule>
    <cfRule type="cellIs" dxfId="3584" priority="918" operator="equal">
      <formula>"gering"</formula>
    </cfRule>
    <cfRule type="cellIs" dxfId="3583" priority="919" operator="equal">
      <formula>"sehr gering"</formula>
    </cfRule>
    <cfRule type="cellIs" dxfId="3582" priority="920" operator="equal">
      <formula>"trifft nicht ein"</formula>
    </cfRule>
  </conditionalFormatting>
  <conditionalFormatting sqref="H72:H73">
    <cfRule type="cellIs" dxfId="3581" priority="909" operator="equal">
      <formula>"sehr hoch"</formula>
    </cfRule>
    <cfRule type="cellIs" dxfId="3580" priority="910" operator="equal">
      <formula>"hoch"</formula>
    </cfRule>
    <cfRule type="cellIs" dxfId="3579" priority="911" operator="equal">
      <formula>"mittel"</formula>
    </cfRule>
    <cfRule type="cellIs" dxfId="3578" priority="912" operator="equal">
      <formula>"gering"</formula>
    </cfRule>
    <cfRule type="cellIs" dxfId="3577" priority="913" operator="equal">
      <formula>"sehr gering"</formula>
    </cfRule>
    <cfRule type="cellIs" dxfId="3576" priority="914" operator="equal">
      <formula>"trifft nicht ein"</formula>
    </cfRule>
  </conditionalFormatting>
  <conditionalFormatting sqref="H69:H71">
    <cfRule type="cellIs" dxfId="3575" priority="903" operator="equal">
      <formula>"sehr hoch"</formula>
    </cfRule>
    <cfRule type="cellIs" dxfId="3574" priority="904" operator="equal">
      <formula>"hoch"</formula>
    </cfRule>
    <cfRule type="cellIs" dxfId="3573" priority="905" operator="equal">
      <formula>"mittel"</formula>
    </cfRule>
    <cfRule type="cellIs" dxfId="3572" priority="906" operator="equal">
      <formula>"gering"</formula>
    </cfRule>
    <cfRule type="cellIs" dxfId="3571" priority="907" operator="equal">
      <formula>"sehr gering"</formula>
    </cfRule>
    <cfRule type="cellIs" dxfId="3570" priority="908" operator="equal">
      <formula>"trifft nicht ein"</formula>
    </cfRule>
  </conditionalFormatting>
  <conditionalFormatting sqref="H78:H79">
    <cfRule type="cellIs" dxfId="3569" priority="897" operator="equal">
      <formula>"sehr hoch"</formula>
    </cfRule>
    <cfRule type="cellIs" dxfId="3568" priority="898" operator="equal">
      <formula>"hoch"</formula>
    </cfRule>
    <cfRule type="cellIs" dxfId="3567" priority="899" operator="equal">
      <formula>"mittel"</formula>
    </cfRule>
    <cfRule type="cellIs" dxfId="3566" priority="900" operator="equal">
      <formula>"gering"</formula>
    </cfRule>
    <cfRule type="cellIs" dxfId="3565" priority="901" operator="equal">
      <formula>"sehr gering"</formula>
    </cfRule>
    <cfRule type="cellIs" dxfId="3564" priority="902" operator="equal">
      <formula>"trifft nicht ein"</formula>
    </cfRule>
  </conditionalFormatting>
  <conditionalFormatting sqref="H75:H77">
    <cfRule type="cellIs" dxfId="3563" priority="891" operator="equal">
      <formula>"sehr hoch"</formula>
    </cfRule>
    <cfRule type="cellIs" dxfId="3562" priority="892" operator="equal">
      <formula>"hoch"</formula>
    </cfRule>
    <cfRule type="cellIs" dxfId="3561" priority="893" operator="equal">
      <formula>"mittel"</formula>
    </cfRule>
    <cfRule type="cellIs" dxfId="3560" priority="894" operator="equal">
      <formula>"gering"</formula>
    </cfRule>
    <cfRule type="cellIs" dxfId="3559" priority="895" operator="equal">
      <formula>"sehr gering"</formula>
    </cfRule>
    <cfRule type="cellIs" dxfId="3558" priority="896" operator="equal">
      <formula>"trifft nicht ein"</formula>
    </cfRule>
  </conditionalFormatting>
  <conditionalFormatting sqref="H84:H85">
    <cfRule type="cellIs" dxfId="3557" priority="885" operator="equal">
      <formula>"sehr hoch"</formula>
    </cfRule>
    <cfRule type="cellIs" dxfId="3556" priority="886" operator="equal">
      <formula>"hoch"</formula>
    </cfRule>
    <cfRule type="cellIs" dxfId="3555" priority="887" operator="equal">
      <formula>"mittel"</formula>
    </cfRule>
    <cfRule type="cellIs" dxfId="3554" priority="888" operator="equal">
      <formula>"gering"</formula>
    </cfRule>
    <cfRule type="cellIs" dxfId="3553" priority="889" operator="equal">
      <formula>"sehr gering"</formula>
    </cfRule>
    <cfRule type="cellIs" dxfId="3552" priority="890" operator="equal">
      <formula>"trifft nicht ein"</formula>
    </cfRule>
  </conditionalFormatting>
  <conditionalFormatting sqref="H81:H83">
    <cfRule type="cellIs" dxfId="3551" priority="879" operator="equal">
      <formula>"sehr hoch"</formula>
    </cfRule>
    <cfRule type="cellIs" dxfId="3550" priority="880" operator="equal">
      <formula>"hoch"</formula>
    </cfRule>
    <cfRule type="cellIs" dxfId="3549" priority="881" operator="equal">
      <formula>"mittel"</formula>
    </cfRule>
    <cfRule type="cellIs" dxfId="3548" priority="882" operator="equal">
      <formula>"gering"</formula>
    </cfRule>
    <cfRule type="cellIs" dxfId="3547" priority="883" operator="equal">
      <formula>"sehr gering"</formula>
    </cfRule>
    <cfRule type="cellIs" dxfId="3546" priority="884" operator="equal">
      <formula>"trifft nicht ein"</formula>
    </cfRule>
  </conditionalFormatting>
  <conditionalFormatting sqref="H90:H91">
    <cfRule type="cellIs" dxfId="3545" priority="873" operator="equal">
      <formula>"sehr hoch"</formula>
    </cfRule>
    <cfRule type="cellIs" dxfId="3544" priority="874" operator="equal">
      <formula>"hoch"</formula>
    </cfRule>
    <cfRule type="cellIs" dxfId="3543" priority="875" operator="equal">
      <formula>"mittel"</formula>
    </cfRule>
    <cfRule type="cellIs" dxfId="3542" priority="876" operator="equal">
      <formula>"gering"</formula>
    </cfRule>
    <cfRule type="cellIs" dxfId="3541" priority="877" operator="equal">
      <formula>"sehr gering"</formula>
    </cfRule>
    <cfRule type="cellIs" dxfId="3540" priority="878" operator="equal">
      <formula>"trifft nicht ein"</formula>
    </cfRule>
  </conditionalFormatting>
  <conditionalFormatting sqref="H87:H89">
    <cfRule type="cellIs" dxfId="3539" priority="867" operator="equal">
      <formula>"sehr hoch"</formula>
    </cfRule>
    <cfRule type="cellIs" dxfId="3538" priority="868" operator="equal">
      <formula>"hoch"</formula>
    </cfRule>
    <cfRule type="cellIs" dxfId="3537" priority="869" operator="equal">
      <formula>"mittel"</formula>
    </cfRule>
    <cfRule type="cellIs" dxfId="3536" priority="870" operator="equal">
      <formula>"gering"</formula>
    </cfRule>
    <cfRule type="cellIs" dxfId="3535" priority="871" operator="equal">
      <formula>"sehr gering"</formula>
    </cfRule>
    <cfRule type="cellIs" dxfId="3534" priority="872" operator="equal">
      <formula>"trifft nicht ein"</formula>
    </cfRule>
  </conditionalFormatting>
  <conditionalFormatting sqref="H96:H97">
    <cfRule type="cellIs" dxfId="3533" priority="861" operator="equal">
      <formula>"sehr hoch"</formula>
    </cfRule>
    <cfRule type="cellIs" dxfId="3532" priority="862" operator="equal">
      <formula>"hoch"</formula>
    </cfRule>
    <cfRule type="cellIs" dxfId="3531" priority="863" operator="equal">
      <formula>"mittel"</formula>
    </cfRule>
    <cfRule type="cellIs" dxfId="3530" priority="864" operator="equal">
      <formula>"gering"</formula>
    </cfRule>
    <cfRule type="cellIs" dxfId="3529" priority="865" operator="equal">
      <formula>"sehr gering"</formula>
    </cfRule>
    <cfRule type="cellIs" dxfId="3528" priority="866" operator="equal">
      <formula>"trifft nicht ein"</formula>
    </cfRule>
  </conditionalFormatting>
  <conditionalFormatting sqref="H93:H95">
    <cfRule type="cellIs" dxfId="3527" priority="855" operator="equal">
      <formula>"sehr hoch"</formula>
    </cfRule>
    <cfRule type="cellIs" dxfId="3526" priority="856" operator="equal">
      <formula>"hoch"</formula>
    </cfRule>
    <cfRule type="cellIs" dxfId="3525" priority="857" operator="equal">
      <formula>"mittel"</formula>
    </cfRule>
    <cfRule type="cellIs" dxfId="3524" priority="858" operator="equal">
      <formula>"gering"</formula>
    </cfRule>
    <cfRule type="cellIs" dxfId="3523" priority="859" operator="equal">
      <formula>"sehr gering"</formula>
    </cfRule>
    <cfRule type="cellIs" dxfId="3522" priority="860" operator="equal">
      <formula>"trifft nicht ein"</formula>
    </cfRule>
  </conditionalFormatting>
  <conditionalFormatting sqref="H102:H103">
    <cfRule type="cellIs" dxfId="3521" priority="849" operator="equal">
      <formula>"sehr hoch"</formula>
    </cfRule>
    <cfRule type="cellIs" dxfId="3520" priority="850" operator="equal">
      <formula>"hoch"</formula>
    </cfRule>
    <cfRule type="cellIs" dxfId="3519" priority="851" operator="equal">
      <formula>"mittel"</formula>
    </cfRule>
    <cfRule type="cellIs" dxfId="3518" priority="852" operator="equal">
      <formula>"gering"</formula>
    </cfRule>
    <cfRule type="cellIs" dxfId="3517" priority="853" operator="equal">
      <formula>"sehr gering"</formula>
    </cfRule>
    <cfRule type="cellIs" dxfId="3516" priority="854" operator="equal">
      <formula>"trifft nicht ein"</formula>
    </cfRule>
  </conditionalFormatting>
  <conditionalFormatting sqref="H99:H101">
    <cfRule type="cellIs" dxfId="3515" priority="843" operator="equal">
      <formula>"sehr hoch"</formula>
    </cfRule>
    <cfRule type="cellIs" dxfId="3514" priority="844" operator="equal">
      <formula>"hoch"</formula>
    </cfRule>
    <cfRule type="cellIs" dxfId="3513" priority="845" operator="equal">
      <formula>"mittel"</formula>
    </cfRule>
    <cfRule type="cellIs" dxfId="3512" priority="846" operator="equal">
      <formula>"gering"</formula>
    </cfRule>
    <cfRule type="cellIs" dxfId="3511" priority="847" operator="equal">
      <formula>"sehr gering"</formula>
    </cfRule>
    <cfRule type="cellIs" dxfId="3510" priority="848" operator="equal">
      <formula>"trifft nicht ein"</formula>
    </cfRule>
  </conditionalFormatting>
  <conditionalFormatting sqref="H108:H109">
    <cfRule type="cellIs" dxfId="3509" priority="837" operator="equal">
      <formula>"sehr hoch"</formula>
    </cfRule>
    <cfRule type="cellIs" dxfId="3508" priority="838" operator="equal">
      <formula>"hoch"</formula>
    </cfRule>
    <cfRule type="cellIs" dxfId="3507" priority="839" operator="equal">
      <formula>"mittel"</formula>
    </cfRule>
    <cfRule type="cellIs" dxfId="3506" priority="840" operator="equal">
      <formula>"gering"</formula>
    </cfRule>
    <cfRule type="cellIs" dxfId="3505" priority="841" operator="equal">
      <formula>"sehr gering"</formula>
    </cfRule>
    <cfRule type="cellIs" dxfId="3504" priority="842" operator="equal">
      <formula>"trifft nicht ein"</formula>
    </cfRule>
  </conditionalFormatting>
  <conditionalFormatting sqref="H105:H107">
    <cfRule type="cellIs" dxfId="3503" priority="831" operator="equal">
      <formula>"sehr hoch"</formula>
    </cfRule>
    <cfRule type="cellIs" dxfId="3502" priority="832" operator="equal">
      <formula>"hoch"</formula>
    </cfRule>
    <cfRule type="cellIs" dxfId="3501" priority="833" operator="equal">
      <formula>"mittel"</formula>
    </cfRule>
    <cfRule type="cellIs" dxfId="3500" priority="834" operator="equal">
      <formula>"gering"</formula>
    </cfRule>
    <cfRule type="cellIs" dxfId="3499" priority="835" operator="equal">
      <formula>"sehr gering"</formula>
    </cfRule>
    <cfRule type="cellIs" dxfId="3498" priority="836" operator="equal">
      <formula>"trifft nicht ein"</formula>
    </cfRule>
  </conditionalFormatting>
  <conditionalFormatting sqref="H114:H115">
    <cfRule type="cellIs" dxfId="3497" priority="825" operator="equal">
      <formula>"sehr hoch"</formula>
    </cfRule>
    <cfRule type="cellIs" dxfId="3496" priority="826" operator="equal">
      <formula>"hoch"</formula>
    </cfRule>
    <cfRule type="cellIs" dxfId="3495" priority="827" operator="equal">
      <formula>"mittel"</formula>
    </cfRule>
    <cfRule type="cellIs" dxfId="3494" priority="828" operator="equal">
      <formula>"gering"</formula>
    </cfRule>
    <cfRule type="cellIs" dxfId="3493" priority="829" operator="equal">
      <formula>"sehr gering"</formula>
    </cfRule>
    <cfRule type="cellIs" dxfId="3492" priority="830" operator="equal">
      <formula>"trifft nicht ein"</formula>
    </cfRule>
  </conditionalFormatting>
  <conditionalFormatting sqref="H111:H113">
    <cfRule type="cellIs" dxfId="3491" priority="819" operator="equal">
      <formula>"sehr hoch"</formula>
    </cfRule>
    <cfRule type="cellIs" dxfId="3490" priority="820" operator="equal">
      <formula>"hoch"</formula>
    </cfRule>
    <cfRule type="cellIs" dxfId="3489" priority="821" operator="equal">
      <formula>"mittel"</formula>
    </cfRule>
    <cfRule type="cellIs" dxfId="3488" priority="822" operator="equal">
      <formula>"gering"</formula>
    </cfRule>
    <cfRule type="cellIs" dxfId="3487" priority="823" operator="equal">
      <formula>"sehr gering"</formula>
    </cfRule>
    <cfRule type="cellIs" dxfId="3486" priority="824" operator="equal">
      <formula>"trifft nicht ein"</formula>
    </cfRule>
  </conditionalFormatting>
  <conditionalFormatting sqref="H120:H121">
    <cfRule type="cellIs" dxfId="3485" priority="813" operator="equal">
      <formula>"sehr hoch"</formula>
    </cfRule>
    <cfRule type="cellIs" dxfId="3484" priority="814" operator="equal">
      <formula>"hoch"</formula>
    </cfRule>
    <cfRule type="cellIs" dxfId="3483" priority="815" operator="equal">
      <formula>"mittel"</formula>
    </cfRule>
    <cfRule type="cellIs" dxfId="3482" priority="816" operator="equal">
      <formula>"gering"</formula>
    </cfRule>
    <cfRule type="cellIs" dxfId="3481" priority="817" operator="equal">
      <formula>"sehr gering"</formula>
    </cfRule>
    <cfRule type="cellIs" dxfId="3480" priority="818" operator="equal">
      <formula>"trifft nicht ein"</formula>
    </cfRule>
  </conditionalFormatting>
  <conditionalFormatting sqref="H117:H119">
    <cfRule type="cellIs" dxfId="3479" priority="807" operator="equal">
      <formula>"sehr hoch"</formula>
    </cfRule>
    <cfRule type="cellIs" dxfId="3478" priority="808" operator="equal">
      <formula>"hoch"</formula>
    </cfRule>
    <cfRule type="cellIs" dxfId="3477" priority="809" operator="equal">
      <formula>"mittel"</formula>
    </cfRule>
    <cfRule type="cellIs" dxfId="3476" priority="810" operator="equal">
      <formula>"gering"</formula>
    </cfRule>
    <cfRule type="cellIs" dxfId="3475" priority="811" operator="equal">
      <formula>"sehr gering"</formula>
    </cfRule>
    <cfRule type="cellIs" dxfId="3474" priority="812" operator="equal">
      <formula>"trifft nicht ein"</formula>
    </cfRule>
  </conditionalFormatting>
  <conditionalFormatting sqref="I42:I43">
    <cfRule type="cellIs" dxfId="3473" priority="801" operator="equal">
      <formula>"führt zum Abbruch"</formula>
    </cfRule>
    <cfRule type="cellIs" dxfId="3472" priority="802" operator="equal">
      <formula>"sehr hoch"</formula>
    </cfRule>
    <cfRule type="cellIs" dxfId="3471" priority="803" operator="equal">
      <formula>"hoch"</formula>
    </cfRule>
    <cfRule type="cellIs" dxfId="3470" priority="804" operator="equal">
      <formula>"mittel"</formula>
    </cfRule>
    <cfRule type="cellIs" dxfId="3469" priority="805" operator="equal">
      <formula>"gering"</formula>
    </cfRule>
    <cfRule type="cellIs" dxfId="3468" priority="806" operator="equal">
      <formula>"sehr gering"</formula>
    </cfRule>
  </conditionalFormatting>
  <conditionalFormatting sqref="I39:I41">
    <cfRule type="cellIs" dxfId="3467" priority="794" operator="equal">
      <formula>"führt zum Abbruch"</formula>
    </cfRule>
    <cfRule type="cellIs" dxfId="3466" priority="795" operator="equal">
      <formula>"sehr hoch"</formula>
    </cfRule>
    <cfRule type="cellIs" dxfId="3465" priority="796" operator="equal">
      <formula>"hoch"</formula>
    </cfRule>
    <cfRule type="cellIs" dxfId="3464" priority="797" operator="equal">
      <formula>"mittel"</formula>
    </cfRule>
    <cfRule type="cellIs" dxfId="3463" priority="798" operator="equal">
      <formula>"gering"</formula>
    </cfRule>
    <cfRule type="cellIs" dxfId="3462" priority="799" operator="equal">
      <formula>"sehr gering"</formula>
    </cfRule>
  </conditionalFormatting>
  <conditionalFormatting sqref="I66:I67">
    <cfRule type="cellIs" dxfId="3461" priority="745" operator="equal">
      <formula>"führt zum Abbruch"</formula>
    </cfRule>
    <cfRule type="cellIs" dxfId="3460" priority="746" operator="equal">
      <formula>"sehr hoch"</formula>
    </cfRule>
    <cfRule type="cellIs" dxfId="3459" priority="747" operator="equal">
      <formula>"hoch"</formula>
    </cfRule>
    <cfRule type="cellIs" dxfId="3458" priority="748" operator="equal">
      <formula>"mittel"</formula>
    </cfRule>
    <cfRule type="cellIs" dxfId="3457" priority="749" operator="equal">
      <formula>"gering"</formula>
    </cfRule>
    <cfRule type="cellIs" dxfId="3456" priority="750" operator="equal">
      <formula>"sehr gering"</formula>
    </cfRule>
  </conditionalFormatting>
  <conditionalFormatting sqref="I63:I65">
    <cfRule type="cellIs" dxfId="3455" priority="738" operator="equal">
      <formula>"führt zum Abbruch"</formula>
    </cfRule>
    <cfRule type="cellIs" dxfId="3454" priority="739" operator="equal">
      <formula>"sehr hoch"</formula>
    </cfRule>
    <cfRule type="cellIs" dxfId="3453" priority="740" operator="equal">
      <formula>"hoch"</formula>
    </cfRule>
    <cfRule type="cellIs" dxfId="3452" priority="741" operator="equal">
      <formula>"mittel"</formula>
    </cfRule>
    <cfRule type="cellIs" dxfId="3451" priority="742" operator="equal">
      <formula>"gering"</formula>
    </cfRule>
    <cfRule type="cellIs" dxfId="3450" priority="743" operator="equal">
      <formula>"sehr gering"</formula>
    </cfRule>
  </conditionalFormatting>
  <conditionalFormatting sqref="I72:I73">
    <cfRule type="cellIs" dxfId="3449" priority="731" operator="equal">
      <formula>"führt zum Abbruch"</formula>
    </cfRule>
    <cfRule type="cellIs" dxfId="3448" priority="732" operator="equal">
      <formula>"sehr hoch"</formula>
    </cfRule>
    <cfRule type="cellIs" dxfId="3447" priority="733" operator="equal">
      <formula>"hoch"</formula>
    </cfRule>
    <cfRule type="cellIs" dxfId="3446" priority="734" operator="equal">
      <formula>"mittel"</formula>
    </cfRule>
    <cfRule type="cellIs" dxfId="3445" priority="735" operator="equal">
      <formula>"gering"</formula>
    </cfRule>
    <cfRule type="cellIs" dxfId="3444" priority="736" operator="equal">
      <formula>"sehr gering"</formula>
    </cfRule>
  </conditionalFormatting>
  <conditionalFormatting sqref="I69:I71">
    <cfRule type="cellIs" dxfId="3443" priority="724" operator="equal">
      <formula>"führt zum Abbruch"</formula>
    </cfRule>
    <cfRule type="cellIs" dxfId="3442" priority="725" operator="equal">
      <formula>"sehr hoch"</formula>
    </cfRule>
    <cfRule type="cellIs" dxfId="3441" priority="726" operator="equal">
      <formula>"hoch"</formula>
    </cfRule>
    <cfRule type="cellIs" dxfId="3440" priority="727" operator="equal">
      <formula>"mittel"</formula>
    </cfRule>
    <cfRule type="cellIs" dxfId="3439" priority="728" operator="equal">
      <formula>"gering"</formula>
    </cfRule>
    <cfRule type="cellIs" dxfId="3438" priority="729" operator="equal">
      <formula>"sehr gering"</formula>
    </cfRule>
  </conditionalFormatting>
  <conditionalFormatting sqref="I78:I79">
    <cfRule type="cellIs" dxfId="3437" priority="717" operator="equal">
      <formula>"führt zum Abbruch"</formula>
    </cfRule>
    <cfRule type="cellIs" dxfId="3436" priority="718" operator="equal">
      <formula>"sehr hoch"</formula>
    </cfRule>
    <cfRule type="cellIs" dxfId="3435" priority="719" operator="equal">
      <formula>"hoch"</formula>
    </cfRule>
    <cfRule type="cellIs" dxfId="3434" priority="720" operator="equal">
      <formula>"mittel"</formula>
    </cfRule>
    <cfRule type="cellIs" dxfId="3433" priority="721" operator="equal">
      <formula>"gering"</formula>
    </cfRule>
    <cfRule type="cellIs" dxfId="3432" priority="722" operator="equal">
      <formula>"sehr gering"</formula>
    </cfRule>
  </conditionalFormatting>
  <conditionalFormatting sqref="I75:I77">
    <cfRule type="cellIs" dxfId="3431" priority="710" operator="equal">
      <formula>"führt zum Abbruch"</formula>
    </cfRule>
    <cfRule type="cellIs" dxfId="3430" priority="711" operator="equal">
      <formula>"sehr hoch"</formula>
    </cfRule>
    <cfRule type="cellIs" dxfId="3429" priority="712" operator="equal">
      <formula>"hoch"</formula>
    </cfRule>
    <cfRule type="cellIs" dxfId="3428" priority="713" operator="equal">
      <formula>"mittel"</formula>
    </cfRule>
    <cfRule type="cellIs" dxfId="3427" priority="714" operator="equal">
      <formula>"gering"</formula>
    </cfRule>
    <cfRule type="cellIs" dxfId="3426" priority="715" operator="equal">
      <formula>"sehr gering"</formula>
    </cfRule>
  </conditionalFormatting>
  <conditionalFormatting sqref="I84:I85">
    <cfRule type="cellIs" dxfId="3425" priority="703" operator="equal">
      <formula>"führt zum Abbruch"</formula>
    </cfRule>
    <cfRule type="cellIs" dxfId="3424" priority="704" operator="equal">
      <formula>"sehr hoch"</formula>
    </cfRule>
    <cfRule type="cellIs" dxfId="3423" priority="705" operator="equal">
      <formula>"hoch"</formula>
    </cfRule>
    <cfRule type="cellIs" dxfId="3422" priority="706" operator="equal">
      <formula>"mittel"</formula>
    </cfRule>
    <cfRule type="cellIs" dxfId="3421" priority="707" operator="equal">
      <formula>"gering"</formula>
    </cfRule>
    <cfRule type="cellIs" dxfId="3420" priority="708" operator="equal">
      <formula>"sehr gering"</formula>
    </cfRule>
  </conditionalFormatting>
  <conditionalFormatting sqref="I81:I83">
    <cfRule type="cellIs" dxfId="3419" priority="696" operator="equal">
      <formula>"führt zum Abbruch"</formula>
    </cfRule>
    <cfRule type="cellIs" dxfId="3418" priority="697" operator="equal">
      <formula>"sehr hoch"</formula>
    </cfRule>
    <cfRule type="cellIs" dxfId="3417" priority="698" operator="equal">
      <formula>"hoch"</formula>
    </cfRule>
    <cfRule type="cellIs" dxfId="3416" priority="699" operator="equal">
      <formula>"mittel"</formula>
    </cfRule>
    <cfRule type="cellIs" dxfId="3415" priority="700" operator="equal">
      <formula>"gering"</formula>
    </cfRule>
    <cfRule type="cellIs" dxfId="3414" priority="701" operator="equal">
      <formula>"sehr gering"</formula>
    </cfRule>
  </conditionalFormatting>
  <conditionalFormatting sqref="I90:I91">
    <cfRule type="cellIs" dxfId="3413" priority="689" operator="equal">
      <formula>"führt zum Abbruch"</formula>
    </cfRule>
    <cfRule type="cellIs" dxfId="3412" priority="690" operator="equal">
      <formula>"sehr hoch"</formula>
    </cfRule>
    <cfRule type="cellIs" dxfId="3411" priority="691" operator="equal">
      <formula>"hoch"</formula>
    </cfRule>
    <cfRule type="cellIs" dxfId="3410" priority="692" operator="equal">
      <formula>"mittel"</formula>
    </cfRule>
    <cfRule type="cellIs" dxfId="3409" priority="693" operator="equal">
      <formula>"gering"</formula>
    </cfRule>
    <cfRule type="cellIs" dxfId="3408" priority="694" operator="equal">
      <formula>"sehr gering"</formula>
    </cfRule>
  </conditionalFormatting>
  <conditionalFormatting sqref="I87:I89">
    <cfRule type="cellIs" dxfId="3407" priority="682" operator="equal">
      <formula>"führt zum Abbruch"</formula>
    </cfRule>
    <cfRule type="cellIs" dxfId="3406" priority="683" operator="equal">
      <formula>"sehr hoch"</formula>
    </cfRule>
    <cfRule type="cellIs" dxfId="3405" priority="684" operator="equal">
      <formula>"hoch"</formula>
    </cfRule>
    <cfRule type="cellIs" dxfId="3404" priority="685" operator="equal">
      <formula>"mittel"</formula>
    </cfRule>
    <cfRule type="cellIs" dxfId="3403" priority="686" operator="equal">
      <formula>"gering"</formula>
    </cfRule>
    <cfRule type="cellIs" dxfId="3402" priority="687" operator="equal">
      <formula>"sehr gering"</formula>
    </cfRule>
  </conditionalFormatting>
  <conditionalFormatting sqref="I96:I97">
    <cfRule type="cellIs" dxfId="3401" priority="675" operator="equal">
      <formula>"führt zum Abbruch"</formula>
    </cfRule>
    <cfRule type="cellIs" dxfId="3400" priority="676" operator="equal">
      <formula>"sehr hoch"</formula>
    </cfRule>
    <cfRule type="cellIs" dxfId="3399" priority="677" operator="equal">
      <formula>"hoch"</formula>
    </cfRule>
    <cfRule type="cellIs" dxfId="3398" priority="678" operator="equal">
      <formula>"mittel"</formula>
    </cfRule>
    <cfRule type="cellIs" dxfId="3397" priority="679" operator="equal">
      <formula>"gering"</formula>
    </cfRule>
    <cfRule type="cellIs" dxfId="3396" priority="680" operator="equal">
      <formula>"sehr gering"</formula>
    </cfRule>
  </conditionalFormatting>
  <conditionalFormatting sqref="I93:I95">
    <cfRule type="cellIs" dxfId="3395" priority="668" operator="equal">
      <formula>"führt zum Abbruch"</formula>
    </cfRule>
    <cfRule type="cellIs" dxfId="3394" priority="669" operator="equal">
      <formula>"sehr hoch"</formula>
    </cfRule>
    <cfRule type="cellIs" dxfId="3393" priority="670" operator="equal">
      <formula>"hoch"</formula>
    </cfRule>
    <cfRule type="cellIs" dxfId="3392" priority="671" operator="equal">
      <formula>"mittel"</formula>
    </cfRule>
    <cfRule type="cellIs" dxfId="3391" priority="672" operator="equal">
      <formula>"gering"</formula>
    </cfRule>
    <cfRule type="cellIs" dxfId="3390" priority="673" operator="equal">
      <formula>"sehr gering"</formula>
    </cfRule>
  </conditionalFormatting>
  <conditionalFormatting sqref="I102:I103">
    <cfRule type="cellIs" dxfId="3389" priority="661" operator="equal">
      <formula>"führt zum Abbruch"</formula>
    </cfRule>
    <cfRule type="cellIs" dxfId="3388" priority="662" operator="equal">
      <formula>"sehr hoch"</formula>
    </cfRule>
    <cfRule type="cellIs" dxfId="3387" priority="663" operator="equal">
      <formula>"hoch"</formula>
    </cfRule>
    <cfRule type="cellIs" dxfId="3386" priority="664" operator="equal">
      <formula>"mittel"</formula>
    </cfRule>
    <cfRule type="cellIs" dxfId="3385" priority="665" operator="equal">
      <formula>"gering"</formula>
    </cfRule>
    <cfRule type="cellIs" dxfId="3384" priority="666" operator="equal">
      <formula>"sehr gering"</formula>
    </cfRule>
  </conditionalFormatting>
  <conditionalFormatting sqref="I99:I101">
    <cfRule type="cellIs" dxfId="3383" priority="654" operator="equal">
      <formula>"führt zum Abbruch"</formula>
    </cfRule>
    <cfRule type="cellIs" dxfId="3382" priority="655" operator="equal">
      <formula>"sehr hoch"</formula>
    </cfRule>
    <cfRule type="cellIs" dxfId="3381" priority="656" operator="equal">
      <formula>"hoch"</formula>
    </cfRule>
    <cfRule type="cellIs" dxfId="3380" priority="657" operator="equal">
      <formula>"mittel"</formula>
    </cfRule>
    <cfRule type="cellIs" dxfId="3379" priority="658" operator="equal">
      <formula>"gering"</formula>
    </cfRule>
    <cfRule type="cellIs" dxfId="3378" priority="659" operator="equal">
      <formula>"sehr gering"</formula>
    </cfRule>
  </conditionalFormatting>
  <conditionalFormatting sqref="I108:I109">
    <cfRule type="cellIs" dxfId="3377" priority="647" operator="equal">
      <formula>"führt zum Abbruch"</formula>
    </cfRule>
    <cfRule type="cellIs" dxfId="3376" priority="648" operator="equal">
      <formula>"sehr hoch"</formula>
    </cfRule>
    <cfRule type="cellIs" dxfId="3375" priority="649" operator="equal">
      <formula>"hoch"</formula>
    </cfRule>
    <cfRule type="cellIs" dxfId="3374" priority="650" operator="equal">
      <formula>"mittel"</formula>
    </cfRule>
    <cfRule type="cellIs" dxfId="3373" priority="651" operator="equal">
      <formula>"gering"</formula>
    </cfRule>
    <cfRule type="cellIs" dxfId="3372" priority="652" operator="equal">
      <formula>"sehr gering"</formula>
    </cfRule>
  </conditionalFormatting>
  <conditionalFormatting sqref="I105:I107">
    <cfRule type="cellIs" dxfId="3371" priority="640" operator="equal">
      <formula>"führt zum Abbruch"</formula>
    </cfRule>
    <cfRule type="cellIs" dxfId="3370" priority="641" operator="equal">
      <formula>"sehr hoch"</formula>
    </cfRule>
    <cfRule type="cellIs" dxfId="3369" priority="642" operator="equal">
      <formula>"hoch"</formula>
    </cfRule>
    <cfRule type="cellIs" dxfId="3368" priority="643" operator="equal">
      <formula>"mittel"</formula>
    </cfRule>
    <cfRule type="cellIs" dxfId="3367" priority="644" operator="equal">
      <formula>"gering"</formula>
    </cfRule>
    <cfRule type="cellIs" dxfId="3366" priority="645" operator="equal">
      <formula>"sehr gering"</formula>
    </cfRule>
  </conditionalFormatting>
  <conditionalFormatting sqref="I114:I115">
    <cfRule type="cellIs" dxfId="3365" priority="633" operator="equal">
      <formula>"führt zum Abbruch"</formula>
    </cfRule>
    <cfRule type="cellIs" dxfId="3364" priority="634" operator="equal">
      <formula>"sehr hoch"</formula>
    </cfRule>
    <cfRule type="cellIs" dxfId="3363" priority="635" operator="equal">
      <formula>"hoch"</formula>
    </cfRule>
    <cfRule type="cellIs" dxfId="3362" priority="636" operator="equal">
      <formula>"mittel"</formula>
    </cfRule>
    <cfRule type="cellIs" dxfId="3361" priority="637" operator="equal">
      <formula>"gering"</formula>
    </cfRule>
    <cfRule type="cellIs" dxfId="3360" priority="638" operator="equal">
      <formula>"sehr gering"</formula>
    </cfRule>
  </conditionalFormatting>
  <conditionalFormatting sqref="I111:I113">
    <cfRule type="cellIs" dxfId="3359" priority="626" operator="equal">
      <formula>"führt zum Abbruch"</formula>
    </cfRule>
    <cfRule type="cellIs" dxfId="3358" priority="627" operator="equal">
      <formula>"sehr hoch"</formula>
    </cfRule>
    <cfRule type="cellIs" dxfId="3357" priority="628" operator="equal">
      <formula>"hoch"</formula>
    </cfRule>
    <cfRule type="cellIs" dxfId="3356" priority="629" operator="equal">
      <formula>"mittel"</formula>
    </cfRule>
    <cfRule type="cellIs" dxfId="3355" priority="630" operator="equal">
      <formula>"gering"</formula>
    </cfRule>
    <cfRule type="cellIs" dxfId="3354" priority="631" operator="equal">
      <formula>"sehr gering"</formula>
    </cfRule>
  </conditionalFormatting>
  <conditionalFormatting sqref="I120:I121">
    <cfRule type="cellIs" dxfId="3353" priority="619" operator="equal">
      <formula>"führt zum Abbruch"</formula>
    </cfRule>
    <cfRule type="cellIs" dxfId="3352" priority="620" operator="equal">
      <formula>"sehr hoch"</formula>
    </cfRule>
    <cfRule type="cellIs" dxfId="3351" priority="621" operator="equal">
      <formula>"hoch"</formula>
    </cfRule>
    <cfRule type="cellIs" dxfId="3350" priority="622" operator="equal">
      <formula>"mittel"</formula>
    </cfRule>
    <cfRule type="cellIs" dxfId="3349" priority="623" operator="equal">
      <formula>"gering"</formula>
    </cfRule>
    <cfRule type="cellIs" dxfId="3348" priority="624" operator="equal">
      <formula>"sehr gering"</formula>
    </cfRule>
  </conditionalFormatting>
  <conditionalFormatting sqref="I117:I119">
    <cfRule type="cellIs" dxfId="3347" priority="612" operator="equal">
      <formula>"führt zum Abbruch"</formula>
    </cfRule>
    <cfRule type="cellIs" dxfId="3346" priority="613" operator="equal">
      <formula>"sehr hoch"</formula>
    </cfRule>
    <cfRule type="cellIs" dxfId="3345" priority="614" operator="equal">
      <formula>"hoch"</formula>
    </cfRule>
    <cfRule type="cellIs" dxfId="3344" priority="615" operator="equal">
      <formula>"mittel"</formula>
    </cfRule>
    <cfRule type="cellIs" dxfId="3343" priority="616" operator="equal">
      <formula>"gering"</formula>
    </cfRule>
    <cfRule type="cellIs" dxfId="3342" priority="617" operator="equal">
      <formula>"sehr gering"</formula>
    </cfRule>
  </conditionalFormatting>
  <conditionalFormatting sqref="G42:G43">
    <cfRule type="cellIs" dxfId="3341" priority="605" operator="equal">
      <formula>"führt zum Abbruch"</formula>
    </cfRule>
    <cfRule type="cellIs" dxfId="3340" priority="606" operator="equal">
      <formula>"sehr hoch"</formula>
    </cfRule>
    <cfRule type="cellIs" dxfId="3339" priority="607" operator="equal">
      <formula>"hoch"</formula>
    </cfRule>
    <cfRule type="cellIs" dxfId="3338" priority="608" operator="equal">
      <formula>"mittel"</formula>
    </cfRule>
    <cfRule type="cellIs" dxfId="3337" priority="609" operator="equal">
      <formula>"gering"</formula>
    </cfRule>
    <cfRule type="cellIs" dxfId="3336" priority="610" operator="equal">
      <formula>"sehr gering"</formula>
    </cfRule>
  </conditionalFormatting>
  <conditionalFormatting sqref="G39:G41">
    <cfRule type="cellIs" dxfId="3335" priority="598" operator="equal">
      <formula>"führt zum Abbruch"</formula>
    </cfRule>
    <cfRule type="cellIs" dxfId="3334" priority="599" operator="equal">
      <formula>"sehr hoch"</formula>
    </cfRule>
    <cfRule type="cellIs" dxfId="3333" priority="600" operator="equal">
      <formula>"hoch"</formula>
    </cfRule>
    <cfRule type="cellIs" dxfId="3332" priority="601" operator="equal">
      <formula>"mittel"</formula>
    </cfRule>
    <cfRule type="cellIs" dxfId="3331" priority="602" operator="equal">
      <formula>"gering"</formula>
    </cfRule>
    <cfRule type="cellIs" dxfId="3330" priority="603" operator="equal">
      <formula>"sehr gering"</formula>
    </cfRule>
  </conditionalFormatting>
  <conditionalFormatting sqref="G66:G67">
    <cfRule type="cellIs" dxfId="3329" priority="549" operator="equal">
      <formula>"führt zum Abbruch"</formula>
    </cfRule>
    <cfRule type="cellIs" dxfId="3328" priority="550" operator="equal">
      <formula>"sehr hoch"</formula>
    </cfRule>
    <cfRule type="cellIs" dxfId="3327" priority="551" operator="equal">
      <formula>"hoch"</formula>
    </cfRule>
    <cfRule type="cellIs" dxfId="3326" priority="552" operator="equal">
      <formula>"mittel"</formula>
    </cfRule>
    <cfRule type="cellIs" dxfId="3325" priority="553" operator="equal">
      <formula>"gering"</formula>
    </cfRule>
    <cfRule type="cellIs" dxfId="3324" priority="554" operator="equal">
      <formula>"sehr gering"</formula>
    </cfRule>
  </conditionalFormatting>
  <conditionalFormatting sqref="G63:G65">
    <cfRule type="cellIs" dxfId="3323" priority="542" operator="equal">
      <formula>"führt zum Abbruch"</formula>
    </cfRule>
    <cfRule type="cellIs" dxfId="3322" priority="543" operator="equal">
      <formula>"sehr hoch"</formula>
    </cfRule>
    <cfRule type="cellIs" dxfId="3321" priority="544" operator="equal">
      <formula>"hoch"</formula>
    </cfRule>
    <cfRule type="cellIs" dxfId="3320" priority="545" operator="equal">
      <formula>"mittel"</formula>
    </cfRule>
    <cfRule type="cellIs" dxfId="3319" priority="546" operator="equal">
      <formula>"gering"</formula>
    </cfRule>
    <cfRule type="cellIs" dxfId="3318" priority="547" operator="equal">
      <formula>"sehr gering"</formula>
    </cfRule>
  </conditionalFormatting>
  <conditionalFormatting sqref="G72:G73">
    <cfRule type="cellIs" dxfId="3317" priority="535" operator="equal">
      <formula>"führt zum Abbruch"</formula>
    </cfRule>
    <cfRule type="cellIs" dxfId="3316" priority="536" operator="equal">
      <formula>"sehr hoch"</formula>
    </cfRule>
    <cfRule type="cellIs" dxfId="3315" priority="537" operator="equal">
      <formula>"hoch"</formula>
    </cfRule>
    <cfRule type="cellIs" dxfId="3314" priority="538" operator="equal">
      <formula>"mittel"</formula>
    </cfRule>
    <cfRule type="cellIs" dxfId="3313" priority="539" operator="equal">
      <formula>"gering"</formula>
    </cfRule>
    <cfRule type="cellIs" dxfId="3312" priority="540" operator="equal">
      <formula>"sehr gering"</formula>
    </cfRule>
  </conditionalFormatting>
  <conditionalFormatting sqref="G69:G71">
    <cfRule type="cellIs" dxfId="3311" priority="528" operator="equal">
      <formula>"führt zum Abbruch"</formula>
    </cfRule>
    <cfRule type="cellIs" dxfId="3310" priority="529" operator="equal">
      <formula>"sehr hoch"</formula>
    </cfRule>
    <cfRule type="cellIs" dxfId="3309" priority="530" operator="equal">
      <formula>"hoch"</formula>
    </cfRule>
    <cfRule type="cellIs" dxfId="3308" priority="531" operator="equal">
      <formula>"mittel"</formula>
    </cfRule>
    <cfRule type="cellIs" dxfId="3307" priority="532" operator="equal">
      <formula>"gering"</formula>
    </cfRule>
    <cfRule type="cellIs" dxfId="3306" priority="533" operator="equal">
      <formula>"sehr gering"</formula>
    </cfRule>
  </conditionalFormatting>
  <conditionalFormatting sqref="G78:G79">
    <cfRule type="cellIs" dxfId="3305" priority="521" operator="equal">
      <formula>"führt zum Abbruch"</formula>
    </cfRule>
    <cfRule type="cellIs" dxfId="3304" priority="522" operator="equal">
      <formula>"sehr hoch"</formula>
    </cfRule>
    <cfRule type="cellIs" dxfId="3303" priority="523" operator="equal">
      <formula>"hoch"</formula>
    </cfRule>
    <cfRule type="cellIs" dxfId="3302" priority="524" operator="equal">
      <formula>"mittel"</formula>
    </cfRule>
    <cfRule type="cellIs" dxfId="3301" priority="525" operator="equal">
      <formula>"gering"</formula>
    </cfRule>
    <cfRule type="cellIs" dxfId="3300" priority="526" operator="equal">
      <formula>"sehr gering"</formula>
    </cfRule>
  </conditionalFormatting>
  <conditionalFormatting sqref="G75:G77">
    <cfRule type="cellIs" dxfId="3299" priority="514" operator="equal">
      <formula>"führt zum Abbruch"</formula>
    </cfRule>
    <cfRule type="cellIs" dxfId="3298" priority="515" operator="equal">
      <formula>"sehr hoch"</formula>
    </cfRule>
    <cfRule type="cellIs" dxfId="3297" priority="516" operator="equal">
      <formula>"hoch"</formula>
    </cfRule>
    <cfRule type="cellIs" dxfId="3296" priority="517" operator="equal">
      <formula>"mittel"</formula>
    </cfRule>
    <cfRule type="cellIs" dxfId="3295" priority="518" operator="equal">
      <formula>"gering"</formula>
    </cfRule>
    <cfRule type="cellIs" dxfId="3294" priority="519" operator="equal">
      <formula>"sehr gering"</formula>
    </cfRule>
  </conditionalFormatting>
  <conditionalFormatting sqref="G84:G85">
    <cfRule type="cellIs" dxfId="3293" priority="507" operator="equal">
      <formula>"führt zum Abbruch"</formula>
    </cfRule>
    <cfRule type="cellIs" dxfId="3292" priority="508" operator="equal">
      <formula>"sehr hoch"</formula>
    </cfRule>
    <cfRule type="cellIs" dxfId="3291" priority="509" operator="equal">
      <formula>"hoch"</formula>
    </cfRule>
    <cfRule type="cellIs" dxfId="3290" priority="510" operator="equal">
      <formula>"mittel"</formula>
    </cfRule>
    <cfRule type="cellIs" dxfId="3289" priority="511" operator="equal">
      <formula>"gering"</formula>
    </cfRule>
    <cfRule type="cellIs" dxfId="3288" priority="512" operator="equal">
      <formula>"sehr gering"</formula>
    </cfRule>
  </conditionalFormatting>
  <conditionalFormatting sqref="G81:G83">
    <cfRule type="cellIs" dxfId="3287" priority="500" operator="equal">
      <formula>"führt zum Abbruch"</formula>
    </cfRule>
    <cfRule type="cellIs" dxfId="3286" priority="501" operator="equal">
      <formula>"sehr hoch"</formula>
    </cfRule>
    <cfRule type="cellIs" dxfId="3285" priority="502" operator="equal">
      <formula>"hoch"</formula>
    </cfRule>
    <cfRule type="cellIs" dxfId="3284" priority="503" operator="equal">
      <formula>"mittel"</formula>
    </cfRule>
    <cfRule type="cellIs" dxfId="3283" priority="504" operator="equal">
      <formula>"gering"</formula>
    </cfRule>
    <cfRule type="cellIs" dxfId="3282" priority="505" operator="equal">
      <formula>"sehr gering"</formula>
    </cfRule>
  </conditionalFormatting>
  <conditionalFormatting sqref="G90:G91">
    <cfRule type="cellIs" dxfId="3281" priority="493" operator="equal">
      <formula>"führt zum Abbruch"</formula>
    </cfRule>
    <cfRule type="cellIs" dxfId="3280" priority="494" operator="equal">
      <formula>"sehr hoch"</formula>
    </cfRule>
    <cfRule type="cellIs" dxfId="3279" priority="495" operator="equal">
      <formula>"hoch"</formula>
    </cfRule>
    <cfRule type="cellIs" dxfId="3278" priority="496" operator="equal">
      <formula>"mittel"</formula>
    </cfRule>
    <cfRule type="cellIs" dxfId="3277" priority="497" operator="equal">
      <formula>"gering"</formula>
    </cfRule>
    <cfRule type="cellIs" dxfId="3276" priority="498" operator="equal">
      <formula>"sehr gering"</formula>
    </cfRule>
  </conditionalFormatting>
  <conditionalFormatting sqref="G87:G89">
    <cfRule type="cellIs" dxfId="3275" priority="486" operator="equal">
      <formula>"führt zum Abbruch"</formula>
    </cfRule>
    <cfRule type="cellIs" dxfId="3274" priority="487" operator="equal">
      <formula>"sehr hoch"</formula>
    </cfRule>
    <cfRule type="cellIs" dxfId="3273" priority="488" operator="equal">
      <formula>"hoch"</formula>
    </cfRule>
    <cfRule type="cellIs" dxfId="3272" priority="489" operator="equal">
      <formula>"mittel"</formula>
    </cfRule>
    <cfRule type="cellIs" dxfId="3271" priority="490" operator="equal">
      <formula>"gering"</formula>
    </cfRule>
    <cfRule type="cellIs" dxfId="3270" priority="491" operator="equal">
      <formula>"sehr gering"</formula>
    </cfRule>
  </conditionalFormatting>
  <conditionalFormatting sqref="G96:G97">
    <cfRule type="cellIs" dxfId="3269" priority="479" operator="equal">
      <formula>"führt zum Abbruch"</formula>
    </cfRule>
    <cfRule type="cellIs" dxfId="3268" priority="480" operator="equal">
      <formula>"sehr hoch"</formula>
    </cfRule>
    <cfRule type="cellIs" dxfId="3267" priority="481" operator="equal">
      <formula>"hoch"</formula>
    </cfRule>
    <cfRule type="cellIs" dxfId="3266" priority="482" operator="equal">
      <formula>"mittel"</formula>
    </cfRule>
    <cfRule type="cellIs" dxfId="3265" priority="483" operator="equal">
      <formula>"gering"</formula>
    </cfRule>
    <cfRule type="cellIs" dxfId="3264" priority="484" operator="equal">
      <formula>"sehr gering"</formula>
    </cfRule>
  </conditionalFormatting>
  <conditionalFormatting sqref="G93:G95">
    <cfRule type="cellIs" dxfId="3263" priority="472" operator="equal">
      <formula>"führt zum Abbruch"</formula>
    </cfRule>
    <cfRule type="cellIs" dxfId="3262" priority="473" operator="equal">
      <formula>"sehr hoch"</formula>
    </cfRule>
    <cfRule type="cellIs" dxfId="3261" priority="474" operator="equal">
      <formula>"hoch"</formula>
    </cfRule>
    <cfRule type="cellIs" dxfId="3260" priority="475" operator="equal">
      <formula>"mittel"</formula>
    </cfRule>
    <cfRule type="cellIs" dxfId="3259" priority="476" operator="equal">
      <formula>"gering"</formula>
    </cfRule>
    <cfRule type="cellIs" dxfId="3258" priority="477" operator="equal">
      <formula>"sehr gering"</formula>
    </cfRule>
  </conditionalFormatting>
  <conditionalFormatting sqref="G102:G103">
    <cfRule type="cellIs" dxfId="3257" priority="465" operator="equal">
      <formula>"führt zum Abbruch"</formula>
    </cfRule>
    <cfRule type="cellIs" dxfId="3256" priority="466" operator="equal">
      <formula>"sehr hoch"</formula>
    </cfRule>
    <cfRule type="cellIs" dxfId="3255" priority="467" operator="equal">
      <formula>"hoch"</formula>
    </cfRule>
    <cfRule type="cellIs" dxfId="3254" priority="468" operator="equal">
      <formula>"mittel"</formula>
    </cfRule>
    <cfRule type="cellIs" dxfId="3253" priority="469" operator="equal">
      <formula>"gering"</formula>
    </cfRule>
    <cfRule type="cellIs" dxfId="3252" priority="470" operator="equal">
      <formula>"sehr gering"</formula>
    </cfRule>
  </conditionalFormatting>
  <conditionalFormatting sqref="G99:G101">
    <cfRule type="cellIs" dxfId="3251" priority="458" operator="equal">
      <formula>"führt zum Abbruch"</formula>
    </cfRule>
    <cfRule type="cellIs" dxfId="3250" priority="459" operator="equal">
      <formula>"sehr hoch"</formula>
    </cfRule>
    <cfRule type="cellIs" dxfId="3249" priority="460" operator="equal">
      <formula>"hoch"</formula>
    </cfRule>
    <cfRule type="cellIs" dxfId="3248" priority="461" operator="equal">
      <formula>"mittel"</formula>
    </cfRule>
    <cfRule type="cellIs" dxfId="3247" priority="462" operator="equal">
      <formula>"gering"</formula>
    </cfRule>
    <cfRule type="cellIs" dxfId="3246" priority="463" operator="equal">
      <formula>"sehr gering"</formula>
    </cfRule>
  </conditionalFormatting>
  <conditionalFormatting sqref="G108:G109">
    <cfRule type="cellIs" dxfId="3245" priority="451" operator="equal">
      <formula>"führt zum Abbruch"</formula>
    </cfRule>
    <cfRule type="cellIs" dxfId="3244" priority="452" operator="equal">
      <formula>"sehr hoch"</formula>
    </cfRule>
    <cfRule type="cellIs" dxfId="3243" priority="453" operator="equal">
      <formula>"hoch"</formula>
    </cfRule>
    <cfRule type="cellIs" dxfId="3242" priority="454" operator="equal">
      <formula>"mittel"</formula>
    </cfRule>
    <cfRule type="cellIs" dxfId="3241" priority="455" operator="equal">
      <formula>"gering"</formula>
    </cfRule>
    <cfRule type="cellIs" dxfId="3240" priority="456" operator="equal">
      <formula>"sehr gering"</formula>
    </cfRule>
  </conditionalFormatting>
  <conditionalFormatting sqref="G105:G107">
    <cfRule type="cellIs" dxfId="3239" priority="444" operator="equal">
      <formula>"führt zum Abbruch"</formula>
    </cfRule>
    <cfRule type="cellIs" dxfId="3238" priority="445" operator="equal">
      <formula>"sehr hoch"</formula>
    </cfRule>
    <cfRule type="cellIs" dxfId="3237" priority="446" operator="equal">
      <formula>"hoch"</formula>
    </cfRule>
    <cfRule type="cellIs" dxfId="3236" priority="447" operator="equal">
      <formula>"mittel"</formula>
    </cfRule>
    <cfRule type="cellIs" dxfId="3235" priority="448" operator="equal">
      <formula>"gering"</formula>
    </cfRule>
    <cfRule type="cellIs" dxfId="3234" priority="449" operator="equal">
      <formula>"sehr gering"</formula>
    </cfRule>
  </conditionalFormatting>
  <conditionalFormatting sqref="G114:G115">
    <cfRule type="cellIs" dxfId="3233" priority="437" operator="equal">
      <formula>"führt zum Abbruch"</formula>
    </cfRule>
    <cfRule type="cellIs" dxfId="3232" priority="438" operator="equal">
      <formula>"sehr hoch"</formula>
    </cfRule>
    <cfRule type="cellIs" dxfId="3231" priority="439" operator="equal">
      <formula>"hoch"</formula>
    </cfRule>
    <cfRule type="cellIs" dxfId="3230" priority="440" operator="equal">
      <formula>"mittel"</formula>
    </cfRule>
    <cfRule type="cellIs" dxfId="3229" priority="441" operator="equal">
      <formula>"gering"</formula>
    </cfRule>
    <cfRule type="cellIs" dxfId="3228" priority="442" operator="equal">
      <formula>"sehr gering"</formula>
    </cfRule>
  </conditionalFormatting>
  <conditionalFormatting sqref="G111:G113">
    <cfRule type="cellIs" dxfId="3227" priority="430" operator="equal">
      <formula>"führt zum Abbruch"</formula>
    </cfRule>
    <cfRule type="cellIs" dxfId="3226" priority="431" operator="equal">
      <formula>"sehr hoch"</formula>
    </cfRule>
    <cfRule type="cellIs" dxfId="3225" priority="432" operator="equal">
      <formula>"hoch"</formula>
    </cfRule>
    <cfRule type="cellIs" dxfId="3224" priority="433" operator="equal">
      <formula>"mittel"</formula>
    </cfRule>
    <cfRule type="cellIs" dxfId="3223" priority="434" operator="equal">
      <formula>"gering"</formula>
    </cfRule>
    <cfRule type="cellIs" dxfId="3222" priority="435" operator="equal">
      <formula>"sehr gering"</formula>
    </cfRule>
  </conditionalFormatting>
  <conditionalFormatting sqref="G120:G121">
    <cfRule type="cellIs" dxfId="3221" priority="423" operator="equal">
      <formula>"führt zum Abbruch"</formula>
    </cfRule>
    <cfRule type="cellIs" dxfId="3220" priority="424" operator="equal">
      <formula>"sehr hoch"</formula>
    </cfRule>
    <cfRule type="cellIs" dxfId="3219" priority="425" operator="equal">
      <formula>"hoch"</formula>
    </cfRule>
    <cfRule type="cellIs" dxfId="3218" priority="426" operator="equal">
      <formula>"mittel"</formula>
    </cfRule>
    <cfRule type="cellIs" dxfId="3217" priority="427" operator="equal">
      <formula>"gering"</formula>
    </cfRule>
    <cfRule type="cellIs" dxfId="3216" priority="428" operator="equal">
      <formula>"sehr gering"</formula>
    </cfRule>
  </conditionalFormatting>
  <conditionalFormatting sqref="G117:G119">
    <cfRule type="cellIs" dxfId="3215" priority="416" operator="equal">
      <formula>"führt zum Abbruch"</formula>
    </cfRule>
    <cfRule type="cellIs" dxfId="3214" priority="417" operator="equal">
      <formula>"sehr hoch"</formula>
    </cfRule>
    <cfRule type="cellIs" dxfId="3213" priority="418" operator="equal">
      <formula>"hoch"</formula>
    </cfRule>
    <cfRule type="cellIs" dxfId="3212" priority="419" operator="equal">
      <formula>"mittel"</formula>
    </cfRule>
    <cfRule type="cellIs" dxfId="3211" priority="420" operator="equal">
      <formula>"gering"</formula>
    </cfRule>
    <cfRule type="cellIs" dxfId="3210" priority="421" operator="equal">
      <formula>"sehr gering"</formula>
    </cfRule>
  </conditionalFormatting>
  <conditionalFormatting sqref="H48:H49">
    <cfRule type="cellIs" dxfId="3209" priority="155" operator="equal">
      <formula>"sehr hoch"</formula>
    </cfRule>
    <cfRule type="cellIs" dxfId="3208" priority="156" operator="equal">
      <formula>"hoch"</formula>
    </cfRule>
    <cfRule type="cellIs" dxfId="3207" priority="157" operator="equal">
      <formula>"mittel"</formula>
    </cfRule>
    <cfRule type="cellIs" dxfId="3206" priority="158" operator="equal">
      <formula>"gering"</formula>
    </cfRule>
    <cfRule type="cellIs" dxfId="3205" priority="159" operator="equal">
      <formula>"sehr gering"</formula>
    </cfRule>
    <cfRule type="cellIs" dxfId="3204" priority="160" operator="equal">
      <formula>"trifft nicht ein"</formula>
    </cfRule>
  </conditionalFormatting>
  <conditionalFormatting sqref="I48:I49">
    <cfRule type="cellIs" dxfId="3203" priority="149" operator="equal">
      <formula>"führt zum Abbruch"</formula>
    </cfRule>
    <cfRule type="cellIs" dxfId="3202" priority="150" operator="equal">
      <formula>"sehr hoch"</formula>
    </cfRule>
    <cfRule type="cellIs" dxfId="3201" priority="151" operator="equal">
      <formula>"hoch"</formula>
    </cfRule>
    <cfRule type="cellIs" dxfId="3200" priority="152" operator="equal">
      <formula>"mittel"</formula>
    </cfRule>
    <cfRule type="cellIs" dxfId="3199" priority="153" operator="equal">
      <formula>"gering"</formula>
    </cfRule>
    <cfRule type="cellIs" dxfId="3198" priority="154" operator="equal">
      <formula>"sehr gering"</formula>
    </cfRule>
  </conditionalFormatting>
  <conditionalFormatting sqref="G48:G49">
    <cfRule type="cellIs" dxfId="3197" priority="142" operator="equal">
      <formula>"führt zum Abbruch"</formula>
    </cfRule>
    <cfRule type="cellIs" dxfId="3196" priority="143" operator="equal">
      <formula>"sehr hoch"</formula>
    </cfRule>
    <cfRule type="cellIs" dxfId="3195" priority="144" operator="equal">
      <formula>"hoch"</formula>
    </cfRule>
    <cfRule type="cellIs" dxfId="3194" priority="145" operator="equal">
      <formula>"mittel"</formula>
    </cfRule>
    <cfRule type="cellIs" dxfId="3193" priority="146" operator="equal">
      <formula>"gering"</formula>
    </cfRule>
    <cfRule type="cellIs" dxfId="3192" priority="147" operator="equal">
      <formula>"sehr gering"</formula>
    </cfRule>
  </conditionalFormatting>
  <conditionalFormatting sqref="H45:H47">
    <cfRule type="cellIs" dxfId="3191" priority="135" operator="equal">
      <formula>"sehr hoch"</formula>
    </cfRule>
    <cfRule type="cellIs" dxfId="3190" priority="136" operator="equal">
      <formula>"hoch"</formula>
    </cfRule>
    <cfRule type="cellIs" dxfId="3189" priority="137" operator="equal">
      <formula>"mittel"</formula>
    </cfRule>
    <cfRule type="cellIs" dxfId="3188" priority="138" operator="equal">
      <formula>"gering"</formula>
    </cfRule>
    <cfRule type="cellIs" dxfId="3187" priority="139" operator="equal">
      <formula>"sehr gering"</formula>
    </cfRule>
    <cfRule type="cellIs" dxfId="3186" priority="140" operator="equal">
      <formula>"trifft nicht ein"</formula>
    </cfRule>
  </conditionalFormatting>
  <conditionalFormatting sqref="I45:I47">
    <cfRule type="cellIs" dxfId="3185" priority="129" operator="equal">
      <formula>"führt zum Abbruch"</formula>
    </cfRule>
    <cfRule type="cellIs" dxfId="3184" priority="130" operator="equal">
      <formula>"sehr hoch"</formula>
    </cfRule>
    <cfRule type="cellIs" dxfId="3183" priority="131" operator="equal">
      <formula>"hoch"</formula>
    </cfRule>
    <cfRule type="cellIs" dxfId="3182" priority="132" operator="equal">
      <formula>"mittel"</formula>
    </cfRule>
    <cfRule type="cellIs" dxfId="3181" priority="133" operator="equal">
      <formula>"gering"</formula>
    </cfRule>
    <cfRule type="cellIs" dxfId="3180" priority="134" operator="equal">
      <formula>"sehr gering"</formula>
    </cfRule>
  </conditionalFormatting>
  <conditionalFormatting sqref="G45:G47">
    <cfRule type="cellIs" dxfId="3179" priority="122" operator="equal">
      <formula>"führt zum Abbruch"</formula>
    </cfRule>
    <cfRule type="cellIs" dxfId="3178" priority="123" operator="equal">
      <formula>"sehr hoch"</formula>
    </cfRule>
    <cfRule type="cellIs" dxfId="3177" priority="124" operator="equal">
      <formula>"hoch"</formula>
    </cfRule>
    <cfRule type="cellIs" dxfId="3176" priority="125" operator="equal">
      <formula>"mittel"</formula>
    </cfRule>
    <cfRule type="cellIs" dxfId="3175" priority="126" operator="equal">
      <formula>"gering"</formula>
    </cfRule>
    <cfRule type="cellIs" dxfId="3174" priority="127" operator="equal">
      <formula>"sehr gering"</formula>
    </cfRule>
  </conditionalFormatting>
  <conditionalFormatting sqref="H54:H55">
    <cfRule type="cellIs" dxfId="3173" priority="115" operator="equal">
      <formula>"sehr hoch"</formula>
    </cfRule>
    <cfRule type="cellIs" dxfId="3172" priority="116" operator="equal">
      <formula>"hoch"</formula>
    </cfRule>
    <cfRule type="cellIs" dxfId="3171" priority="117" operator="equal">
      <formula>"mittel"</formula>
    </cfRule>
    <cfRule type="cellIs" dxfId="3170" priority="118" operator="equal">
      <formula>"gering"</formula>
    </cfRule>
    <cfRule type="cellIs" dxfId="3169" priority="119" operator="equal">
      <formula>"sehr gering"</formula>
    </cfRule>
    <cfRule type="cellIs" dxfId="3168" priority="120" operator="equal">
      <formula>"trifft nicht ein"</formula>
    </cfRule>
  </conditionalFormatting>
  <conditionalFormatting sqref="I54:I55">
    <cfRule type="cellIs" dxfId="3167" priority="109" operator="equal">
      <formula>"führt zum Abbruch"</formula>
    </cfRule>
    <cfRule type="cellIs" dxfId="3166" priority="110" operator="equal">
      <formula>"sehr hoch"</formula>
    </cfRule>
    <cfRule type="cellIs" dxfId="3165" priority="111" operator="equal">
      <formula>"hoch"</formula>
    </cfRule>
    <cfRule type="cellIs" dxfId="3164" priority="112" operator="equal">
      <formula>"mittel"</formula>
    </cfRule>
    <cfRule type="cellIs" dxfId="3163" priority="113" operator="equal">
      <formula>"gering"</formula>
    </cfRule>
    <cfRule type="cellIs" dxfId="3162" priority="114" operator="equal">
      <formula>"sehr gering"</formula>
    </cfRule>
  </conditionalFormatting>
  <conditionalFormatting sqref="G54:G55">
    <cfRule type="cellIs" dxfId="3161" priority="102" operator="equal">
      <formula>"führt zum Abbruch"</formula>
    </cfRule>
    <cfRule type="cellIs" dxfId="3160" priority="103" operator="equal">
      <formula>"sehr hoch"</formula>
    </cfRule>
    <cfRule type="cellIs" dxfId="3159" priority="104" operator="equal">
      <formula>"hoch"</formula>
    </cfRule>
    <cfRule type="cellIs" dxfId="3158" priority="105" operator="equal">
      <formula>"mittel"</formula>
    </cfRule>
    <cfRule type="cellIs" dxfId="3157" priority="106" operator="equal">
      <formula>"gering"</formula>
    </cfRule>
    <cfRule type="cellIs" dxfId="3156" priority="107" operator="equal">
      <formula>"sehr gering"</formula>
    </cfRule>
  </conditionalFormatting>
  <conditionalFormatting sqref="H51:H53">
    <cfRule type="cellIs" dxfId="3155" priority="95" operator="equal">
      <formula>"sehr hoch"</formula>
    </cfRule>
    <cfRule type="cellIs" dxfId="3154" priority="96" operator="equal">
      <formula>"hoch"</formula>
    </cfRule>
    <cfRule type="cellIs" dxfId="3153" priority="97" operator="equal">
      <formula>"mittel"</formula>
    </cfRule>
    <cfRule type="cellIs" dxfId="3152" priority="98" operator="equal">
      <formula>"gering"</formula>
    </cfRule>
    <cfRule type="cellIs" dxfId="3151" priority="99" operator="equal">
      <formula>"sehr gering"</formula>
    </cfRule>
    <cfRule type="cellIs" dxfId="3150" priority="100" operator="equal">
      <formula>"trifft nicht ein"</formula>
    </cfRule>
  </conditionalFormatting>
  <conditionalFormatting sqref="I51:I53">
    <cfRule type="cellIs" dxfId="3149" priority="89" operator="equal">
      <formula>"führt zum Abbruch"</formula>
    </cfRule>
    <cfRule type="cellIs" dxfId="3148" priority="90" operator="equal">
      <formula>"sehr hoch"</formula>
    </cfRule>
    <cfRule type="cellIs" dxfId="3147" priority="91" operator="equal">
      <formula>"hoch"</formula>
    </cfRule>
    <cfRule type="cellIs" dxfId="3146" priority="92" operator="equal">
      <formula>"mittel"</formula>
    </cfRule>
    <cfRule type="cellIs" dxfId="3145" priority="93" operator="equal">
      <formula>"gering"</formula>
    </cfRule>
    <cfRule type="cellIs" dxfId="3144" priority="94" operator="equal">
      <formula>"sehr gering"</formula>
    </cfRule>
  </conditionalFormatting>
  <conditionalFormatting sqref="G51:G53">
    <cfRule type="cellIs" dxfId="3143" priority="82" operator="equal">
      <formula>"führt zum Abbruch"</formula>
    </cfRule>
    <cfRule type="cellIs" dxfId="3142" priority="83" operator="equal">
      <formula>"sehr hoch"</formula>
    </cfRule>
    <cfRule type="cellIs" dxfId="3141" priority="84" operator="equal">
      <formula>"hoch"</formula>
    </cfRule>
    <cfRule type="cellIs" dxfId="3140" priority="85" operator="equal">
      <formula>"mittel"</formula>
    </cfRule>
    <cfRule type="cellIs" dxfId="3139" priority="86" operator="equal">
      <formula>"gering"</formula>
    </cfRule>
    <cfRule type="cellIs" dxfId="3138" priority="87" operator="equal">
      <formula>"sehr gering"</formula>
    </cfRule>
  </conditionalFormatting>
  <conditionalFormatting sqref="H60:H61">
    <cfRule type="cellIs" dxfId="3137" priority="75" operator="equal">
      <formula>"sehr hoch"</formula>
    </cfRule>
    <cfRule type="cellIs" dxfId="3136" priority="76" operator="equal">
      <formula>"hoch"</formula>
    </cfRule>
    <cfRule type="cellIs" dxfId="3135" priority="77" operator="equal">
      <formula>"mittel"</formula>
    </cfRule>
    <cfRule type="cellIs" dxfId="3134" priority="78" operator="equal">
      <formula>"gering"</formula>
    </cfRule>
    <cfRule type="cellIs" dxfId="3133" priority="79" operator="equal">
      <formula>"sehr gering"</formula>
    </cfRule>
    <cfRule type="cellIs" dxfId="3132" priority="80" operator="equal">
      <formula>"trifft nicht ein"</formula>
    </cfRule>
  </conditionalFormatting>
  <conditionalFormatting sqref="I60:I61">
    <cfRule type="cellIs" dxfId="3131" priority="69" operator="equal">
      <formula>"führt zum Abbruch"</formula>
    </cfRule>
    <cfRule type="cellIs" dxfId="3130" priority="70" operator="equal">
      <formula>"sehr hoch"</formula>
    </cfRule>
    <cfRule type="cellIs" dxfId="3129" priority="71" operator="equal">
      <formula>"hoch"</formula>
    </cfRule>
    <cfRule type="cellIs" dxfId="3128" priority="72" operator="equal">
      <formula>"mittel"</formula>
    </cfRule>
    <cfRule type="cellIs" dxfId="3127" priority="73" operator="equal">
      <formula>"gering"</formula>
    </cfRule>
    <cfRule type="cellIs" dxfId="3126" priority="74" operator="equal">
      <formula>"sehr gering"</formula>
    </cfRule>
  </conditionalFormatting>
  <conditionalFormatting sqref="G60:G61">
    <cfRule type="cellIs" dxfId="3125" priority="62" operator="equal">
      <formula>"führt zum Abbruch"</formula>
    </cfRule>
    <cfRule type="cellIs" dxfId="3124" priority="63" operator="equal">
      <formula>"sehr hoch"</formula>
    </cfRule>
    <cfRule type="cellIs" dxfId="3123" priority="64" operator="equal">
      <formula>"hoch"</formula>
    </cfRule>
    <cfRule type="cellIs" dxfId="3122" priority="65" operator="equal">
      <formula>"mittel"</formula>
    </cfRule>
    <cfRule type="cellIs" dxfId="3121" priority="66" operator="equal">
      <formula>"gering"</formula>
    </cfRule>
    <cfRule type="cellIs" dxfId="3120" priority="67" operator="equal">
      <formula>"sehr gering"</formula>
    </cfRule>
  </conditionalFormatting>
  <conditionalFormatting sqref="H57:H59">
    <cfRule type="cellIs" dxfId="3119" priority="55" operator="equal">
      <formula>"sehr hoch"</formula>
    </cfRule>
    <cfRule type="cellIs" dxfId="3118" priority="56" operator="equal">
      <formula>"hoch"</formula>
    </cfRule>
    <cfRule type="cellIs" dxfId="3117" priority="57" operator="equal">
      <formula>"mittel"</formula>
    </cfRule>
    <cfRule type="cellIs" dxfId="3116" priority="58" operator="equal">
      <formula>"gering"</formula>
    </cfRule>
    <cfRule type="cellIs" dxfId="3115" priority="59" operator="equal">
      <formula>"sehr gering"</formula>
    </cfRule>
    <cfRule type="cellIs" dxfId="3114" priority="60" operator="equal">
      <formula>"trifft nicht ein"</formula>
    </cfRule>
  </conditionalFormatting>
  <conditionalFormatting sqref="I57:I59">
    <cfRule type="cellIs" dxfId="3113" priority="49" operator="equal">
      <formula>"führt zum Abbruch"</formula>
    </cfRule>
    <cfRule type="cellIs" dxfId="3112" priority="50" operator="equal">
      <formula>"sehr hoch"</formula>
    </cfRule>
    <cfRule type="cellIs" dxfId="3111" priority="51" operator="equal">
      <formula>"hoch"</formula>
    </cfRule>
    <cfRule type="cellIs" dxfId="3110" priority="52" operator="equal">
      <formula>"mittel"</formula>
    </cfRule>
    <cfRule type="cellIs" dxfId="3109" priority="53" operator="equal">
      <formula>"gering"</formula>
    </cfRule>
    <cfRule type="cellIs" dxfId="3108" priority="54" operator="equal">
      <formula>"sehr gering"</formula>
    </cfRule>
  </conditionalFormatting>
  <conditionalFormatting sqref="G57:G59">
    <cfRule type="cellIs" dxfId="3107" priority="42" operator="equal">
      <formula>"führt zum Abbruch"</formula>
    </cfRule>
    <cfRule type="cellIs" dxfId="3106" priority="43" operator="equal">
      <formula>"sehr hoch"</formula>
    </cfRule>
    <cfRule type="cellIs" dxfId="3105" priority="44" operator="equal">
      <formula>"hoch"</formula>
    </cfRule>
    <cfRule type="cellIs" dxfId="3104" priority="45" operator="equal">
      <formula>"mittel"</formula>
    </cfRule>
    <cfRule type="cellIs" dxfId="3103" priority="46" operator="equal">
      <formula>"gering"</formula>
    </cfRule>
    <cfRule type="cellIs" dxfId="3102" priority="47" operator="equal">
      <formula>"sehr gering"</formula>
    </cfRule>
  </conditionalFormatting>
  <conditionalFormatting sqref="H36:H37">
    <cfRule type="cellIs" dxfId="3101" priority="35" operator="equal">
      <formula>"sehr hoch"</formula>
    </cfRule>
    <cfRule type="cellIs" dxfId="3100" priority="36" operator="equal">
      <formula>"hoch"</formula>
    </cfRule>
    <cfRule type="cellIs" dxfId="3099" priority="37" operator="equal">
      <formula>"mittel"</formula>
    </cfRule>
    <cfRule type="cellIs" dxfId="3098" priority="38" operator="equal">
      <formula>"gering"</formula>
    </cfRule>
    <cfRule type="cellIs" dxfId="3097" priority="39" operator="equal">
      <formula>"sehr gering"</formula>
    </cfRule>
    <cfRule type="cellIs" dxfId="3096" priority="40" operator="equal">
      <formula>"trifft nicht ein"</formula>
    </cfRule>
  </conditionalFormatting>
  <conditionalFormatting sqref="I36:I37">
    <cfRule type="cellIs" dxfId="3095" priority="29" operator="equal">
      <formula>"führt zum Abbruch"</formula>
    </cfRule>
    <cfRule type="cellIs" dxfId="3094" priority="30" operator="equal">
      <formula>"sehr hoch"</formula>
    </cfRule>
    <cfRule type="cellIs" dxfId="3093" priority="31" operator="equal">
      <formula>"hoch"</formula>
    </cfRule>
    <cfRule type="cellIs" dxfId="3092" priority="32" operator="equal">
      <formula>"mittel"</formula>
    </cfRule>
    <cfRule type="cellIs" dxfId="3091" priority="33" operator="equal">
      <formula>"gering"</formula>
    </cfRule>
    <cfRule type="cellIs" dxfId="3090" priority="34" operator="equal">
      <formula>"sehr gering"</formula>
    </cfRule>
  </conditionalFormatting>
  <conditionalFormatting sqref="G36:G37">
    <cfRule type="cellIs" dxfId="3089" priority="22" operator="equal">
      <formula>"führt zum Abbruch"</formula>
    </cfRule>
    <cfRule type="cellIs" dxfId="3088" priority="23" operator="equal">
      <formula>"sehr hoch"</formula>
    </cfRule>
    <cfRule type="cellIs" dxfId="3087" priority="24" operator="equal">
      <formula>"hoch"</formula>
    </cfRule>
    <cfRule type="cellIs" dxfId="3086" priority="25" operator="equal">
      <formula>"mittel"</formula>
    </cfRule>
    <cfRule type="cellIs" dxfId="3085" priority="26" operator="equal">
      <formula>"gering"</formula>
    </cfRule>
    <cfRule type="cellIs" dxfId="3084" priority="27" operator="equal">
      <formula>"sehr gering"</formula>
    </cfRule>
  </conditionalFormatting>
  <conditionalFormatting sqref="H33:H35">
    <cfRule type="cellIs" dxfId="3083" priority="15" operator="equal">
      <formula>"sehr hoch"</formula>
    </cfRule>
    <cfRule type="cellIs" dxfId="3082" priority="16" operator="equal">
      <formula>"hoch"</formula>
    </cfRule>
    <cfRule type="cellIs" dxfId="3081" priority="17" operator="equal">
      <formula>"mittel"</formula>
    </cfRule>
    <cfRule type="cellIs" dxfId="3080" priority="18" operator="equal">
      <formula>"gering"</formula>
    </cfRule>
    <cfRule type="cellIs" dxfId="3079" priority="19" operator="equal">
      <formula>"sehr gering"</formula>
    </cfRule>
    <cfRule type="cellIs" dxfId="3078" priority="20" operator="equal">
      <formula>"trifft nicht ein"</formula>
    </cfRule>
  </conditionalFormatting>
  <conditionalFormatting sqref="I33:I35">
    <cfRule type="cellIs" dxfId="3077" priority="9" operator="equal">
      <formula>"führt zum Abbruch"</formula>
    </cfRule>
    <cfRule type="cellIs" dxfId="3076" priority="10" operator="equal">
      <formula>"sehr hoch"</formula>
    </cfRule>
    <cfRule type="cellIs" dxfId="3075" priority="11" operator="equal">
      <formula>"hoch"</formula>
    </cfRule>
    <cfRule type="cellIs" dxfId="3074" priority="12" operator="equal">
      <formula>"mittel"</formula>
    </cfRule>
    <cfRule type="cellIs" dxfId="3073" priority="13" operator="equal">
      <formula>"gering"</formula>
    </cfRule>
    <cfRule type="cellIs" dxfId="3072" priority="14" operator="equal">
      <formula>"sehr gering"</formula>
    </cfRule>
  </conditionalFormatting>
  <conditionalFormatting sqref="G33:G35">
    <cfRule type="cellIs" dxfId="3071" priority="2" operator="equal">
      <formula>"führt zum Abbruch"</formula>
    </cfRule>
    <cfRule type="cellIs" dxfId="3070" priority="3" operator="equal">
      <formula>"sehr hoch"</formula>
    </cfRule>
    <cfRule type="cellIs" dxfId="3069" priority="4" operator="equal">
      <formula>"hoch"</formula>
    </cfRule>
    <cfRule type="cellIs" dxfId="3068" priority="5" operator="equal">
      <formula>"mittel"</formula>
    </cfRule>
    <cfRule type="cellIs" dxfId="3067" priority="6" operator="equal">
      <formula>"gering"</formula>
    </cfRule>
    <cfRule type="cellIs" dxfId="3066" priority="7" operator="equal">
      <formula>"sehr gering"</formula>
    </cfRule>
  </conditionalFormatting>
  <pageMargins left="0.70866141732283472" right="0.70866141732283472" top="0.78740157480314965" bottom="0.78740157480314965" header="0.31496062992125984" footer="0.31496062992125984"/>
  <pageSetup paperSize="8" scale="29" orientation="portrait" r:id="rId1"/>
  <headerFooter>
    <oddHeader>&amp;CSTEP-Analyse</oddHeader>
    <oddFooter xml:space="preserve">&amp;C22
</oddFooter>
  </headerFooter>
  <drawing r:id="rId2"/>
  <legacyDrawing r:id="rId3"/>
  <controls>
    <mc:AlternateContent xmlns:mc="http://schemas.openxmlformats.org/markup-compatibility/2006">
      <mc:Choice Requires="x14">
        <control shapeId="52248" r:id="rId4" name="Zeileneinfügen">
          <controlPr defaultSize="0" autoLine="0" r:id="rId5">
            <anchor moveWithCells="1">
              <from>
                <xdr:col>3</xdr:col>
                <xdr:colOff>19050</xdr:colOff>
                <xdr:row>30</xdr:row>
                <xdr:rowOff>47625</xdr:rowOff>
              </from>
              <to>
                <xdr:col>4</xdr:col>
                <xdr:colOff>0</xdr:colOff>
                <xdr:row>30</xdr:row>
                <xdr:rowOff>847725</xdr:rowOff>
              </to>
            </anchor>
          </controlPr>
        </control>
      </mc:Choice>
      <mc:Fallback>
        <control shapeId="52248" r:id="rId4" name="Zeileneinfügen"/>
      </mc:Fallback>
    </mc:AlternateContent>
    <mc:AlternateContent xmlns:mc="http://schemas.openxmlformats.org/markup-compatibility/2006">
      <mc:Choice Requires="x14">
        <control shapeId="52245" r:id="rId6" name="Löschbutton">
          <controlPr defaultSize="0" autoLine="0" r:id="rId7">
            <anchor moveWithCells="1">
              <from>
                <xdr:col>0</xdr:col>
                <xdr:colOff>266700</xdr:colOff>
                <xdr:row>30</xdr:row>
                <xdr:rowOff>38100</xdr:rowOff>
              </from>
              <to>
                <xdr:col>1</xdr:col>
                <xdr:colOff>2819400</xdr:colOff>
                <xdr:row>30</xdr:row>
                <xdr:rowOff>847725</xdr:rowOff>
              </to>
            </anchor>
          </controlPr>
        </control>
      </mc:Choice>
      <mc:Fallback>
        <control shapeId="52245" r:id="rId6" name="Löschbutton"/>
      </mc:Fallback>
    </mc:AlternateContent>
    <mc:AlternateContent xmlns:mc="http://schemas.openxmlformats.org/markup-compatibility/2006">
      <mc:Choice Requires="x14">
        <control shapeId="52246" r:id="rId8" name="Portfolioview">
          <controlPr defaultSize="0" autoLine="0" r:id="rId9">
            <anchor moveWithCells="1">
              <from>
                <xdr:col>2</xdr:col>
                <xdr:colOff>28575</xdr:colOff>
                <xdr:row>30</xdr:row>
                <xdr:rowOff>47625</xdr:rowOff>
              </from>
              <to>
                <xdr:col>2</xdr:col>
                <xdr:colOff>3324225</xdr:colOff>
                <xdr:row>30</xdr:row>
                <xdr:rowOff>847725</xdr:rowOff>
              </to>
            </anchor>
          </controlPr>
        </control>
      </mc:Choice>
      <mc:Fallback>
        <control shapeId="52246" r:id="rId8" name="Portfolioview"/>
      </mc:Fallback>
    </mc:AlternateContent>
    <mc:AlternateContent xmlns:mc="http://schemas.openxmlformats.org/markup-compatibility/2006">
      <mc:Choice Requires="x14">
        <control shapeId="52252" r:id="rId10" name="CommandButton1">
          <controlPr defaultSize="0" autoLine="0" r:id="rId11">
            <anchor moveWithCells="1">
              <from>
                <xdr:col>6</xdr:col>
                <xdr:colOff>38100</xdr:colOff>
                <xdr:row>125</xdr:row>
                <xdr:rowOff>38100</xdr:rowOff>
              </from>
              <to>
                <xdr:col>8</xdr:col>
                <xdr:colOff>533400</xdr:colOff>
                <xdr:row>128</xdr:row>
                <xdr:rowOff>104775</xdr:rowOff>
              </to>
            </anchor>
          </controlPr>
        </control>
      </mc:Choice>
      <mc:Fallback>
        <control shapeId="52252" r:id="rId10" name="CommandButton1"/>
      </mc:Fallback>
    </mc:AlternateContent>
    <mc:AlternateContent xmlns:mc="http://schemas.openxmlformats.org/markup-compatibility/2006">
      <mc:Choice Requires="x14">
        <control shapeId="52253" r:id="rId12" name="ComboBox1">
          <controlPr defaultSize="0" autoLine="0" r:id="rId13">
            <anchor moveWithCells="1">
              <from>
                <xdr:col>3</xdr:col>
                <xdr:colOff>47625</xdr:colOff>
                <xdr:row>30</xdr:row>
                <xdr:rowOff>76200</xdr:rowOff>
              </from>
              <to>
                <xdr:col>4</xdr:col>
                <xdr:colOff>152400</xdr:colOff>
                <xdr:row>30</xdr:row>
                <xdr:rowOff>847725</xdr:rowOff>
              </to>
            </anchor>
          </controlPr>
        </control>
      </mc:Choice>
      <mc:Fallback>
        <control shapeId="52253" r:id="rId12" name="ComboBox1"/>
      </mc:Fallback>
    </mc:AlternateContent>
  </controls>
  <extLst>
    <ext xmlns:x14="http://schemas.microsoft.com/office/spreadsheetml/2009/9/main" uri="{78C0D931-6437-407d-A8EE-F0AAD7539E65}">
      <x14:conditionalFormattings>
        <x14:conditionalFormatting xmlns:xm="http://schemas.microsoft.com/office/excel/2006/main">
          <x14:cfRule type="cellIs" priority="1108" operator="between" id="{44E03401-B35B-46F3-9553-D999E64857E4}">
            <xm:f>'Modell-Kalibrierung'!$C$7+1%</xm:f>
            <xm:f>"0Kalibrierung!$E$8"</xm:f>
            <x14:dxf>
              <font>
                <color theme="0"/>
              </font>
              <fill>
                <patternFill>
                  <bgColor theme="5" tint="-0.499984740745262"/>
                </patternFill>
              </fill>
            </x14:dxf>
          </x14:cfRule>
          <x14:cfRule type="cellIs" priority="1109" operator="between" id="{75071C12-AE73-4497-8B60-45C7D6A3A66B}">
            <xm:f>'Modell-Kalibrierung'!$C$6+1%</xm:f>
            <xm:f>"0Kalibrierung!$E$7"</xm:f>
            <x14:dxf>
              <fill>
                <patternFill>
                  <bgColor theme="5" tint="-0.24994659260841701"/>
                </patternFill>
              </fill>
            </x14:dxf>
          </x14:cfRule>
          <x14:cfRule type="cellIs" priority="1110" operator="between" id="{4F73BAED-F4E9-40FC-893A-55A4EE84AE5B}">
            <xm:f>'Modell-Kalibrierung'!$C$5+1%</xm:f>
            <xm:f>"0Kalibrierung!$E$6"</xm:f>
            <x14:dxf>
              <fill>
                <patternFill>
                  <bgColor theme="5" tint="0.39994506668294322"/>
                </patternFill>
              </fill>
            </x14:dxf>
          </x14:cfRule>
          <x14:cfRule type="cellIs" priority="1111" operator="between" id="{FEB2D2B9-5DEF-4BE0-A71C-D3CB1116191C}">
            <xm:f>'Modell-Kalibrierung'!$C$4+1%</xm:f>
            <xm:f>"0Kalibrierung!$E$5"</xm:f>
            <x14:dxf>
              <fill>
                <patternFill>
                  <bgColor theme="5" tint="0.59996337778862885"/>
                </patternFill>
              </fill>
            </x14:dxf>
          </x14:cfRule>
          <x14:cfRule type="cellIs" priority="1112" operator="between" id="{7C3F49DD-D032-4C21-95B6-BF014FA7D8D9}">
            <xm:f>'Modell-Kalibrierung'!$C$3+1%</xm:f>
            <xm:f>'Modell-Kalibrierung'!$C$4</xm:f>
            <x14:dxf>
              <fill>
                <patternFill>
                  <bgColor theme="5" tint="0.79998168889431442"/>
                </patternFill>
              </fill>
            </x14:dxf>
          </x14:cfRule>
          <x14:cfRule type="cellIs" priority="1113" operator="equal" id="{C6AF119D-4EB0-4D59-A9B7-03DCB2AE19DF}">
            <xm:f>'Modell-Kalibrierung'!$C$3</xm:f>
            <x14:dxf>
              <fill>
                <patternFill>
                  <bgColor theme="0"/>
                </patternFill>
              </fill>
            </x14:dxf>
          </x14:cfRule>
          <xm:sqref>J33:J34 J36:J37</xm:sqref>
        </x14:conditionalFormatting>
        <x14:conditionalFormatting xmlns:xm="http://schemas.microsoft.com/office/excel/2006/main">
          <x14:cfRule type="cellIs" priority="1095" operator="between" id="{599F44C0-D25A-40AD-9AE4-9EC9B3AD9870}">
            <xm:f>'Modell-Kalibrierung'!$C$7+1%</xm:f>
            <xm:f>"0Kalibrierung!$E$8"</xm:f>
            <x14:dxf>
              <font>
                <color theme="0"/>
              </font>
              <fill>
                <patternFill>
                  <bgColor theme="5" tint="-0.499984740745262"/>
                </patternFill>
              </fill>
            </x14:dxf>
          </x14:cfRule>
          <x14:cfRule type="cellIs" priority="1096" operator="between" id="{596045B5-DDD7-41BD-884A-0C05B0D3F94C}">
            <xm:f>'Modell-Kalibrierung'!$C$6+1%</xm:f>
            <xm:f>"0Kalibrierung!$E$7"</xm:f>
            <x14:dxf>
              <fill>
                <patternFill>
                  <bgColor theme="5" tint="-0.24994659260841701"/>
                </patternFill>
              </fill>
            </x14:dxf>
          </x14:cfRule>
          <x14:cfRule type="cellIs" priority="1097" operator="between" id="{EF537BF9-2A2D-496A-9731-E127803AD013}">
            <xm:f>'Modell-Kalibrierung'!$C$5+1%</xm:f>
            <xm:f>"0Kalibrierung!$E$6"</xm:f>
            <x14:dxf>
              <fill>
                <patternFill>
                  <bgColor theme="5" tint="0.39994506668294322"/>
                </patternFill>
              </fill>
            </x14:dxf>
          </x14:cfRule>
          <x14:cfRule type="cellIs" priority="1098" operator="between" id="{C262DCB0-0055-40DE-8048-CE70F376A380}">
            <xm:f>'Modell-Kalibrierung'!$C$4+1%</xm:f>
            <xm:f>"0Kalibrierung!$E$5"</xm:f>
            <x14:dxf>
              <fill>
                <patternFill>
                  <bgColor theme="5" tint="0.59996337778862885"/>
                </patternFill>
              </fill>
            </x14:dxf>
          </x14:cfRule>
          <x14:cfRule type="cellIs" priority="1099" operator="between" id="{37FFEA12-B115-494B-A0DE-8EC54CB0FABB}">
            <xm:f>'Modell-Kalibrierung'!$C$3+1%</xm:f>
            <xm:f>'Modell-Kalibrierung'!$C$4</xm:f>
            <x14:dxf>
              <fill>
                <patternFill>
                  <bgColor theme="5" tint="0.79998168889431442"/>
                </patternFill>
              </fill>
            </x14:dxf>
          </x14:cfRule>
          <x14:cfRule type="cellIs" priority="1100" operator="equal" id="{21186123-70C6-405D-8B3F-2645A2BE3D14}">
            <xm:f>'Modell-Kalibrierung'!$C$3</xm:f>
            <x14:dxf>
              <fill>
                <patternFill>
                  <bgColor theme="0"/>
                </patternFill>
              </fill>
            </x14:dxf>
          </x14:cfRule>
          <xm:sqref>J39:J43</xm:sqref>
        </x14:conditionalFormatting>
        <x14:conditionalFormatting xmlns:xm="http://schemas.microsoft.com/office/excel/2006/main">
          <x14:cfRule type="cellIs" priority="1089" operator="between" id="{B1238331-C9C7-486C-AB42-DE10A2217300}">
            <xm:f>'Modell-Kalibrierung'!$C$7+1%</xm:f>
            <xm:f>"0Kalibrierung!$E$8"</xm:f>
            <x14:dxf>
              <font>
                <color theme="0"/>
              </font>
              <fill>
                <patternFill>
                  <bgColor theme="5" tint="-0.499984740745262"/>
                </patternFill>
              </fill>
            </x14:dxf>
          </x14:cfRule>
          <x14:cfRule type="cellIs" priority="1090" operator="between" id="{7DED7CC9-437A-4F77-9D1B-45662872215D}">
            <xm:f>'Modell-Kalibrierung'!$C$6+1%</xm:f>
            <xm:f>"0Kalibrierung!$E$7"</xm:f>
            <x14:dxf>
              <fill>
                <patternFill>
                  <bgColor theme="5" tint="-0.24994659260841701"/>
                </patternFill>
              </fill>
            </x14:dxf>
          </x14:cfRule>
          <x14:cfRule type="cellIs" priority="1091" operator="between" id="{337EA0FE-6D59-4101-843B-F1506316B92F}">
            <xm:f>'Modell-Kalibrierung'!$C$5+1%</xm:f>
            <xm:f>"0Kalibrierung!$E$6"</xm:f>
            <x14:dxf>
              <fill>
                <patternFill>
                  <bgColor theme="5" tint="0.39994506668294322"/>
                </patternFill>
              </fill>
            </x14:dxf>
          </x14:cfRule>
          <x14:cfRule type="cellIs" priority="1092" operator="between" id="{A59EFBAA-4CBA-4691-978E-73B6E056407A}">
            <xm:f>'Modell-Kalibrierung'!$C$4+1%</xm:f>
            <xm:f>"0Kalibrierung!$E$5"</xm:f>
            <x14:dxf>
              <fill>
                <patternFill>
                  <bgColor theme="5" tint="0.59996337778862885"/>
                </patternFill>
              </fill>
            </x14:dxf>
          </x14:cfRule>
          <x14:cfRule type="cellIs" priority="1093" operator="between" id="{AD7C185A-7661-498C-907D-AA826176CDA6}">
            <xm:f>'Modell-Kalibrierung'!$C$3+1%</xm:f>
            <xm:f>'Modell-Kalibrierung'!$C$4</xm:f>
            <x14:dxf>
              <fill>
                <patternFill>
                  <bgColor theme="5" tint="0.79998168889431442"/>
                </patternFill>
              </fill>
            </x14:dxf>
          </x14:cfRule>
          <x14:cfRule type="cellIs" priority="1094" operator="equal" id="{4E61DE62-0185-4758-BEA5-2016CE0181E9}">
            <xm:f>'Modell-Kalibrierung'!$C$3</xm:f>
            <x14:dxf>
              <fill>
                <patternFill>
                  <bgColor theme="0"/>
                </patternFill>
              </fill>
            </x14:dxf>
          </x14:cfRule>
          <xm:sqref>J45:J49</xm:sqref>
        </x14:conditionalFormatting>
        <x14:conditionalFormatting xmlns:xm="http://schemas.microsoft.com/office/excel/2006/main">
          <x14:cfRule type="cellIs" priority="1083" operator="between" id="{FD0E1BF8-79D4-4B2B-AFE4-A0D4E7E41590}">
            <xm:f>'Modell-Kalibrierung'!$C$7+1%</xm:f>
            <xm:f>"0Kalibrierung!$E$8"</xm:f>
            <x14:dxf>
              <font>
                <color theme="0"/>
              </font>
              <fill>
                <patternFill>
                  <bgColor theme="5" tint="-0.499984740745262"/>
                </patternFill>
              </fill>
            </x14:dxf>
          </x14:cfRule>
          <x14:cfRule type="cellIs" priority="1084" operator="between" id="{DFB46484-A7FE-4676-AABE-7E38A9FF4069}">
            <xm:f>'Modell-Kalibrierung'!$C$6+1%</xm:f>
            <xm:f>"0Kalibrierung!$E$7"</xm:f>
            <x14:dxf>
              <fill>
                <patternFill>
                  <bgColor theme="5" tint="-0.24994659260841701"/>
                </patternFill>
              </fill>
            </x14:dxf>
          </x14:cfRule>
          <x14:cfRule type="cellIs" priority="1085" operator="between" id="{6EEBF610-113B-443F-8DEE-074BBFD07522}">
            <xm:f>'Modell-Kalibrierung'!$C$5+1%</xm:f>
            <xm:f>"0Kalibrierung!$E$6"</xm:f>
            <x14:dxf>
              <fill>
                <patternFill>
                  <bgColor theme="5" tint="0.39994506668294322"/>
                </patternFill>
              </fill>
            </x14:dxf>
          </x14:cfRule>
          <x14:cfRule type="cellIs" priority="1086" operator="between" id="{9A7EE7AD-FDEA-48AE-BE77-5D35E74F7735}">
            <xm:f>'Modell-Kalibrierung'!$C$4+1%</xm:f>
            <xm:f>"0Kalibrierung!$E$5"</xm:f>
            <x14:dxf>
              <fill>
                <patternFill>
                  <bgColor theme="5" tint="0.59996337778862885"/>
                </patternFill>
              </fill>
            </x14:dxf>
          </x14:cfRule>
          <x14:cfRule type="cellIs" priority="1087" operator="between" id="{BEB47AD9-86D0-44B1-987A-4ECE5DB0D1F8}">
            <xm:f>'Modell-Kalibrierung'!$C$3+1%</xm:f>
            <xm:f>'Modell-Kalibrierung'!$C$4</xm:f>
            <x14:dxf>
              <fill>
                <patternFill>
                  <bgColor theme="5" tint="0.79998168889431442"/>
                </patternFill>
              </fill>
            </x14:dxf>
          </x14:cfRule>
          <x14:cfRule type="cellIs" priority="1088" operator="equal" id="{E481F9FE-C1D0-4CF3-990B-B22C791FA629}">
            <xm:f>'Modell-Kalibrierung'!$C$3</xm:f>
            <x14:dxf>
              <fill>
                <patternFill>
                  <bgColor theme="0"/>
                </patternFill>
              </fill>
            </x14:dxf>
          </x14:cfRule>
          <xm:sqref>J51:J55</xm:sqref>
        </x14:conditionalFormatting>
        <x14:conditionalFormatting xmlns:xm="http://schemas.microsoft.com/office/excel/2006/main">
          <x14:cfRule type="cellIs" priority="1077" operator="between" id="{5FDECE18-D402-4266-94D4-0706934F4CEE}">
            <xm:f>'Modell-Kalibrierung'!$C$7+1%</xm:f>
            <xm:f>"0Kalibrierung!$E$8"</xm:f>
            <x14:dxf>
              <font>
                <color theme="0"/>
              </font>
              <fill>
                <patternFill>
                  <bgColor theme="5" tint="-0.499984740745262"/>
                </patternFill>
              </fill>
            </x14:dxf>
          </x14:cfRule>
          <x14:cfRule type="cellIs" priority="1078" operator="between" id="{8747B315-9B4C-4A17-BE4B-03D11C277F7E}">
            <xm:f>'Modell-Kalibrierung'!$C$6+1%</xm:f>
            <xm:f>"0Kalibrierung!$E$7"</xm:f>
            <x14:dxf>
              <fill>
                <patternFill>
                  <bgColor theme="5" tint="-0.24994659260841701"/>
                </patternFill>
              </fill>
            </x14:dxf>
          </x14:cfRule>
          <x14:cfRule type="cellIs" priority="1079" operator="between" id="{C729B027-B46D-442B-B520-8D1A6C3FFE00}">
            <xm:f>'Modell-Kalibrierung'!$C$5+1%</xm:f>
            <xm:f>"0Kalibrierung!$E$6"</xm:f>
            <x14:dxf>
              <fill>
                <patternFill>
                  <bgColor theme="5" tint="0.39994506668294322"/>
                </patternFill>
              </fill>
            </x14:dxf>
          </x14:cfRule>
          <x14:cfRule type="cellIs" priority="1080" operator="between" id="{B7249A02-A9B8-4D96-B3F1-2230D851B6E6}">
            <xm:f>'Modell-Kalibrierung'!$C$4+1%</xm:f>
            <xm:f>"0Kalibrierung!$E$5"</xm:f>
            <x14:dxf>
              <fill>
                <patternFill>
                  <bgColor theme="5" tint="0.59996337778862885"/>
                </patternFill>
              </fill>
            </x14:dxf>
          </x14:cfRule>
          <x14:cfRule type="cellIs" priority="1081" operator="between" id="{CD84A9E3-9995-4EBE-A3D7-56318B113D83}">
            <xm:f>'Modell-Kalibrierung'!$C$3+1%</xm:f>
            <xm:f>'Modell-Kalibrierung'!$C$4</xm:f>
            <x14:dxf>
              <fill>
                <patternFill>
                  <bgColor theme="5" tint="0.79998168889431442"/>
                </patternFill>
              </fill>
            </x14:dxf>
          </x14:cfRule>
          <x14:cfRule type="cellIs" priority="1082" operator="equal" id="{0907D233-4024-4B8E-9E96-AFAFC75441DC}">
            <xm:f>'Modell-Kalibrierung'!$C$3</xm:f>
            <x14:dxf>
              <fill>
                <patternFill>
                  <bgColor theme="0"/>
                </patternFill>
              </fill>
            </x14:dxf>
          </x14:cfRule>
          <xm:sqref>J57:J61</xm:sqref>
        </x14:conditionalFormatting>
        <x14:conditionalFormatting xmlns:xm="http://schemas.microsoft.com/office/excel/2006/main">
          <x14:cfRule type="cellIs" priority="1071" operator="between" id="{3B665711-A2D6-4266-9B0B-4126288465B3}">
            <xm:f>'Modell-Kalibrierung'!$C$7+1%</xm:f>
            <xm:f>"0Kalibrierung!$E$8"</xm:f>
            <x14:dxf>
              <font>
                <color theme="0"/>
              </font>
              <fill>
                <patternFill>
                  <bgColor theme="5" tint="-0.499984740745262"/>
                </patternFill>
              </fill>
            </x14:dxf>
          </x14:cfRule>
          <x14:cfRule type="cellIs" priority="1072" operator="between" id="{AD964FBA-5371-4237-90C5-C1E97ED652C5}">
            <xm:f>'Modell-Kalibrierung'!$C$6+1%</xm:f>
            <xm:f>"0Kalibrierung!$E$7"</xm:f>
            <x14:dxf>
              <fill>
                <patternFill>
                  <bgColor theme="5" tint="-0.24994659260841701"/>
                </patternFill>
              </fill>
            </x14:dxf>
          </x14:cfRule>
          <x14:cfRule type="cellIs" priority="1073" operator="between" id="{E7296F47-F654-4791-9460-6E8BB7C42AB0}">
            <xm:f>'Modell-Kalibrierung'!$C$5+1%</xm:f>
            <xm:f>"0Kalibrierung!$E$6"</xm:f>
            <x14:dxf>
              <fill>
                <patternFill>
                  <bgColor theme="5" tint="0.39994506668294322"/>
                </patternFill>
              </fill>
            </x14:dxf>
          </x14:cfRule>
          <x14:cfRule type="cellIs" priority="1074" operator="between" id="{07520C38-F0E1-4C2F-AD26-E254E8C1E2D1}">
            <xm:f>'Modell-Kalibrierung'!$C$4+1%</xm:f>
            <xm:f>"0Kalibrierung!$E$5"</xm:f>
            <x14:dxf>
              <fill>
                <patternFill>
                  <bgColor theme="5" tint="0.59996337778862885"/>
                </patternFill>
              </fill>
            </x14:dxf>
          </x14:cfRule>
          <x14:cfRule type="cellIs" priority="1075" operator="between" id="{0B3266DD-45DA-493B-B7AD-1BDA7FE5CB32}">
            <xm:f>'Modell-Kalibrierung'!$C$3+1%</xm:f>
            <xm:f>'Modell-Kalibrierung'!$C$4</xm:f>
            <x14:dxf>
              <fill>
                <patternFill>
                  <bgColor theme="5" tint="0.79998168889431442"/>
                </patternFill>
              </fill>
            </x14:dxf>
          </x14:cfRule>
          <x14:cfRule type="cellIs" priority="1076" operator="equal" id="{F1D3840F-3483-465B-ABF9-67840E64EA7D}">
            <xm:f>'Modell-Kalibrierung'!$C$3</xm:f>
            <x14:dxf>
              <fill>
                <patternFill>
                  <bgColor theme="0"/>
                </patternFill>
              </fill>
            </x14:dxf>
          </x14:cfRule>
          <xm:sqref>J63:J67</xm:sqref>
        </x14:conditionalFormatting>
        <x14:conditionalFormatting xmlns:xm="http://schemas.microsoft.com/office/excel/2006/main">
          <x14:cfRule type="cellIs" priority="1065" operator="between" id="{CF5B54AD-0B5D-42F5-A8E8-46F97034487D}">
            <xm:f>'Modell-Kalibrierung'!$C$7+1%</xm:f>
            <xm:f>"0Kalibrierung!$E$8"</xm:f>
            <x14:dxf>
              <font>
                <color theme="0"/>
              </font>
              <fill>
                <patternFill>
                  <bgColor theme="5" tint="-0.499984740745262"/>
                </patternFill>
              </fill>
            </x14:dxf>
          </x14:cfRule>
          <x14:cfRule type="cellIs" priority="1066" operator="between" id="{333B8742-16C0-40C6-AD31-AB354E7472E6}">
            <xm:f>'Modell-Kalibrierung'!$C$6+1%</xm:f>
            <xm:f>"0Kalibrierung!$E$7"</xm:f>
            <x14:dxf>
              <fill>
                <patternFill>
                  <bgColor theme="5" tint="-0.24994659260841701"/>
                </patternFill>
              </fill>
            </x14:dxf>
          </x14:cfRule>
          <x14:cfRule type="cellIs" priority="1067" operator="between" id="{DAEE35B3-811C-4363-A3C6-D168D6A231FC}">
            <xm:f>'Modell-Kalibrierung'!$C$5+1%</xm:f>
            <xm:f>"0Kalibrierung!$E$6"</xm:f>
            <x14:dxf>
              <fill>
                <patternFill>
                  <bgColor theme="5" tint="0.39994506668294322"/>
                </patternFill>
              </fill>
            </x14:dxf>
          </x14:cfRule>
          <x14:cfRule type="cellIs" priority="1068" operator="between" id="{5D7E3151-5719-4E3B-AF08-E80201D0849D}">
            <xm:f>'Modell-Kalibrierung'!$C$4+1%</xm:f>
            <xm:f>"0Kalibrierung!$E$5"</xm:f>
            <x14:dxf>
              <fill>
                <patternFill>
                  <bgColor theme="5" tint="0.59996337778862885"/>
                </patternFill>
              </fill>
            </x14:dxf>
          </x14:cfRule>
          <x14:cfRule type="cellIs" priority="1069" operator="between" id="{E7583356-0163-4DF2-B4D0-CFAA5030966C}">
            <xm:f>'Modell-Kalibrierung'!$C$3+1%</xm:f>
            <xm:f>'Modell-Kalibrierung'!$C$4</xm:f>
            <x14:dxf>
              <fill>
                <patternFill>
                  <bgColor theme="5" tint="0.79998168889431442"/>
                </patternFill>
              </fill>
            </x14:dxf>
          </x14:cfRule>
          <x14:cfRule type="cellIs" priority="1070" operator="equal" id="{CB71641F-2BB7-4CB3-AF1E-6866C7973DD6}">
            <xm:f>'Modell-Kalibrierung'!$C$3</xm:f>
            <x14:dxf>
              <fill>
                <patternFill>
                  <bgColor theme="0"/>
                </patternFill>
              </fill>
            </x14:dxf>
          </x14:cfRule>
          <xm:sqref>J69:J73</xm:sqref>
        </x14:conditionalFormatting>
        <x14:conditionalFormatting xmlns:xm="http://schemas.microsoft.com/office/excel/2006/main">
          <x14:cfRule type="cellIs" priority="1059" operator="between" id="{46709754-1251-441F-87A2-C1CE79E9CD56}">
            <xm:f>'Modell-Kalibrierung'!$C$7+1%</xm:f>
            <xm:f>"0Kalibrierung!$E$8"</xm:f>
            <x14:dxf>
              <font>
                <color theme="0"/>
              </font>
              <fill>
                <patternFill>
                  <bgColor theme="5" tint="-0.499984740745262"/>
                </patternFill>
              </fill>
            </x14:dxf>
          </x14:cfRule>
          <x14:cfRule type="cellIs" priority="1060" operator="between" id="{FD672D50-B26F-430A-B853-10C4C662BA1C}">
            <xm:f>'Modell-Kalibrierung'!$C$6+1%</xm:f>
            <xm:f>"0Kalibrierung!$E$7"</xm:f>
            <x14:dxf>
              <fill>
                <patternFill>
                  <bgColor theme="5" tint="-0.24994659260841701"/>
                </patternFill>
              </fill>
            </x14:dxf>
          </x14:cfRule>
          <x14:cfRule type="cellIs" priority="1061" operator="between" id="{35242A76-B365-40A1-8E33-F6963D1BC81A}">
            <xm:f>'Modell-Kalibrierung'!$C$5+1%</xm:f>
            <xm:f>"0Kalibrierung!$E$6"</xm:f>
            <x14:dxf>
              <fill>
                <patternFill>
                  <bgColor theme="5" tint="0.39994506668294322"/>
                </patternFill>
              </fill>
            </x14:dxf>
          </x14:cfRule>
          <x14:cfRule type="cellIs" priority="1062" operator="between" id="{4C301A73-E2ED-4E8B-BD6A-4E542643A0E8}">
            <xm:f>'Modell-Kalibrierung'!$C$4+1%</xm:f>
            <xm:f>"0Kalibrierung!$E$5"</xm:f>
            <x14:dxf>
              <fill>
                <patternFill>
                  <bgColor theme="5" tint="0.59996337778862885"/>
                </patternFill>
              </fill>
            </x14:dxf>
          </x14:cfRule>
          <x14:cfRule type="cellIs" priority="1063" operator="between" id="{C9857EC8-1F1E-4C82-8426-8FBE06CC5685}">
            <xm:f>'Modell-Kalibrierung'!$C$3+1%</xm:f>
            <xm:f>'Modell-Kalibrierung'!$C$4</xm:f>
            <x14:dxf>
              <fill>
                <patternFill>
                  <bgColor theme="5" tint="0.79998168889431442"/>
                </patternFill>
              </fill>
            </x14:dxf>
          </x14:cfRule>
          <x14:cfRule type="cellIs" priority="1064" operator="equal" id="{63930D65-C59F-4DDC-B331-04254A5D528A}">
            <xm:f>'Modell-Kalibrierung'!$C$3</xm:f>
            <x14:dxf>
              <fill>
                <patternFill>
                  <bgColor theme="0"/>
                </patternFill>
              </fill>
            </x14:dxf>
          </x14:cfRule>
          <xm:sqref>J75:J79</xm:sqref>
        </x14:conditionalFormatting>
        <x14:conditionalFormatting xmlns:xm="http://schemas.microsoft.com/office/excel/2006/main">
          <x14:cfRule type="cellIs" priority="1053" operator="between" id="{6FA3B459-79E6-42BE-8648-B358D6DF1AF6}">
            <xm:f>'Modell-Kalibrierung'!$C$7+1%</xm:f>
            <xm:f>"0Kalibrierung!$E$8"</xm:f>
            <x14:dxf>
              <font>
                <color theme="0"/>
              </font>
              <fill>
                <patternFill>
                  <bgColor theme="5" tint="-0.499984740745262"/>
                </patternFill>
              </fill>
            </x14:dxf>
          </x14:cfRule>
          <x14:cfRule type="cellIs" priority="1054" operator="between" id="{CFEEC6F7-E426-421F-83F7-D277400EBABC}">
            <xm:f>'Modell-Kalibrierung'!$C$6+1%</xm:f>
            <xm:f>"0Kalibrierung!$E$7"</xm:f>
            <x14:dxf>
              <fill>
                <patternFill>
                  <bgColor theme="5" tint="-0.24994659260841701"/>
                </patternFill>
              </fill>
            </x14:dxf>
          </x14:cfRule>
          <x14:cfRule type="cellIs" priority="1055" operator="between" id="{DA698CAA-0B59-492C-82C1-36EEC72DFD4F}">
            <xm:f>'Modell-Kalibrierung'!$C$5+1%</xm:f>
            <xm:f>"0Kalibrierung!$E$6"</xm:f>
            <x14:dxf>
              <fill>
                <patternFill>
                  <bgColor theme="5" tint="0.39994506668294322"/>
                </patternFill>
              </fill>
            </x14:dxf>
          </x14:cfRule>
          <x14:cfRule type="cellIs" priority="1056" operator="between" id="{47CB4895-3EE0-45D3-A4F0-3610949BDCA0}">
            <xm:f>'Modell-Kalibrierung'!$C$4+1%</xm:f>
            <xm:f>"0Kalibrierung!$E$5"</xm:f>
            <x14:dxf>
              <fill>
                <patternFill>
                  <bgColor theme="5" tint="0.59996337778862885"/>
                </patternFill>
              </fill>
            </x14:dxf>
          </x14:cfRule>
          <x14:cfRule type="cellIs" priority="1057" operator="between" id="{96530B4A-2441-43C4-A079-7788F2F5EEAB}">
            <xm:f>'Modell-Kalibrierung'!$C$3+1%</xm:f>
            <xm:f>'Modell-Kalibrierung'!$C$4</xm:f>
            <x14:dxf>
              <fill>
                <patternFill>
                  <bgColor theme="5" tint="0.79998168889431442"/>
                </patternFill>
              </fill>
            </x14:dxf>
          </x14:cfRule>
          <x14:cfRule type="cellIs" priority="1058" operator="equal" id="{1B7A7683-D955-4E0F-871F-5CBE7D3108B8}">
            <xm:f>'Modell-Kalibrierung'!$C$3</xm:f>
            <x14:dxf>
              <fill>
                <patternFill>
                  <bgColor theme="0"/>
                </patternFill>
              </fill>
            </x14:dxf>
          </x14:cfRule>
          <xm:sqref>J81:J85</xm:sqref>
        </x14:conditionalFormatting>
        <x14:conditionalFormatting xmlns:xm="http://schemas.microsoft.com/office/excel/2006/main">
          <x14:cfRule type="cellIs" priority="1047" operator="between" id="{F994BC7A-6F4E-44FC-B9D3-54CC6937A0F1}">
            <xm:f>'Modell-Kalibrierung'!$C$7+1%</xm:f>
            <xm:f>"0Kalibrierung!$E$8"</xm:f>
            <x14:dxf>
              <font>
                <color theme="0"/>
              </font>
              <fill>
                <patternFill>
                  <bgColor theme="5" tint="-0.499984740745262"/>
                </patternFill>
              </fill>
            </x14:dxf>
          </x14:cfRule>
          <x14:cfRule type="cellIs" priority="1048" operator="between" id="{08E3D0DB-3D59-417E-94D0-AD19FBF7BE85}">
            <xm:f>'Modell-Kalibrierung'!$C$6+1%</xm:f>
            <xm:f>"0Kalibrierung!$E$7"</xm:f>
            <x14:dxf>
              <fill>
                <patternFill>
                  <bgColor theme="5" tint="-0.24994659260841701"/>
                </patternFill>
              </fill>
            </x14:dxf>
          </x14:cfRule>
          <x14:cfRule type="cellIs" priority="1049" operator="between" id="{C5603BE4-0DCE-4453-900D-4AF9AC5CBAAC}">
            <xm:f>'Modell-Kalibrierung'!$C$5+1%</xm:f>
            <xm:f>"0Kalibrierung!$E$6"</xm:f>
            <x14:dxf>
              <fill>
                <patternFill>
                  <bgColor theme="5" tint="0.39994506668294322"/>
                </patternFill>
              </fill>
            </x14:dxf>
          </x14:cfRule>
          <x14:cfRule type="cellIs" priority="1050" operator="between" id="{46F025D4-B599-4D15-9B48-2C27001EE36A}">
            <xm:f>'Modell-Kalibrierung'!$C$4+1%</xm:f>
            <xm:f>"0Kalibrierung!$E$5"</xm:f>
            <x14:dxf>
              <fill>
                <patternFill>
                  <bgColor theme="5" tint="0.59996337778862885"/>
                </patternFill>
              </fill>
            </x14:dxf>
          </x14:cfRule>
          <x14:cfRule type="cellIs" priority="1051" operator="between" id="{B67C64E1-696B-4245-9DD3-BBAC069EA471}">
            <xm:f>'Modell-Kalibrierung'!$C$3+1%</xm:f>
            <xm:f>'Modell-Kalibrierung'!$C$4</xm:f>
            <x14:dxf>
              <fill>
                <patternFill>
                  <bgColor theme="5" tint="0.79998168889431442"/>
                </patternFill>
              </fill>
            </x14:dxf>
          </x14:cfRule>
          <x14:cfRule type="cellIs" priority="1052" operator="equal" id="{32D8BEC5-35C9-402F-A912-38390C1FB8EB}">
            <xm:f>'Modell-Kalibrierung'!$C$3</xm:f>
            <x14:dxf>
              <fill>
                <patternFill>
                  <bgColor theme="0"/>
                </patternFill>
              </fill>
            </x14:dxf>
          </x14:cfRule>
          <xm:sqref>J87:J91</xm:sqref>
        </x14:conditionalFormatting>
        <x14:conditionalFormatting xmlns:xm="http://schemas.microsoft.com/office/excel/2006/main">
          <x14:cfRule type="cellIs" priority="1041" operator="between" id="{6D6A0B26-2FD8-457E-97C1-985B1596B4AE}">
            <xm:f>'Modell-Kalibrierung'!$C$7+1%</xm:f>
            <xm:f>"0Kalibrierung!$E$8"</xm:f>
            <x14:dxf>
              <font>
                <color theme="0"/>
              </font>
              <fill>
                <patternFill>
                  <bgColor theme="5" tint="-0.499984740745262"/>
                </patternFill>
              </fill>
            </x14:dxf>
          </x14:cfRule>
          <x14:cfRule type="cellIs" priority="1042" operator="between" id="{CA4EE780-103D-4711-A6E5-C721FEA148CF}">
            <xm:f>'Modell-Kalibrierung'!$C$6+1%</xm:f>
            <xm:f>"0Kalibrierung!$E$7"</xm:f>
            <x14:dxf>
              <fill>
                <patternFill>
                  <bgColor theme="5" tint="-0.24994659260841701"/>
                </patternFill>
              </fill>
            </x14:dxf>
          </x14:cfRule>
          <x14:cfRule type="cellIs" priority="1043" operator="between" id="{72790695-07C0-4D08-A184-B782CB8B7AFB}">
            <xm:f>'Modell-Kalibrierung'!$C$5+1%</xm:f>
            <xm:f>"0Kalibrierung!$E$6"</xm:f>
            <x14:dxf>
              <fill>
                <patternFill>
                  <bgColor theme="5" tint="0.39994506668294322"/>
                </patternFill>
              </fill>
            </x14:dxf>
          </x14:cfRule>
          <x14:cfRule type="cellIs" priority="1044" operator="between" id="{A86B5F96-D721-46A7-980A-1E896F8ED153}">
            <xm:f>'Modell-Kalibrierung'!$C$4+1%</xm:f>
            <xm:f>"0Kalibrierung!$E$5"</xm:f>
            <x14:dxf>
              <fill>
                <patternFill>
                  <bgColor theme="5" tint="0.59996337778862885"/>
                </patternFill>
              </fill>
            </x14:dxf>
          </x14:cfRule>
          <x14:cfRule type="cellIs" priority="1045" operator="between" id="{9AA28FDB-B973-49B2-B89E-39D8D829FA84}">
            <xm:f>'Modell-Kalibrierung'!$C$3+1%</xm:f>
            <xm:f>'Modell-Kalibrierung'!$C$4</xm:f>
            <x14:dxf>
              <fill>
                <patternFill>
                  <bgColor theme="5" tint="0.79998168889431442"/>
                </patternFill>
              </fill>
            </x14:dxf>
          </x14:cfRule>
          <x14:cfRule type="cellIs" priority="1046" operator="equal" id="{AD11A351-B73D-4E7E-8925-21AEAFD96EA1}">
            <xm:f>'Modell-Kalibrierung'!$C$3</xm:f>
            <x14:dxf>
              <fill>
                <patternFill>
                  <bgColor theme="0"/>
                </patternFill>
              </fill>
            </x14:dxf>
          </x14:cfRule>
          <xm:sqref>J93:J97</xm:sqref>
        </x14:conditionalFormatting>
        <x14:conditionalFormatting xmlns:xm="http://schemas.microsoft.com/office/excel/2006/main">
          <x14:cfRule type="cellIs" priority="1035" operator="between" id="{3A9EC278-4581-4587-BB2C-8867C1D5AC80}">
            <xm:f>'Modell-Kalibrierung'!$C$7+1%</xm:f>
            <xm:f>"0Kalibrierung!$E$8"</xm:f>
            <x14:dxf>
              <font>
                <color theme="0"/>
              </font>
              <fill>
                <patternFill>
                  <bgColor theme="5" tint="-0.499984740745262"/>
                </patternFill>
              </fill>
            </x14:dxf>
          </x14:cfRule>
          <x14:cfRule type="cellIs" priority="1036" operator="between" id="{9040A4A2-3485-43E8-ADF5-4FFDE790664D}">
            <xm:f>'Modell-Kalibrierung'!$C$6+1%</xm:f>
            <xm:f>"0Kalibrierung!$E$7"</xm:f>
            <x14:dxf>
              <fill>
                <patternFill>
                  <bgColor theme="5" tint="-0.24994659260841701"/>
                </patternFill>
              </fill>
            </x14:dxf>
          </x14:cfRule>
          <x14:cfRule type="cellIs" priority="1037" operator="between" id="{F8038069-2DB1-4CE2-9017-FDF0A7599B45}">
            <xm:f>'Modell-Kalibrierung'!$C$5+1%</xm:f>
            <xm:f>"0Kalibrierung!$E$6"</xm:f>
            <x14:dxf>
              <fill>
                <patternFill>
                  <bgColor theme="5" tint="0.39994506668294322"/>
                </patternFill>
              </fill>
            </x14:dxf>
          </x14:cfRule>
          <x14:cfRule type="cellIs" priority="1038" operator="between" id="{49AEFE20-6D37-47EF-B97C-14B5409B1777}">
            <xm:f>'Modell-Kalibrierung'!$C$4+1%</xm:f>
            <xm:f>"0Kalibrierung!$E$5"</xm:f>
            <x14:dxf>
              <fill>
                <patternFill>
                  <bgColor theme="5" tint="0.59996337778862885"/>
                </patternFill>
              </fill>
            </x14:dxf>
          </x14:cfRule>
          <x14:cfRule type="cellIs" priority="1039" operator="between" id="{D0D8F9F5-E988-4C7A-B49D-73E0FD792E40}">
            <xm:f>'Modell-Kalibrierung'!$C$3+1%</xm:f>
            <xm:f>'Modell-Kalibrierung'!$C$4</xm:f>
            <x14:dxf>
              <fill>
                <patternFill>
                  <bgColor theme="5" tint="0.79998168889431442"/>
                </patternFill>
              </fill>
            </x14:dxf>
          </x14:cfRule>
          <x14:cfRule type="cellIs" priority="1040" operator="equal" id="{85B588DB-9BED-4683-9B1A-B13AF116C9C3}">
            <xm:f>'Modell-Kalibrierung'!$C$3</xm:f>
            <x14:dxf>
              <fill>
                <patternFill>
                  <bgColor theme="0"/>
                </patternFill>
              </fill>
            </x14:dxf>
          </x14:cfRule>
          <xm:sqref>J99:J103</xm:sqref>
        </x14:conditionalFormatting>
        <x14:conditionalFormatting xmlns:xm="http://schemas.microsoft.com/office/excel/2006/main">
          <x14:cfRule type="cellIs" priority="1029" operator="between" id="{A87A8390-9E14-401E-A4CE-D1FE941DFE9E}">
            <xm:f>'Modell-Kalibrierung'!$C$7+1%</xm:f>
            <xm:f>"0Kalibrierung!$E$8"</xm:f>
            <x14:dxf>
              <font>
                <color theme="0"/>
              </font>
              <fill>
                <patternFill>
                  <bgColor theme="5" tint="-0.499984740745262"/>
                </patternFill>
              </fill>
            </x14:dxf>
          </x14:cfRule>
          <x14:cfRule type="cellIs" priority="1030" operator="between" id="{B783AD4D-D011-4DF7-9B23-9584A903F476}">
            <xm:f>'Modell-Kalibrierung'!$C$6+1%</xm:f>
            <xm:f>"0Kalibrierung!$E$7"</xm:f>
            <x14:dxf>
              <fill>
                <patternFill>
                  <bgColor theme="5" tint="-0.24994659260841701"/>
                </patternFill>
              </fill>
            </x14:dxf>
          </x14:cfRule>
          <x14:cfRule type="cellIs" priority="1031" operator="between" id="{CA75AFCA-6208-48BF-9E08-30F64B739AD0}">
            <xm:f>'Modell-Kalibrierung'!$C$5+1%</xm:f>
            <xm:f>"0Kalibrierung!$E$6"</xm:f>
            <x14:dxf>
              <fill>
                <patternFill>
                  <bgColor theme="5" tint="0.39994506668294322"/>
                </patternFill>
              </fill>
            </x14:dxf>
          </x14:cfRule>
          <x14:cfRule type="cellIs" priority="1032" operator="between" id="{C32466AE-2408-4294-A6B0-3BA3C5B15D1F}">
            <xm:f>'Modell-Kalibrierung'!$C$4+1%</xm:f>
            <xm:f>"0Kalibrierung!$E$5"</xm:f>
            <x14:dxf>
              <fill>
                <patternFill>
                  <bgColor theme="5" tint="0.59996337778862885"/>
                </patternFill>
              </fill>
            </x14:dxf>
          </x14:cfRule>
          <x14:cfRule type="cellIs" priority="1033" operator="between" id="{CE619D4D-0467-44B5-8E28-C6C97B951371}">
            <xm:f>'Modell-Kalibrierung'!$C$3+1%</xm:f>
            <xm:f>'Modell-Kalibrierung'!$C$4</xm:f>
            <x14:dxf>
              <fill>
                <patternFill>
                  <bgColor theme="5" tint="0.79998168889431442"/>
                </patternFill>
              </fill>
            </x14:dxf>
          </x14:cfRule>
          <x14:cfRule type="cellIs" priority="1034" operator="equal" id="{88DC5ED7-476F-4D71-9C46-53D48A13CB40}">
            <xm:f>'Modell-Kalibrierung'!$C$3</xm:f>
            <x14:dxf>
              <fill>
                <patternFill>
                  <bgColor theme="0"/>
                </patternFill>
              </fill>
            </x14:dxf>
          </x14:cfRule>
          <xm:sqref>J105:J109</xm:sqref>
        </x14:conditionalFormatting>
        <x14:conditionalFormatting xmlns:xm="http://schemas.microsoft.com/office/excel/2006/main">
          <x14:cfRule type="cellIs" priority="1023" operator="between" id="{8694D111-F755-45B0-AD88-90F16A6E988D}">
            <xm:f>'Modell-Kalibrierung'!$C$7+1%</xm:f>
            <xm:f>"0Kalibrierung!$E$8"</xm:f>
            <x14:dxf>
              <font>
                <color theme="0"/>
              </font>
              <fill>
                <patternFill>
                  <bgColor theme="5" tint="-0.499984740745262"/>
                </patternFill>
              </fill>
            </x14:dxf>
          </x14:cfRule>
          <x14:cfRule type="cellIs" priority="1024" operator="between" id="{C7157EF1-187C-4149-860D-9D46CB79EFF3}">
            <xm:f>'Modell-Kalibrierung'!$C$6+1%</xm:f>
            <xm:f>"0Kalibrierung!$E$7"</xm:f>
            <x14:dxf>
              <fill>
                <patternFill>
                  <bgColor theme="5" tint="-0.24994659260841701"/>
                </patternFill>
              </fill>
            </x14:dxf>
          </x14:cfRule>
          <x14:cfRule type="cellIs" priority="1025" operator="between" id="{3FAD0D61-B273-410C-8241-F66CE5DCA040}">
            <xm:f>'Modell-Kalibrierung'!$C$5+1%</xm:f>
            <xm:f>"0Kalibrierung!$E$6"</xm:f>
            <x14:dxf>
              <fill>
                <patternFill>
                  <bgColor theme="5" tint="0.39994506668294322"/>
                </patternFill>
              </fill>
            </x14:dxf>
          </x14:cfRule>
          <x14:cfRule type="cellIs" priority="1026" operator="between" id="{A820C7EF-C5F3-4C0F-A340-3E7011A87B5B}">
            <xm:f>'Modell-Kalibrierung'!$C$4+1%</xm:f>
            <xm:f>"0Kalibrierung!$E$5"</xm:f>
            <x14:dxf>
              <fill>
                <patternFill>
                  <bgColor theme="5" tint="0.59996337778862885"/>
                </patternFill>
              </fill>
            </x14:dxf>
          </x14:cfRule>
          <x14:cfRule type="cellIs" priority="1027" operator="between" id="{F337E857-BD4F-47B1-B853-CEDFD4078264}">
            <xm:f>'Modell-Kalibrierung'!$C$3+1%</xm:f>
            <xm:f>'Modell-Kalibrierung'!$C$4</xm:f>
            <x14:dxf>
              <fill>
                <patternFill>
                  <bgColor theme="5" tint="0.79998168889431442"/>
                </patternFill>
              </fill>
            </x14:dxf>
          </x14:cfRule>
          <x14:cfRule type="cellIs" priority="1028" operator="equal" id="{0F532AF1-CEFA-41E9-B450-CD289BBCA3FB}">
            <xm:f>'Modell-Kalibrierung'!$C$3</xm:f>
            <x14:dxf>
              <fill>
                <patternFill>
                  <bgColor theme="0"/>
                </patternFill>
              </fill>
            </x14:dxf>
          </x14:cfRule>
          <xm:sqref>J111:J115</xm:sqref>
        </x14:conditionalFormatting>
        <x14:conditionalFormatting xmlns:xm="http://schemas.microsoft.com/office/excel/2006/main">
          <x14:cfRule type="cellIs" priority="1017" operator="between" id="{667DDDCB-A05A-4F6C-BB76-88B1E5764BEA}">
            <xm:f>'Modell-Kalibrierung'!$C$7+1%</xm:f>
            <xm:f>"0Kalibrierung!$E$8"</xm:f>
            <x14:dxf>
              <font>
                <color theme="0"/>
              </font>
              <fill>
                <patternFill>
                  <bgColor theme="5" tint="-0.499984740745262"/>
                </patternFill>
              </fill>
            </x14:dxf>
          </x14:cfRule>
          <x14:cfRule type="cellIs" priority="1018" operator="between" id="{52E74F31-9FE1-4316-BD43-C0ED3476DE60}">
            <xm:f>'Modell-Kalibrierung'!$C$6+1%</xm:f>
            <xm:f>"0Kalibrierung!$E$7"</xm:f>
            <x14:dxf>
              <fill>
                <patternFill>
                  <bgColor theme="5" tint="-0.24994659260841701"/>
                </patternFill>
              </fill>
            </x14:dxf>
          </x14:cfRule>
          <x14:cfRule type="cellIs" priority="1019" operator="between" id="{CB305BC0-C3EA-4D66-A59F-73AC9343AECC}">
            <xm:f>'Modell-Kalibrierung'!$C$5+1%</xm:f>
            <xm:f>"0Kalibrierung!$E$6"</xm:f>
            <x14:dxf>
              <fill>
                <patternFill>
                  <bgColor theme="5" tint="0.39994506668294322"/>
                </patternFill>
              </fill>
            </x14:dxf>
          </x14:cfRule>
          <x14:cfRule type="cellIs" priority="1020" operator="between" id="{10C01A13-3D2B-4858-BDBC-D9D3D1A24A87}">
            <xm:f>'Modell-Kalibrierung'!$C$4+1%</xm:f>
            <xm:f>"0Kalibrierung!$E$5"</xm:f>
            <x14:dxf>
              <fill>
                <patternFill>
                  <bgColor theme="5" tint="0.59996337778862885"/>
                </patternFill>
              </fill>
            </x14:dxf>
          </x14:cfRule>
          <x14:cfRule type="cellIs" priority="1021" operator="between" id="{B059DE7A-D838-4794-9628-A93C1CB67DE6}">
            <xm:f>'Modell-Kalibrierung'!$C$3+1%</xm:f>
            <xm:f>'Modell-Kalibrierung'!$C$4</xm:f>
            <x14:dxf>
              <fill>
                <patternFill>
                  <bgColor theme="5" tint="0.79998168889431442"/>
                </patternFill>
              </fill>
            </x14:dxf>
          </x14:cfRule>
          <x14:cfRule type="cellIs" priority="1022" operator="equal" id="{F6B3B274-F2C0-4FE4-844C-848D8E7CC90A}">
            <xm:f>'Modell-Kalibrierung'!$C$3</xm:f>
            <x14:dxf>
              <fill>
                <patternFill>
                  <bgColor theme="0"/>
                </patternFill>
              </fill>
            </x14:dxf>
          </x14:cfRule>
          <xm:sqref>J117:J121</xm:sqref>
        </x14:conditionalFormatting>
        <x14:conditionalFormatting xmlns:xm="http://schemas.microsoft.com/office/excel/2006/main">
          <x14:cfRule type="cellIs" priority="800" operator="equal" id="{5CE08411-C018-4972-9CC9-E326E7C1888E}">
            <xm:f>'Modell-Kalibrierung'!$B$16</xm:f>
            <x14:dxf>
              <fill>
                <patternFill>
                  <bgColor theme="0"/>
                </patternFill>
              </fill>
            </x14:dxf>
          </x14:cfRule>
          <xm:sqref>I42:I43</xm:sqref>
        </x14:conditionalFormatting>
        <x14:conditionalFormatting xmlns:xm="http://schemas.microsoft.com/office/excel/2006/main">
          <x14:cfRule type="cellIs" priority="793" operator="equal" id="{AFC3B9D8-D1BC-40A8-B0CD-536A8C35937C}">
            <xm:f>'Modell-Kalibrierung'!$B$16</xm:f>
            <x14:dxf>
              <fill>
                <patternFill>
                  <bgColor theme="0"/>
                </patternFill>
              </fill>
            </x14:dxf>
          </x14:cfRule>
          <xm:sqref>I39:I41</xm:sqref>
        </x14:conditionalFormatting>
        <x14:conditionalFormatting xmlns:xm="http://schemas.microsoft.com/office/excel/2006/main">
          <x14:cfRule type="cellIs" priority="744" operator="equal" id="{A389C901-E02E-4E1A-9250-458CC645154A}">
            <xm:f>'Modell-Kalibrierung'!$B$16</xm:f>
            <x14:dxf>
              <fill>
                <patternFill>
                  <bgColor theme="0"/>
                </patternFill>
              </fill>
            </x14:dxf>
          </x14:cfRule>
          <xm:sqref>I66:I67</xm:sqref>
        </x14:conditionalFormatting>
        <x14:conditionalFormatting xmlns:xm="http://schemas.microsoft.com/office/excel/2006/main">
          <x14:cfRule type="cellIs" priority="737" operator="equal" id="{854FA895-F50D-49B4-9C0B-172F9166425D}">
            <xm:f>'Modell-Kalibrierung'!$B$16</xm:f>
            <x14:dxf>
              <fill>
                <patternFill>
                  <bgColor theme="0"/>
                </patternFill>
              </fill>
            </x14:dxf>
          </x14:cfRule>
          <xm:sqref>I63:I65</xm:sqref>
        </x14:conditionalFormatting>
        <x14:conditionalFormatting xmlns:xm="http://schemas.microsoft.com/office/excel/2006/main">
          <x14:cfRule type="cellIs" priority="730" operator="equal" id="{D41DB23B-8DCA-478A-BBE1-90FE49D39995}">
            <xm:f>'Modell-Kalibrierung'!$B$16</xm:f>
            <x14:dxf>
              <fill>
                <patternFill>
                  <bgColor theme="0"/>
                </patternFill>
              </fill>
            </x14:dxf>
          </x14:cfRule>
          <xm:sqref>I72:I73</xm:sqref>
        </x14:conditionalFormatting>
        <x14:conditionalFormatting xmlns:xm="http://schemas.microsoft.com/office/excel/2006/main">
          <x14:cfRule type="cellIs" priority="723" operator="equal" id="{C6A75DA9-74B4-4E2C-9298-0064850C09F2}">
            <xm:f>'Modell-Kalibrierung'!$B$16</xm:f>
            <x14:dxf>
              <fill>
                <patternFill>
                  <bgColor theme="0"/>
                </patternFill>
              </fill>
            </x14:dxf>
          </x14:cfRule>
          <xm:sqref>I69:I71</xm:sqref>
        </x14:conditionalFormatting>
        <x14:conditionalFormatting xmlns:xm="http://schemas.microsoft.com/office/excel/2006/main">
          <x14:cfRule type="cellIs" priority="716" operator="equal" id="{54D97AA4-E79C-442B-A17A-A3729A3F0504}">
            <xm:f>'Modell-Kalibrierung'!$B$16</xm:f>
            <x14:dxf>
              <fill>
                <patternFill>
                  <bgColor theme="0"/>
                </patternFill>
              </fill>
            </x14:dxf>
          </x14:cfRule>
          <xm:sqref>I78:I79</xm:sqref>
        </x14:conditionalFormatting>
        <x14:conditionalFormatting xmlns:xm="http://schemas.microsoft.com/office/excel/2006/main">
          <x14:cfRule type="cellIs" priority="709" operator="equal" id="{3FAE8DE6-603C-45CF-8F40-75581DDFBD33}">
            <xm:f>'Modell-Kalibrierung'!$B$16</xm:f>
            <x14:dxf>
              <fill>
                <patternFill>
                  <bgColor theme="0"/>
                </patternFill>
              </fill>
            </x14:dxf>
          </x14:cfRule>
          <xm:sqref>I75:I77</xm:sqref>
        </x14:conditionalFormatting>
        <x14:conditionalFormatting xmlns:xm="http://schemas.microsoft.com/office/excel/2006/main">
          <x14:cfRule type="cellIs" priority="702" operator="equal" id="{79381656-A757-4F44-AD8F-442F2D6E9CE1}">
            <xm:f>'Modell-Kalibrierung'!$B$16</xm:f>
            <x14:dxf>
              <fill>
                <patternFill>
                  <bgColor theme="0"/>
                </patternFill>
              </fill>
            </x14:dxf>
          </x14:cfRule>
          <xm:sqref>I84:I85</xm:sqref>
        </x14:conditionalFormatting>
        <x14:conditionalFormatting xmlns:xm="http://schemas.microsoft.com/office/excel/2006/main">
          <x14:cfRule type="cellIs" priority="695" operator="equal" id="{65F818CC-84E6-4D20-B3CF-5093AC686008}">
            <xm:f>'Modell-Kalibrierung'!$B$16</xm:f>
            <x14:dxf>
              <fill>
                <patternFill>
                  <bgColor theme="0"/>
                </patternFill>
              </fill>
            </x14:dxf>
          </x14:cfRule>
          <xm:sqref>I81:I83</xm:sqref>
        </x14:conditionalFormatting>
        <x14:conditionalFormatting xmlns:xm="http://schemas.microsoft.com/office/excel/2006/main">
          <x14:cfRule type="cellIs" priority="688" operator="equal" id="{0750888D-4D89-465A-A2B2-D24459623305}">
            <xm:f>'Modell-Kalibrierung'!$B$16</xm:f>
            <x14:dxf>
              <fill>
                <patternFill>
                  <bgColor theme="0"/>
                </patternFill>
              </fill>
            </x14:dxf>
          </x14:cfRule>
          <xm:sqref>I90:I91</xm:sqref>
        </x14:conditionalFormatting>
        <x14:conditionalFormatting xmlns:xm="http://schemas.microsoft.com/office/excel/2006/main">
          <x14:cfRule type="cellIs" priority="681" operator="equal" id="{E7034043-EA3D-4942-A010-0CC1A6509EDC}">
            <xm:f>'Modell-Kalibrierung'!$B$16</xm:f>
            <x14:dxf>
              <fill>
                <patternFill>
                  <bgColor theme="0"/>
                </patternFill>
              </fill>
            </x14:dxf>
          </x14:cfRule>
          <xm:sqref>I87:I89</xm:sqref>
        </x14:conditionalFormatting>
        <x14:conditionalFormatting xmlns:xm="http://schemas.microsoft.com/office/excel/2006/main">
          <x14:cfRule type="cellIs" priority="674" operator="equal" id="{95A3399C-F2D9-40C8-9413-319AD7A8E148}">
            <xm:f>'Modell-Kalibrierung'!$B$16</xm:f>
            <x14:dxf>
              <fill>
                <patternFill>
                  <bgColor theme="0"/>
                </patternFill>
              </fill>
            </x14:dxf>
          </x14:cfRule>
          <xm:sqref>I96:I97</xm:sqref>
        </x14:conditionalFormatting>
        <x14:conditionalFormatting xmlns:xm="http://schemas.microsoft.com/office/excel/2006/main">
          <x14:cfRule type="cellIs" priority="667" operator="equal" id="{31095947-208E-4E98-B237-0F2A3A1C234F}">
            <xm:f>'Modell-Kalibrierung'!$B$16</xm:f>
            <x14:dxf>
              <fill>
                <patternFill>
                  <bgColor theme="0"/>
                </patternFill>
              </fill>
            </x14:dxf>
          </x14:cfRule>
          <xm:sqref>I93:I95</xm:sqref>
        </x14:conditionalFormatting>
        <x14:conditionalFormatting xmlns:xm="http://schemas.microsoft.com/office/excel/2006/main">
          <x14:cfRule type="cellIs" priority="660" operator="equal" id="{93571C0C-C8F0-4C4F-8C0A-5B09A8D7CB34}">
            <xm:f>'Modell-Kalibrierung'!$B$16</xm:f>
            <x14:dxf>
              <fill>
                <patternFill>
                  <bgColor theme="0"/>
                </patternFill>
              </fill>
            </x14:dxf>
          </x14:cfRule>
          <xm:sqref>I102:I103</xm:sqref>
        </x14:conditionalFormatting>
        <x14:conditionalFormatting xmlns:xm="http://schemas.microsoft.com/office/excel/2006/main">
          <x14:cfRule type="cellIs" priority="653" operator="equal" id="{3146B60F-2A25-42B4-8D31-4E16B7DE758D}">
            <xm:f>'Modell-Kalibrierung'!$B$16</xm:f>
            <x14:dxf>
              <fill>
                <patternFill>
                  <bgColor theme="0"/>
                </patternFill>
              </fill>
            </x14:dxf>
          </x14:cfRule>
          <xm:sqref>I99:I101</xm:sqref>
        </x14:conditionalFormatting>
        <x14:conditionalFormatting xmlns:xm="http://schemas.microsoft.com/office/excel/2006/main">
          <x14:cfRule type="cellIs" priority="646" operator="equal" id="{7015B9D2-0605-4C81-BCCC-A5B52CDFF84D}">
            <xm:f>'Modell-Kalibrierung'!$B$16</xm:f>
            <x14:dxf>
              <fill>
                <patternFill>
                  <bgColor theme="0"/>
                </patternFill>
              </fill>
            </x14:dxf>
          </x14:cfRule>
          <xm:sqref>I108:I109</xm:sqref>
        </x14:conditionalFormatting>
        <x14:conditionalFormatting xmlns:xm="http://schemas.microsoft.com/office/excel/2006/main">
          <x14:cfRule type="cellIs" priority="639" operator="equal" id="{05DC3D10-5244-4C09-A448-8F9947DD6369}">
            <xm:f>'Modell-Kalibrierung'!$B$16</xm:f>
            <x14:dxf>
              <fill>
                <patternFill>
                  <bgColor theme="0"/>
                </patternFill>
              </fill>
            </x14:dxf>
          </x14:cfRule>
          <xm:sqref>I105:I107</xm:sqref>
        </x14:conditionalFormatting>
        <x14:conditionalFormatting xmlns:xm="http://schemas.microsoft.com/office/excel/2006/main">
          <x14:cfRule type="cellIs" priority="632" operator="equal" id="{D2E6E26F-AB56-49DA-99CF-FBC0A9136876}">
            <xm:f>'Modell-Kalibrierung'!$B$16</xm:f>
            <x14:dxf>
              <fill>
                <patternFill>
                  <bgColor theme="0"/>
                </patternFill>
              </fill>
            </x14:dxf>
          </x14:cfRule>
          <xm:sqref>I114:I115</xm:sqref>
        </x14:conditionalFormatting>
        <x14:conditionalFormatting xmlns:xm="http://schemas.microsoft.com/office/excel/2006/main">
          <x14:cfRule type="cellIs" priority="625" operator="equal" id="{5166F19B-C5B5-42A5-85DD-9606DBF4681B}">
            <xm:f>'Modell-Kalibrierung'!$B$16</xm:f>
            <x14:dxf>
              <fill>
                <patternFill>
                  <bgColor theme="0"/>
                </patternFill>
              </fill>
            </x14:dxf>
          </x14:cfRule>
          <xm:sqref>I111:I113</xm:sqref>
        </x14:conditionalFormatting>
        <x14:conditionalFormatting xmlns:xm="http://schemas.microsoft.com/office/excel/2006/main">
          <x14:cfRule type="cellIs" priority="618" operator="equal" id="{05A2CD86-3EF6-4B8A-B4B9-8C1B39BBDA24}">
            <xm:f>'Modell-Kalibrierung'!$B$16</xm:f>
            <x14:dxf>
              <fill>
                <patternFill>
                  <bgColor theme="0"/>
                </patternFill>
              </fill>
            </x14:dxf>
          </x14:cfRule>
          <xm:sqref>I120:I121</xm:sqref>
        </x14:conditionalFormatting>
        <x14:conditionalFormatting xmlns:xm="http://schemas.microsoft.com/office/excel/2006/main">
          <x14:cfRule type="cellIs" priority="611" operator="equal" id="{4CF38EC0-7CBC-4D4B-BB19-2161CFC5D1F4}">
            <xm:f>'Modell-Kalibrierung'!$B$16</xm:f>
            <x14:dxf>
              <fill>
                <patternFill>
                  <bgColor theme="0"/>
                </patternFill>
              </fill>
            </x14:dxf>
          </x14:cfRule>
          <xm:sqref>I117:I119</xm:sqref>
        </x14:conditionalFormatting>
        <x14:conditionalFormatting xmlns:xm="http://schemas.microsoft.com/office/excel/2006/main">
          <x14:cfRule type="cellIs" priority="604" operator="equal" id="{EB7A9841-4DCF-4EE5-9501-FC90412B50D5}">
            <xm:f>'Modell-Kalibrierung'!$B$16</xm:f>
            <x14:dxf>
              <fill>
                <patternFill>
                  <bgColor theme="0"/>
                </patternFill>
              </fill>
            </x14:dxf>
          </x14:cfRule>
          <xm:sqref>G42:G43</xm:sqref>
        </x14:conditionalFormatting>
        <x14:conditionalFormatting xmlns:xm="http://schemas.microsoft.com/office/excel/2006/main">
          <x14:cfRule type="cellIs" priority="597" operator="equal" id="{BEAC85CC-0D24-4C6A-9701-C053591DCB31}">
            <xm:f>'Modell-Kalibrierung'!$B$16</xm:f>
            <x14:dxf>
              <fill>
                <patternFill>
                  <bgColor theme="0"/>
                </patternFill>
              </fill>
            </x14:dxf>
          </x14:cfRule>
          <xm:sqref>G39:G41</xm:sqref>
        </x14:conditionalFormatting>
        <x14:conditionalFormatting xmlns:xm="http://schemas.microsoft.com/office/excel/2006/main">
          <x14:cfRule type="cellIs" priority="548" operator="equal" id="{3946752A-617E-4C99-935B-2A3B17F9ACFD}">
            <xm:f>'Modell-Kalibrierung'!$B$16</xm:f>
            <x14:dxf>
              <fill>
                <patternFill>
                  <bgColor theme="0"/>
                </patternFill>
              </fill>
            </x14:dxf>
          </x14:cfRule>
          <xm:sqref>G66:G67</xm:sqref>
        </x14:conditionalFormatting>
        <x14:conditionalFormatting xmlns:xm="http://schemas.microsoft.com/office/excel/2006/main">
          <x14:cfRule type="cellIs" priority="541" operator="equal" id="{EF368623-24A3-4493-B0D0-391B99AB47F8}">
            <xm:f>'Modell-Kalibrierung'!$B$16</xm:f>
            <x14:dxf>
              <fill>
                <patternFill>
                  <bgColor theme="0"/>
                </patternFill>
              </fill>
            </x14:dxf>
          </x14:cfRule>
          <xm:sqref>G63:G65</xm:sqref>
        </x14:conditionalFormatting>
        <x14:conditionalFormatting xmlns:xm="http://schemas.microsoft.com/office/excel/2006/main">
          <x14:cfRule type="cellIs" priority="534" operator="equal" id="{BEF8D913-6B09-42D0-880B-92DD48B8FBFA}">
            <xm:f>'Modell-Kalibrierung'!$B$16</xm:f>
            <x14:dxf>
              <fill>
                <patternFill>
                  <bgColor theme="0"/>
                </patternFill>
              </fill>
            </x14:dxf>
          </x14:cfRule>
          <xm:sqref>G72:G73</xm:sqref>
        </x14:conditionalFormatting>
        <x14:conditionalFormatting xmlns:xm="http://schemas.microsoft.com/office/excel/2006/main">
          <x14:cfRule type="cellIs" priority="527" operator="equal" id="{214D8712-0804-49EC-A6EF-039685AB1FCF}">
            <xm:f>'Modell-Kalibrierung'!$B$16</xm:f>
            <x14:dxf>
              <fill>
                <patternFill>
                  <bgColor theme="0"/>
                </patternFill>
              </fill>
            </x14:dxf>
          </x14:cfRule>
          <xm:sqref>G69:G71</xm:sqref>
        </x14:conditionalFormatting>
        <x14:conditionalFormatting xmlns:xm="http://schemas.microsoft.com/office/excel/2006/main">
          <x14:cfRule type="cellIs" priority="520" operator="equal" id="{D3B3C0FE-F681-42D4-855E-A40091DA6014}">
            <xm:f>'Modell-Kalibrierung'!$B$16</xm:f>
            <x14:dxf>
              <fill>
                <patternFill>
                  <bgColor theme="0"/>
                </patternFill>
              </fill>
            </x14:dxf>
          </x14:cfRule>
          <xm:sqref>G78:G79</xm:sqref>
        </x14:conditionalFormatting>
        <x14:conditionalFormatting xmlns:xm="http://schemas.microsoft.com/office/excel/2006/main">
          <x14:cfRule type="cellIs" priority="513" operator="equal" id="{84B0016A-6AC0-4D75-9E1B-FBCBA478A796}">
            <xm:f>'Modell-Kalibrierung'!$B$16</xm:f>
            <x14:dxf>
              <fill>
                <patternFill>
                  <bgColor theme="0"/>
                </patternFill>
              </fill>
            </x14:dxf>
          </x14:cfRule>
          <xm:sqref>G75:G77</xm:sqref>
        </x14:conditionalFormatting>
        <x14:conditionalFormatting xmlns:xm="http://schemas.microsoft.com/office/excel/2006/main">
          <x14:cfRule type="cellIs" priority="506" operator="equal" id="{BF53BB8E-D3A6-4BAF-B86E-9D3CC24C8EC9}">
            <xm:f>'Modell-Kalibrierung'!$B$16</xm:f>
            <x14:dxf>
              <fill>
                <patternFill>
                  <bgColor theme="0"/>
                </patternFill>
              </fill>
            </x14:dxf>
          </x14:cfRule>
          <xm:sqref>G84:G85</xm:sqref>
        </x14:conditionalFormatting>
        <x14:conditionalFormatting xmlns:xm="http://schemas.microsoft.com/office/excel/2006/main">
          <x14:cfRule type="cellIs" priority="499" operator="equal" id="{6DE20497-9580-4A10-BB5C-3A438425B438}">
            <xm:f>'Modell-Kalibrierung'!$B$16</xm:f>
            <x14:dxf>
              <fill>
                <patternFill>
                  <bgColor theme="0"/>
                </patternFill>
              </fill>
            </x14:dxf>
          </x14:cfRule>
          <xm:sqref>G81:G83</xm:sqref>
        </x14:conditionalFormatting>
        <x14:conditionalFormatting xmlns:xm="http://schemas.microsoft.com/office/excel/2006/main">
          <x14:cfRule type="cellIs" priority="492" operator="equal" id="{868784A6-699A-4FA6-AD64-9A50870216E6}">
            <xm:f>'Modell-Kalibrierung'!$B$16</xm:f>
            <x14:dxf>
              <fill>
                <patternFill>
                  <bgColor theme="0"/>
                </patternFill>
              </fill>
            </x14:dxf>
          </x14:cfRule>
          <xm:sqref>G90:G91</xm:sqref>
        </x14:conditionalFormatting>
        <x14:conditionalFormatting xmlns:xm="http://schemas.microsoft.com/office/excel/2006/main">
          <x14:cfRule type="cellIs" priority="485" operator="equal" id="{7A578EED-0E66-46CC-953D-B80AEBB22DA1}">
            <xm:f>'Modell-Kalibrierung'!$B$16</xm:f>
            <x14:dxf>
              <fill>
                <patternFill>
                  <bgColor theme="0"/>
                </patternFill>
              </fill>
            </x14:dxf>
          </x14:cfRule>
          <xm:sqref>G87:G89</xm:sqref>
        </x14:conditionalFormatting>
        <x14:conditionalFormatting xmlns:xm="http://schemas.microsoft.com/office/excel/2006/main">
          <x14:cfRule type="cellIs" priority="478" operator="equal" id="{042EA687-F57E-4147-826B-E7C501B9F39F}">
            <xm:f>'Modell-Kalibrierung'!$B$16</xm:f>
            <x14:dxf>
              <fill>
                <patternFill>
                  <bgColor theme="0"/>
                </patternFill>
              </fill>
            </x14:dxf>
          </x14:cfRule>
          <xm:sqref>G96:G97</xm:sqref>
        </x14:conditionalFormatting>
        <x14:conditionalFormatting xmlns:xm="http://schemas.microsoft.com/office/excel/2006/main">
          <x14:cfRule type="cellIs" priority="471" operator="equal" id="{0CBB9D17-3AF9-4C4A-BC31-10BEA788057D}">
            <xm:f>'Modell-Kalibrierung'!$B$16</xm:f>
            <x14:dxf>
              <fill>
                <patternFill>
                  <bgColor theme="0"/>
                </patternFill>
              </fill>
            </x14:dxf>
          </x14:cfRule>
          <xm:sqref>G93:G95</xm:sqref>
        </x14:conditionalFormatting>
        <x14:conditionalFormatting xmlns:xm="http://schemas.microsoft.com/office/excel/2006/main">
          <x14:cfRule type="cellIs" priority="464" operator="equal" id="{2CA955ED-E3E0-46D6-BD2C-214437D45A6D}">
            <xm:f>'Modell-Kalibrierung'!$B$16</xm:f>
            <x14:dxf>
              <fill>
                <patternFill>
                  <bgColor theme="0"/>
                </patternFill>
              </fill>
            </x14:dxf>
          </x14:cfRule>
          <xm:sqref>G102:G103</xm:sqref>
        </x14:conditionalFormatting>
        <x14:conditionalFormatting xmlns:xm="http://schemas.microsoft.com/office/excel/2006/main">
          <x14:cfRule type="cellIs" priority="457" operator="equal" id="{FC18A1E6-9904-4EC0-9B15-0B46ADF5A0AA}">
            <xm:f>'Modell-Kalibrierung'!$B$16</xm:f>
            <x14:dxf>
              <fill>
                <patternFill>
                  <bgColor theme="0"/>
                </patternFill>
              </fill>
            </x14:dxf>
          </x14:cfRule>
          <xm:sqref>G99:G101</xm:sqref>
        </x14:conditionalFormatting>
        <x14:conditionalFormatting xmlns:xm="http://schemas.microsoft.com/office/excel/2006/main">
          <x14:cfRule type="cellIs" priority="450" operator="equal" id="{285004F3-3EEB-46AB-B4B0-671C7A4C4D47}">
            <xm:f>'Modell-Kalibrierung'!$B$16</xm:f>
            <x14:dxf>
              <fill>
                <patternFill>
                  <bgColor theme="0"/>
                </patternFill>
              </fill>
            </x14:dxf>
          </x14:cfRule>
          <xm:sqref>G108:G109</xm:sqref>
        </x14:conditionalFormatting>
        <x14:conditionalFormatting xmlns:xm="http://schemas.microsoft.com/office/excel/2006/main">
          <x14:cfRule type="cellIs" priority="443" operator="equal" id="{2D1FA56A-FA90-4746-BAF0-9DBEAC4F22A3}">
            <xm:f>'Modell-Kalibrierung'!$B$16</xm:f>
            <x14:dxf>
              <fill>
                <patternFill>
                  <bgColor theme="0"/>
                </patternFill>
              </fill>
            </x14:dxf>
          </x14:cfRule>
          <xm:sqref>G105:G107</xm:sqref>
        </x14:conditionalFormatting>
        <x14:conditionalFormatting xmlns:xm="http://schemas.microsoft.com/office/excel/2006/main">
          <x14:cfRule type="cellIs" priority="436" operator="equal" id="{053FC5AE-F520-45C7-8299-DD8BFC976BF7}">
            <xm:f>'Modell-Kalibrierung'!$B$16</xm:f>
            <x14:dxf>
              <fill>
                <patternFill>
                  <bgColor theme="0"/>
                </patternFill>
              </fill>
            </x14:dxf>
          </x14:cfRule>
          <xm:sqref>G114:G115</xm:sqref>
        </x14:conditionalFormatting>
        <x14:conditionalFormatting xmlns:xm="http://schemas.microsoft.com/office/excel/2006/main">
          <x14:cfRule type="cellIs" priority="429" operator="equal" id="{5450769C-B56E-41CF-BFDF-5FADF474E14A}">
            <xm:f>'Modell-Kalibrierung'!$B$16</xm:f>
            <x14:dxf>
              <fill>
                <patternFill>
                  <bgColor theme="0"/>
                </patternFill>
              </fill>
            </x14:dxf>
          </x14:cfRule>
          <xm:sqref>G111:G113</xm:sqref>
        </x14:conditionalFormatting>
        <x14:conditionalFormatting xmlns:xm="http://schemas.microsoft.com/office/excel/2006/main">
          <x14:cfRule type="cellIs" priority="422" operator="equal" id="{301CB45C-BE7A-496E-906F-AE15BCC0BDA3}">
            <xm:f>'Modell-Kalibrierung'!$B$16</xm:f>
            <x14:dxf>
              <fill>
                <patternFill>
                  <bgColor theme="0"/>
                </patternFill>
              </fill>
            </x14:dxf>
          </x14:cfRule>
          <xm:sqref>G120:G121</xm:sqref>
        </x14:conditionalFormatting>
        <x14:conditionalFormatting xmlns:xm="http://schemas.microsoft.com/office/excel/2006/main">
          <x14:cfRule type="cellIs" priority="415" operator="equal" id="{38F75076-CA52-42DA-9763-D7BF8DE54072}">
            <xm:f>'Modell-Kalibrierung'!$B$16</xm:f>
            <x14:dxf>
              <fill>
                <patternFill>
                  <bgColor theme="0"/>
                </patternFill>
              </fill>
            </x14:dxf>
          </x14:cfRule>
          <xm:sqref>G117:G119</xm:sqref>
        </x14:conditionalFormatting>
        <x14:conditionalFormatting xmlns:xm="http://schemas.microsoft.com/office/excel/2006/main">
          <x14:cfRule type="iconSet" priority="1260" id="{88DB1BCA-C92D-42C9-A4D8-9E023D6F55A6}">
            <x14:iconSet iconSet="3TrafficLights2" reverse="1">
              <x14:cfvo type="percent">
                <xm:f>0</xm:f>
              </x14:cfvo>
              <x14:cfvo type="num" gte="0">
                <xm:f>'Modell-Kalibrierung'!$C$18</xm:f>
              </x14:cfvo>
              <x14:cfvo type="num">
                <xm:f>'Modell-Kalibrierung'!$C$20</xm:f>
              </x14:cfvo>
            </x14:iconSet>
          </x14:cfRule>
          <xm:sqref>K33</xm:sqref>
        </x14:conditionalFormatting>
        <x14:conditionalFormatting xmlns:xm="http://schemas.microsoft.com/office/excel/2006/main">
          <x14:cfRule type="cellIs" priority="394" operator="between" id="{C9A54CA5-93BC-42E8-8065-064CCDF7B26F}">
            <xm:f>'Modell-Kalibrierung'!$C$7+1%</xm:f>
            <xm:f>"0Kalibrierung!$E$8"</xm:f>
            <x14:dxf>
              <font>
                <color theme="0"/>
              </font>
              <fill>
                <patternFill>
                  <bgColor theme="5" tint="-0.499984740745262"/>
                </patternFill>
              </fill>
            </x14:dxf>
          </x14:cfRule>
          <x14:cfRule type="cellIs" priority="395" operator="between" id="{84D716C2-25CD-4BE4-B5AC-23CCF0F1E33F}">
            <xm:f>'Modell-Kalibrierung'!$C$6+1%</xm:f>
            <xm:f>"0Kalibrierung!$E$7"</xm:f>
            <x14:dxf>
              <fill>
                <patternFill>
                  <bgColor theme="5" tint="-0.24994659260841701"/>
                </patternFill>
              </fill>
            </x14:dxf>
          </x14:cfRule>
          <x14:cfRule type="cellIs" priority="396" operator="between" id="{83E44DF5-219C-47BD-B419-E7467D9084BA}">
            <xm:f>'Modell-Kalibrierung'!$C$5+1%</xm:f>
            <xm:f>"0Kalibrierung!$E$6"</xm:f>
            <x14:dxf>
              <fill>
                <patternFill>
                  <bgColor theme="5" tint="0.39994506668294322"/>
                </patternFill>
              </fill>
            </x14:dxf>
          </x14:cfRule>
          <x14:cfRule type="cellIs" priority="397" operator="between" id="{E5552132-1508-4DB3-B5B7-E768C69D6597}">
            <xm:f>'Modell-Kalibrierung'!$C$4+1%</xm:f>
            <xm:f>"0Kalibrierung!$E$5"</xm:f>
            <x14:dxf>
              <fill>
                <patternFill>
                  <bgColor theme="5" tint="0.59996337778862885"/>
                </patternFill>
              </fill>
            </x14:dxf>
          </x14:cfRule>
          <x14:cfRule type="cellIs" priority="398" operator="between" id="{5778F29D-7A8A-4319-AB04-5B6EA5ED4EE6}">
            <xm:f>'Modell-Kalibrierung'!$C$3+1%</xm:f>
            <xm:f>'Modell-Kalibrierung'!$C$4</xm:f>
            <x14:dxf>
              <fill>
                <patternFill>
                  <bgColor theme="5" tint="0.79998168889431442"/>
                </patternFill>
              </fill>
            </x14:dxf>
          </x14:cfRule>
          <x14:cfRule type="cellIs" priority="399" operator="equal" id="{E98FF596-B2F2-4D1E-A2E8-31BFADF20453}">
            <xm:f>'Modell-Kalibrierung'!$C$3</xm:f>
            <x14:dxf>
              <fill>
                <patternFill>
                  <bgColor theme="0"/>
                </patternFill>
              </fill>
            </x14:dxf>
          </x14:cfRule>
          <xm:sqref>J35</xm:sqref>
        </x14:conditionalFormatting>
        <x14:conditionalFormatting xmlns:xm="http://schemas.microsoft.com/office/excel/2006/main">
          <x14:cfRule type="iconSet" priority="295" id="{02BA8C9B-1EE5-4120-AE9A-8B7BBB2FEB25}">
            <x14:iconSet iconSet="3TrafficLights2" reverse="1">
              <x14:cfvo type="percent">
                <xm:f>0</xm:f>
              </x14:cfvo>
              <x14:cfvo type="num" gte="0">
                <xm:f>'Modell-Kalibrierung'!$C$18</xm:f>
              </x14:cfvo>
              <x14:cfvo type="num">
                <xm:f>'Modell-Kalibrierung'!$C$20</xm:f>
              </x14:cfvo>
            </x14:iconSet>
          </x14:cfRule>
          <xm:sqref>K126</xm:sqref>
        </x14:conditionalFormatting>
        <x14:conditionalFormatting xmlns:xm="http://schemas.microsoft.com/office/excel/2006/main">
          <x14:cfRule type="cellIs" priority="289" operator="between" id="{4E805EA4-33F1-484B-A42E-9B49A33FF0B0}">
            <xm:f>'Modell-Kalibrierung'!$C$7+1%</xm:f>
            <xm:f>"0Kalibrierung!$E$8"</xm:f>
            <x14:dxf>
              <font>
                <color theme="0"/>
              </font>
              <fill>
                <patternFill>
                  <bgColor theme="5" tint="-0.499984740745262"/>
                </patternFill>
              </fill>
            </x14:dxf>
          </x14:cfRule>
          <x14:cfRule type="cellIs" priority="290" operator="between" id="{5C0BECB2-7831-42A7-A2BF-06BB3D7524BA}">
            <xm:f>'Modell-Kalibrierung'!$C$6+1%</xm:f>
            <xm:f>"0Kalibrierung!$E$7"</xm:f>
            <x14:dxf>
              <fill>
                <patternFill>
                  <bgColor theme="5" tint="-0.24994659260841701"/>
                </patternFill>
              </fill>
            </x14:dxf>
          </x14:cfRule>
          <x14:cfRule type="cellIs" priority="291" operator="between" id="{F18A7B62-DFEF-4945-870D-65D8147A09E1}">
            <xm:f>'Modell-Kalibrierung'!$C$5+1%</xm:f>
            <xm:f>"0Kalibrierung!$E$6"</xm:f>
            <x14:dxf>
              <fill>
                <patternFill>
                  <bgColor theme="5" tint="0.39994506668294322"/>
                </patternFill>
              </fill>
            </x14:dxf>
          </x14:cfRule>
          <x14:cfRule type="cellIs" priority="292" operator="between" id="{459042B7-592C-47F9-917A-22E21B37387F}">
            <xm:f>'Modell-Kalibrierung'!$C$4+1%</xm:f>
            <xm:f>"0Kalibrierung!$E$5"</xm:f>
            <x14:dxf>
              <fill>
                <patternFill>
                  <bgColor theme="5" tint="0.59996337778862885"/>
                </patternFill>
              </fill>
            </x14:dxf>
          </x14:cfRule>
          <x14:cfRule type="cellIs" priority="293" operator="between" id="{0692D190-1D60-4B7B-B576-E2A872815EF3}">
            <xm:f>'Modell-Kalibrierung'!$C$3+1%</xm:f>
            <xm:f>'Modell-Kalibrierung'!$C$4</xm:f>
            <x14:dxf>
              <fill>
                <patternFill>
                  <bgColor theme="5" tint="0.79998168889431442"/>
                </patternFill>
              </fill>
            </x14:dxf>
          </x14:cfRule>
          <x14:cfRule type="cellIs" priority="294" operator="equal" id="{E6A8325A-9297-4701-8D96-5DD6EA7118CF}">
            <xm:f>'Modell-Kalibrierung'!$C$3</xm:f>
            <x14:dxf>
              <fill>
                <patternFill>
                  <bgColor theme="0"/>
                </patternFill>
              </fill>
            </x14:dxf>
          </x14:cfRule>
          <xm:sqref>J126</xm:sqref>
        </x14:conditionalFormatting>
        <x14:conditionalFormatting xmlns:xm="http://schemas.microsoft.com/office/excel/2006/main">
          <x14:cfRule type="iconSet" priority="288" id="{97006666-96C2-4101-BEB1-00560CA08D87}">
            <x14:iconSet iconSet="3TrafficLights2" reverse="1">
              <x14:cfvo type="percent">
                <xm:f>0</xm:f>
              </x14:cfvo>
              <x14:cfvo type="num" gte="0">
                <xm:f>'Modell-Kalibrierung'!$C$18</xm:f>
              </x14:cfvo>
              <x14:cfvo type="num">
                <xm:f>'Modell-Kalibrierung'!$C$20</xm:f>
              </x14:cfvo>
            </x14:iconSet>
          </x14:cfRule>
          <xm:sqref>K133</xm:sqref>
        </x14:conditionalFormatting>
        <x14:conditionalFormatting xmlns:xm="http://schemas.microsoft.com/office/excel/2006/main">
          <x14:cfRule type="cellIs" priority="282" operator="between" id="{97DFE9DA-74D8-4CDA-813A-FA96B338E8FD}">
            <xm:f>'Modell-Kalibrierung'!$C$7+1%</xm:f>
            <xm:f>"0Kalibrierung!$E$8"</xm:f>
            <x14:dxf>
              <font>
                <color theme="0"/>
              </font>
              <fill>
                <patternFill>
                  <bgColor theme="5" tint="-0.499984740745262"/>
                </patternFill>
              </fill>
            </x14:dxf>
          </x14:cfRule>
          <x14:cfRule type="cellIs" priority="283" operator="between" id="{0B62E494-595D-4DF5-88CC-3421DD941B6A}">
            <xm:f>'Modell-Kalibrierung'!$C$6+1%</xm:f>
            <xm:f>"0Kalibrierung!$E$7"</xm:f>
            <x14:dxf>
              <fill>
                <patternFill>
                  <bgColor theme="5" tint="-0.24994659260841701"/>
                </patternFill>
              </fill>
            </x14:dxf>
          </x14:cfRule>
          <x14:cfRule type="cellIs" priority="284" operator="between" id="{F7D61B5A-33B7-406F-8A3B-A4E82FDF38C5}">
            <xm:f>'Modell-Kalibrierung'!$C$5+1%</xm:f>
            <xm:f>"0Kalibrierung!$E$6"</xm:f>
            <x14:dxf>
              <fill>
                <patternFill>
                  <bgColor theme="5" tint="0.39994506668294322"/>
                </patternFill>
              </fill>
            </x14:dxf>
          </x14:cfRule>
          <x14:cfRule type="cellIs" priority="285" operator="between" id="{D6F6C671-04C3-4BD0-9CEE-3B03D5559E76}">
            <xm:f>'Modell-Kalibrierung'!$C$4+1%</xm:f>
            <xm:f>"0Kalibrierung!$E$5"</xm:f>
            <x14:dxf>
              <fill>
                <patternFill>
                  <bgColor theme="5" tint="0.59996337778862885"/>
                </patternFill>
              </fill>
            </x14:dxf>
          </x14:cfRule>
          <x14:cfRule type="cellIs" priority="286" operator="between" id="{9B70521A-B861-4EF4-9DBD-394DC062FAB5}">
            <xm:f>'Modell-Kalibrierung'!$C$3+1%</xm:f>
            <xm:f>'Modell-Kalibrierung'!$C$4</xm:f>
            <x14:dxf>
              <fill>
                <patternFill>
                  <bgColor theme="5" tint="0.79998168889431442"/>
                </patternFill>
              </fill>
            </x14:dxf>
          </x14:cfRule>
          <x14:cfRule type="cellIs" priority="287" operator="equal" id="{E5270CC7-FBA6-4CFA-A4DE-C252131BDBA2}">
            <xm:f>'Modell-Kalibrierung'!$C$3</xm:f>
            <x14:dxf>
              <fill>
                <patternFill>
                  <bgColor theme="0"/>
                </patternFill>
              </fill>
            </x14:dxf>
          </x14:cfRule>
          <xm:sqref>J133</xm:sqref>
        </x14:conditionalFormatting>
        <x14:conditionalFormatting xmlns:xm="http://schemas.microsoft.com/office/excel/2006/main">
          <x14:cfRule type="iconSet" priority="281" id="{8E8068A2-4EDD-446C-99C8-D469F7EA3670}">
            <x14:iconSet iconSet="3TrafficLights2" reverse="1">
              <x14:cfvo type="percent">
                <xm:f>0</xm:f>
              </x14:cfvo>
              <x14:cfvo type="num" gte="0">
                <xm:f>'Modell-Kalibrierung'!$C$18</xm:f>
              </x14:cfvo>
              <x14:cfvo type="num">
                <xm:f>'Modell-Kalibrierung'!$C$20</xm:f>
              </x14:cfvo>
            </x14:iconSet>
          </x14:cfRule>
          <xm:sqref>K140</xm:sqref>
        </x14:conditionalFormatting>
        <x14:conditionalFormatting xmlns:xm="http://schemas.microsoft.com/office/excel/2006/main">
          <x14:cfRule type="cellIs" priority="275" operator="between" id="{2A599ACE-15AD-4349-BA5B-EB5B6762D7CB}">
            <xm:f>'Modell-Kalibrierung'!$C$7+1%</xm:f>
            <xm:f>"0Kalibrierung!$E$8"</xm:f>
            <x14:dxf>
              <font>
                <color theme="0"/>
              </font>
              <fill>
                <patternFill>
                  <bgColor theme="5" tint="-0.499984740745262"/>
                </patternFill>
              </fill>
            </x14:dxf>
          </x14:cfRule>
          <x14:cfRule type="cellIs" priority="276" operator="between" id="{985008D0-7C5E-4897-81A0-A54F3CCC2F37}">
            <xm:f>'Modell-Kalibrierung'!$C$6+1%</xm:f>
            <xm:f>"0Kalibrierung!$E$7"</xm:f>
            <x14:dxf>
              <fill>
                <patternFill>
                  <bgColor theme="5" tint="-0.24994659260841701"/>
                </patternFill>
              </fill>
            </x14:dxf>
          </x14:cfRule>
          <x14:cfRule type="cellIs" priority="277" operator="between" id="{C9049561-E594-4802-BA1A-7807977B4B6E}">
            <xm:f>'Modell-Kalibrierung'!$C$5+1%</xm:f>
            <xm:f>"0Kalibrierung!$E$6"</xm:f>
            <x14:dxf>
              <fill>
                <patternFill>
                  <bgColor theme="5" tint="0.39994506668294322"/>
                </patternFill>
              </fill>
            </x14:dxf>
          </x14:cfRule>
          <x14:cfRule type="cellIs" priority="278" operator="between" id="{8E3A99B1-32E9-4BCE-B1E9-106BF0B31EE1}">
            <xm:f>'Modell-Kalibrierung'!$C$4+1%</xm:f>
            <xm:f>"0Kalibrierung!$E$5"</xm:f>
            <x14:dxf>
              <fill>
                <patternFill>
                  <bgColor theme="5" tint="0.59996337778862885"/>
                </patternFill>
              </fill>
            </x14:dxf>
          </x14:cfRule>
          <x14:cfRule type="cellIs" priority="279" operator="between" id="{B6EEF7AD-AFA7-4E47-80AE-AF81B8EE7062}">
            <xm:f>'Modell-Kalibrierung'!$C$3+1%</xm:f>
            <xm:f>'Modell-Kalibrierung'!$C$4</xm:f>
            <x14:dxf>
              <fill>
                <patternFill>
                  <bgColor theme="5" tint="0.79998168889431442"/>
                </patternFill>
              </fill>
            </x14:dxf>
          </x14:cfRule>
          <x14:cfRule type="cellIs" priority="280" operator="equal" id="{CC07FBC7-776D-487B-9156-EA8B67468D67}">
            <xm:f>'Modell-Kalibrierung'!$C$3</xm:f>
            <x14:dxf>
              <fill>
                <patternFill>
                  <bgColor theme="0"/>
                </patternFill>
              </fill>
            </x14:dxf>
          </x14:cfRule>
          <xm:sqref>J140</xm:sqref>
        </x14:conditionalFormatting>
        <x14:conditionalFormatting xmlns:xm="http://schemas.microsoft.com/office/excel/2006/main">
          <x14:cfRule type="iconSet" priority="274" id="{D2358DA9-6CDA-4B81-B8F8-9AC04EF22946}">
            <x14:iconSet iconSet="3TrafficLights2" reverse="1">
              <x14:cfvo type="percent">
                <xm:f>0</xm:f>
              </x14:cfvo>
              <x14:cfvo type="num" gte="0">
                <xm:f>'Modell-Kalibrierung'!$C$18</xm:f>
              </x14:cfvo>
              <x14:cfvo type="num">
                <xm:f>'Modell-Kalibrierung'!$C$20</xm:f>
              </x14:cfvo>
            </x14:iconSet>
          </x14:cfRule>
          <xm:sqref>K34</xm:sqref>
        </x14:conditionalFormatting>
        <x14:conditionalFormatting xmlns:xm="http://schemas.microsoft.com/office/excel/2006/main">
          <x14:cfRule type="iconSet" priority="273" id="{883F579A-2DFB-4473-8CFB-84EAFAFE0A15}">
            <x14:iconSet iconSet="3TrafficLights2" reverse="1">
              <x14:cfvo type="percent">
                <xm:f>0</xm:f>
              </x14:cfvo>
              <x14:cfvo type="num" gte="0">
                <xm:f>'Modell-Kalibrierung'!$C$18</xm:f>
              </x14:cfvo>
              <x14:cfvo type="num">
                <xm:f>'Modell-Kalibrierung'!$C$20</xm:f>
              </x14:cfvo>
            </x14:iconSet>
          </x14:cfRule>
          <xm:sqref>K35</xm:sqref>
        </x14:conditionalFormatting>
        <x14:conditionalFormatting xmlns:xm="http://schemas.microsoft.com/office/excel/2006/main">
          <x14:cfRule type="iconSet" priority="272" id="{FDF8652C-2614-4DD4-8376-F25178E2D601}">
            <x14:iconSet iconSet="3TrafficLights2" reverse="1">
              <x14:cfvo type="percent">
                <xm:f>0</xm:f>
              </x14:cfvo>
              <x14:cfvo type="num" gte="0">
                <xm:f>'Modell-Kalibrierung'!$C$18</xm:f>
              </x14:cfvo>
              <x14:cfvo type="num">
                <xm:f>'Modell-Kalibrierung'!$C$20</xm:f>
              </x14:cfvo>
            </x14:iconSet>
          </x14:cfRule>
          <xm:sqref>K36</xm:sqref>
        </x14:conditionalFormatting>
        <x14:conditionalFormatting xmlns:xm="http://schemas.microsoft.com/office/excel/2006/main">
          <x14:cfRule type="iconSet" priority="271" id="{FF00B2B1-8418-41F2-A33D-EC12AA0B70C8}">
            <x14:iconSet iconSet="3TrafficLights2" reverse="1">
              <x14:cfvo type="percent">
                <xm:f>0</xm:f>
              </x14:cfvo>
              <x14:cfvo type="num" gte="0">
                <xm:f>'Modell-Kalibrierung'!$C$18</xm:f>
              </x14:cfvo>
              <x14:cfvo type="num">
                <xm:f>'Modell-Kalibrierung'!$C$20</xm:f>
              </x14:cfvo>
            </x14:iconSet>
          </x14:cfRule>
          <xm:sqref>K37</xm:sqref>
        </x14:conditionalFormatting>
        <x14:conditionalFormatting xmlns:xm="http://schemas.microsoft.com/office/excel/2006/main">
          <x14:cfRule type="iconSet" priority="270" id="{59EDB4B7-D62C-4FAE-BAF4-51C27C1F81DF}">
            <x14:iconSet iconSet="3TrafficLights2" reverse="1">
              <x14:cfvo type="percent">
                <xm:f>0</xm:f>
              </x14:cfvo>
              <x14:cfvo type="num" gte="0">
                <xm:f>'Modell-Kalibrierung'!$C$18</xm:f>
              </x14:cfvo>
              <x14:cfvo type="num">
                <xm:f>'Modell-Kalibrierung'!$C$20</xm:f>
              </x14:cfvo>
            </x14:iconSet>
          </x14:cfRule>
          <xm:sqref>K39</xm:sqref>
        </x14:conditionalFormatting>
        <x14:conditionalFormatting xmlns:xm="http://schemas.microsoft.com/office/excel/2006/main">
          <x14:cfRule type="iconSet" priority="269" id="{3E7A036A-80F8-4515-951D-D995711CBB55}">
            <x14:iconSet iconSet="3TrafficLights2" reverse="1">
              <x14:cfvo type="percent">
                <xm:f>0</xm:f>
              </x14:cfvo>
              <x14:cfvo type="num" gte="0">
                <xm:f>'Modell-Kalibrierung'!$C$18</xm:f>
              </x14:cfvo>
              <x14:cfvo type="num">
                <xm:f>'Modell-Kalibrierung'!$C$20</xm:f>
              </x14:cfvo>
            </x14:iconSet>
          </x14:cfRule>
          <xm:sqref>K40</xm:sqref>
        </x14:conditionalFormatting>
        <x14:conditionalFormatting xmlns:xm="http://schemas.microsoft.com/office/excel/2006/main">
          <x14:cfRule type="iconSet" priority="268" id="{6B646200-01CF-402F-A15C-F2E1439E9105}">
            <x14:iconSet iconSet="3TrafficLights2" reverse="1">
              <x14:cfvo type="percent">
                <xm:f>0</xm:f>
              </x14:cfvo>
              <x14:cfvo type="num" gte="0">
                <xm:f>'Modell-Kalibrierung'!$C$18</xm:f>
              </x14:cfvo>
              <x14:cfvo type="num">
                <xm:f>'Modell-Kalibrierung'!$C$20</xm:f>
              </x14:cfvo>
            </x14:iconSet>
          </x14:cfRule>
          <xm:sqref>K41</xm:sqref>
        </x14:conditionalFormatting>
        <x14:conditionalFormatting xmlns:xm="http://schemas.microsoft.com/office/excel/2006/main">
          <x14:cfRule type="iconSet" priority="267" id="{D78C58EA-C77A-4310-85BD-10DEC79767CB}">
            <x14:iconSet iconSet="3TrafficLights2" reverse="1">
              <x14:cfvo type="percent">
                <xm:f>0</xm:f>
              </x14:cfvo>
              <x14:cfvo type="num" gte="0">
                <xm:f>'Modell-Kalibrierung'!$C$18</xm:f>
              </x14:cfvo>
              <x14:cfvo type="num">
                <xm:f>'Modell-Kalibrierung'!$C$20</xm:f>
              </x14:cfvo>
            </x14:iconSet>
          </x14:cfRule>
          <xm:sqref>K42</xm:sqref>
        </x14:conditionalFormatting>
        <x14:conditionalFormatting xmlns:xm="http://schemas.microsoft.com/office/excel/2006/main">
          <x14:cfRule type="iconSet" priority="266" id="{F6E237E1-7FAD-47D6-8136-CC6676E9456B}">
            <x14:iconSet iconSet="3TrafficLights2" reverse="1">
              <x14:cfvo type="percent">
                <xm:f>0</xm:f>
              </x14:cfvo>
              <x14:cfvo type="num" gte="0">
                <xm:f>'Modell-Kalibrierung'!$C$18</xm:f>
              </x14:cfvo>
              <x14:cfvo type="num">
                <xm:f>'Modell-Kalibrierung'!$C$20</xm:f>
              </x14:cfvo>
            </x14:iconSet>
          </x14:cfRule>
          <xm:sqref>K43</xm:sqref>
        </x14:conditionalFormatting>
        <x14:conditionalFormatting xmlns:xm="http://schemas.microsoft.com/office/excel/2006/main">
          <x14:cfRule type="iconSet" priority="265" id="{D86E7D68-ED8B-44A5-865E-83BC39A9F778}">
            <x14:iconSet iconSet="3TrafficLights2" reverse="1">
              <x14:cfvo type="percent">
                <xm:f>0</xm:f>
              </x14:cfvo>
              <x14:cfvo type="num" gte="0">
                <xm:f>'Modell-Kalibrierung'!$C$18</xm:f>
              </x14:cfvo>
              <x14:cfvo type="num">
                <xm:f>'Modell-Kalibrierung'!$C$20</xm:f>
              </x14:cfvo>
            </x14:iconSet>
          </x14:cfRule>
          <xm:sqref>K45</xm:sqref>
        </x14:conditionalFormatting>
        <x14:conditionalFormatting xmlns:xm="http://schemas.microsoft.com/office/excel/2006/main">
          <x14:cfRule type="iconSet" priority="264" id="{4DAB81A6-2730-4559-B54A-43977EA27B15}">
            <x14:iconSet iconSet="3TrafficLights2" reverse="1">
              <x14:cfvo type="percent">
                <xm:f>0</xm:f>
              </x14:cfvo>
              <x14:cfvo type="num" gte="0">
                <xm:f>'Modell-Kalibrierung'!$C$18</xm:f>
              </x14:cfvo>
              <x14:cfvo type="num">
                <xm:f>'Modell-Kalibrierung'!$C$20</xm:f>
              </x14:cfvo>
            </x14:iconSet>
          </x14:cfRule>
          <xm:sqref>K46</xm:sqref>
        </x14:conditionalFormatting>
        <x14:conditionalFormatting xmlns:xm="http://schemas.microsoft.com/office/excel/2006/main">
          <x14:cfRule type="iconSet" priority="263" id="{7D8209A5-BC0C-4C0D-BA20-C3AF662ACA49}">
            <x14:iconSet iconSet="3TrafficLights2" reverse="1">
              <x14:cfvo type="percent">
                <xm:f>0</xm:f>
              </x14:cfvo>
              <x14:cfvo type="num" gte="0">
                <xm:f>'Modell-Kalibrierung'!$C$18</xm:f>
              </x14:cfvo>
              <x14:cfvo type="num">
                <xm:f>'Modell-Kalibrierung'!$C$20</xm:f>
              </x14:cfvo>
            </x14:iconSet>
          </x14:cfRule>
          <xm:sqref>K47</xm:sqref>
        </x14:conditionalFormatting>
        <x14:conditionalFormatting xmlns:xm="http://schemas.microsoft.com/office/excel/2006/main">
          <x14:cfRule type="iconSet" priority="262" id="{53459E8B-D53B-4635-AC86-AADD7FE45630}">
            <x14:iconSet iconSet="3TrafficLights2" reverse="1">
              <x14:cfvo type="percent">
                <xm:f>0</xm:f>
              </x14:cfvo>
              <x14:cfvo type="num" gte="0">
                <xm:f>'Modell-Kalibrierung'!$C$18</xm:f>
              </x14:cfvo>
              <x14:cfvo type="num">
                <xm:f>'Modell-Kalibrierung'!$C$20</xm:f>
              </x14:cfvo>
            </x14:iconSet>
          </x14:cfRule>
          <xm:sqref>K48</xm:sqref>
        </x14:conditionalFormatting>
        <x14:conditionalFormatting xmlns:xm="http://schemas.microsoft.com/office/excel/2006/main">
          <x14:cfRule type="iconSet" priority="261" id="{6C8DE6C3-5C9C-4AE0-A9E5-93DFFA06C64D}">
            <x14:iconSet iconSet="3TrafficLights2" reverse="1">
              <x14:cfvo type="percent">
                <xm:f>0</xm:f>
              </x14:cfvo>
              <x14:cfvo type="num" gte="0">
                <xm:f>'Modell-Kalibrierung'!$C$18</xm:f>
              </x14:cfvo>
              <x14:cfvo type="num">
                <xm:f>'Modell-Kalibrierung'!$C$20</xm:f>
              </x14:cfvo>
            </x14:iconSet>
          </x14:cfRule>
          <xm:sqref>K49</xm:sqref>
        </x14:conditionalFormatting>
        <x14:conditionalFormatting xmlns:xm="http://schemas.microsoft.com/office/excel/2006/main">
          <x14:cfRule type="iconSet" priority="260" id="{E34F89E8-91B3-430E-96E0-5EF1FD6A7066}">
            <x14:iconSet iconSet="3TrafficLights2" reverse="1">
              <x14:cfvo type="percent">
                <xm:f>0</xm:f>
              </x14:cfvo>
              <x14:cfvo type="num" gte="0">
                <xm:f>'Modell-Kalibrierung'!$C$18</xm:f>
              </x14:cfvo>
              <x14:cfvo type="num">
                <xm:f>'Modell-Kalibrierung'!$C$20</xm:f>
              </x14:cfvo>
            </x14:iconSet>
          </x14:cfRule>
          <xm:sqref>K51</xm:sqref>
        </x14:conditionalFormatting>
        <x14:conditionalFormatting xmlns:xm="http://schemas.microsoft.com/office/excel/2006/main">
          <x14:cfRule type="iconSet" priority="259" id="{3D522268-4787-499A-A089-895824EEBF3A}">
            <x14:iconSet iconSet="3TrafficLights2" reverse="1">
              <x14:cfvo type="percent">
                <xm:f>0</xm:f>
              </x14:cfvo>
              <x14:cfvo type="num" gte="0">
                <xm:f>'Modell-Kalibrierung'!$C$18</xm:f>
              </x14:cfvo>
              <x14:cfvo type="num">
                <xm:f>'Modell-Kalibrierung'!$C$20</xm:f>
              </x14:cfvo>
            </x14:iconSet>
          </x14:cfRule>
          <xm:sqref>K52</xm:sqref>
        </x14:conditionalFormatting>
        <x14:conditionalFormatting xmlns:xm="http://schemas.microsoft.com/office/excel/2006/main">
          <x14:cfRule type="iconSet" priority="258" id="{FEF5345E-85FE-4B93-934E-B7617A40FE28}">
            <x14:iconSet iconSet="3TrafficLights2" reverse="1">
              <x14:cfvo type="percent">
                <xm:f>0</xm:f>
              </x14:cfvo>
              <x14:cfvo type="num" gte="0">
                <xm:f>'Modell-Kalibrierung'!$C$18</xm:f>
              </x14:cfvo>
              <x14:cfvo type="num">
                <xm:f>'Modell-Kalibrierung'!$C$20</xm:f>
              </x14:cfvo>
            </x14:iconSet>
          </x14:cfRule>
          <xm:sqref>K53</xm:sqref>
        </x14:conditionalFormatting>
        <x14:conditionalFormatting xmlns:xm="http://schemas.microsoft.com/office/excel/2006/main">
          <x14:cfRule type="iconSet" priority="257" id="{85A4F48C-0EEE-4077-8D9A-012D440894D5}">
            <x14:iconSet iconSet="3TrafficLights2" reverse="1">
              <x14:cfvo type="percent">
                <xm:f>0</xm:f>
              </x14:cfvo>
              <x14:cfvo type="num" gte="0">
                <xm:f>'Modell-Kalibrierung'!$C$18</xm:f>
              </x14:cfvo>
              <x14:cfvo type="num">
                <xm:f>'Modell-Kalibrierung'!$C$20</xm:f>
              </x14:cfvo>
            </x14:iconSet>
          </x14:cfRule>
          <xm:sqref>K54</xm:sqref>
        </x14:conditionalFormatting>
        <x14:conditionalFormatting xmlns:xm="http://schemas.microsoft.com/office/excel/2006/main">
          <x14:cfRule type="iconSet" priority="256" id="{4CB2CDA3-80ED-4FB6-A300-858BF55FAF7F}">
            <x14:iconSet iconSet="3TrafficLights2" reverse="1">
              <x14:cfvo type="percent">
                <xm:f>0</xm:f>
              </x14:cfvo>
              <x14:cfvo type="num" gte="0">
                <xm:f>'Modell-Kalibrierung'!$C$18</xm:f>
              </x14:cfvo>
              <x14:cfvo type="num">
                <xm:f>'Modell-Kalibrierung'!$C$20</xm:f>
              </x14:cfvo>
            </x14:iconSet>
          </x14:cfRule>
          <xm:sqref>K55</xm:sqref>
        </x14:conditionalFormatting>
        <x14:conditionalFormatting xmlns:xm="http://schemas.microsoft.com/office/excel/2006/main">
          <x14:cfRule type="iconSet" priority="255" id="{92F3034A-C921-4FAF-AFD7-D5948C195BF1}">
            <x14:iconSet iconSet="3TrafficLights2" reverse="1">
              <x14:cfvo type="percent">
                <xm:f>0</xm:f>
              </x14:cfvo>
              <x14:cfvo type="num" gte="0">
                <xm:f>'Modell-Kalibrierung'!$C$18</xm:f>
              </x14:cfvo>
              <x14:cfvo type="num">
                <xm:f>'Modell-Kalibrierung'!$C$20</xm:f>
              </x14:cfvo>
            </x14:iconSet>
          </x14:cfRule>
          <xm:sqref>K57</xm:sqref>
        </x14:conditionalFormatting>
        <x14:conditionalFormatting xmlns:xm="http://schemas.microsoft.com/office/excel/2006/main">
          <x14:cfRule type="iconSet" priority="254" id="{94FB734F-1C40-4DD7-80FF-F41A2E25C157}">
            <x14:iconSet iconSet="3TrafficLights2" reverse="1">
              <x14:cfvo type="percent">
                <xm:f>0</xm:f>
              </x14:cfvo>
              <x14:cfvo type="num" gte="0">
                <xm:f>'Modell-Kalibrierung'!$C$18</xm:f>
              </x14:cfvo>
              <x14:cfvo type="num">
                <xm:f>'Modell-Kalibrierung'!$C$20</xm:f>
              </x14:cfvo>
            </x14:iconSet>
          </x14:cfRule>
          <xm:sqref>K58</xm:sqref>
        </x14:conditionalFormatting>
        <x14:conditionalFormatting xmlns:xm="http://schemas.microsoft.com/office/excel/2006/main">
          <x14:cfRule type="iconSet" priority="253" id="{ABA44EDC-FAE1-4090-B5D0-C20F83BECAA0}">
            <x14:iconSet iconSet="3TrafficLights2" reverse="1">
              <x14:cfvo type="percent">
                <xm:f>0</xm:f>
              </x14:cfvo>
              <x14:cfvo type="num" gte="0">
                <xm:f>'Modell-Kalibrierung'!$C$18</xm:f>
              </x14:cfvo>
              <x14:cfvo type="num">
                <xm:f>'Modell-Kalibrierung'!$C$20</xm:f>
              </x14:cfvo>
            </x14:iconSet>
          </x14:cfRule>
          <xm:sqref>K59</xm:sqref>
        </x14:conditionalFormatting>
        <x14:conditionalFormatting xmlns:xm="http://schemas.microsoft.com/office/excel/2006/main">
          <x14:cfRule type="iconSet" priority="252" id="{62EA26A8-38D4-421D-B900-87F66FC0EB0E}">
            <x14:iconSet iconSet="3TrafficLights2" reverse="1">
              <x14:cfvo type="percent">
                <xm:f>0</xm:f>
              </x14:cfvo>
              <x14:cfvo type="num" gte="0">
                <xm:f>'Modell-Kalibrierung'!$C$18</xm:f>
              </x14:cfvo>
              <x14:cfvo type="num">
                <xm:f>'Modell-Kalibrierung'!$C$20</xm:f>
              </x14:cfvo>
            </x14:iconSet>
          </x14:cfRule>
          <xm:sqref>K60</xm:sqref>
        </x14:conditionalFormatting>
        <x14:conditionalFormatting xmlns:xm="http://schemas.microsoft.com/office/excel/2006/main">
          <x14:cfRule type="iconSet" priority="251" id="{728B4295-5C2A-406C-8A2E-847B232C344A}">
            <x14:iconSet iconSet="3TrafficLights2" reverse="1">
              <x14:cfvo type="percent">
                <xm:f>0</xm:f>
              </x14:cfvo>
              <x14:cfvo type="num" gte="0">
                <xm:f>'Modell-Kalibrierung'!$C$18</xm:f>
              </x14:cfvo>
              <x14:cfvo type="num">
                <xm:f>'Modell-Kalibrierung'!$C$20</xm:f>
              </x14:cfvo>
            </x14:iconSet>
          </x14:cfRule>
          <xm:sqref>K61</xm:sqref>
        </x14:conditionalFormatting>
        <x14:conditionalFormatting xmlns:xm="http://schemas.microsoft.com/office/excel/2006/main">
          <x14:cfRule type="iconSet" priority="250" id="{41B67B01-5247-4B79-AA98-29496B38E43E}">
            <x14:iconSet iconSet="3TrafficLights2" reverse="1">
              <x14:cfvo type="percent">
                <xm:f>0</xm:f>
              </x14:cfvo>
              <x14:cfvo type="num" gte="0">
                <xm:f>'Modell-Kalibrierung'!$C$18</xm:f>
              </x14:cfvo>
              <x14:cfvo type="num">
                <xm:f>'Modell-Kalibrierung'!$C$20</xm:f>
              </x14:cfvo>
            </x14:iconSet>
          </x14:cfRule>
          <xm:sqref>K63</xm:sqref>
        </x14:conditionalFormatting>
        <x14:conditionalFormatting xmlns:xm="http://schemas.microsoft.com/office/excel/2006/main">
          <x14:cfRule type="iconSet" priority="249" id="{CD7B3C2B-3712-4575-B02F-2F4A54334E63}">
            <x14:iconSet iconSet="3TrafficLights2" reverse="1">
              <x14:cfvo type="percent">
                <xm:f>0</xm:f>
              </x14:cfvo>
              <x14:cfvo type="num" gte="0">
                <xm:f>'Modell-Kalibrierung'!$C$18</xm:f>
              </x14:cfvo>
              <x14:cfvo type="num">
                <xm:f>'Modell-Kalibrierung'!$C$20</xm:f>
              </x14:cfvo>
            </x14:iconSet>
          </x14:cfRule>
          <xm:sqref>K64</xm:sqref>
        </x14:conditionalFormatting>
        <x14:conditionalFormatting xmlns:xm="http://schemas.microsoft.com/office/excel/2006/main">
          <x14:cfRule type="iconSet" priority="248" id="{0668071B-8F8A-4F00-A088-7D0B740C7B28}">
            <x14:iconSet iconSet="3TrafficLights2" reverse="1">
              <x14:cfvo type="percent">
                <xm:f>0</xm:f>
              </x14:cfvo>
              <x14:cfvo type="num" gte="0">
                <xm:f>'Modell-Kalibrierung'!$C$18</xm:f>
              </x14:cfvo>
              <x14:cfvo type="num">
                <xm:f>'Modell-Kalibrierung'!$C$20</xm:f>
              </x14:cfvo>
            </x14:iconSet>
          </x14:cfRule>
          <xm:sqref>K65</xm:sqref>
        </x14:conditionalFormatting>
        <x14:conditionalFormatting xmlns:xm="http://schemas.microsoft.com/office/excel/2006/main">
          <x14:cfRule type="iconSet" priority="247" id="{A58A6AA7-C597-492B-93EA-04200FD39341}">
            <x14:iconSet iconSet="3TrafficLights2" reverse="1">
              <x14:cfvo type="percent">
                <xm:f>0</xm:f>
              </x14:cfvo>
              <x14:cfvo type="num" gte="0">
                <xm:f>'Modell-Kalibrierung'!$C$18</xm:f>
              </x14:cfvo>
              <x14:cfvo type="num">
                <xm:f>'Modell-Kalibrierung'!$C$20</xm:f>
              </x14:cfvo>
            </x14:iconSet>
          </x14:cfRule>
          <xm:sqref>K66</xm:sqref>
        </x14:conditionalFormatting>
        <x14:conditionalFormatting xmlns:xm="http://schemas.microsoft.com/office/excel/2006/main">
          <x14:cfRule type="iconSet" priority="246" id="{D185ABA9-0E54-4680-9957-58F1F76B6442}">
            <x14:iconSet iconSet="3TrafficLights2" reverse="1">
              <x14:cfvo type="percent">
                <xm:f>0</xm:f>
              </x14:cfvo>
              <x14:cfvo type="num" gte="0">
                <xm:f>'Modell-Kalibrierung'!$C$18</xm:f>
              </x14:cfvo>
              <x14:cfvo type="num">
                <xm:f>'Modell-Kalibrierung'!$C$20</xm:f>
              </x14:cfvo>
            </x14:iconSet>
          </x14:cfRule>
          <xm:sqref>K67</xm:sqref>
        </x14:conditionalFormatting>
        <x14:conditionalFormatting xmlns:xm="http://schemas.microsoft.com/office/excel/2006/main">
          <x14:cfRule type="iconSet" priority="245" id="{BBDF6BDB-5933-4746-831F-0B72F24ED270}">
            <x14:iconSet iconSet="3TrafficLights2" reverse="1">
              <x14:cfvo type="percent">
                <xm:f>0</xm:f>
              </x14:cfvo>
              <x14:cfvo type="num" gte="0">
                <xm:f>'Modell-Kalibrierung'!$C$18</xm:f>
              </x14:cfvo>
              <x14:cfvo type="num">
                <xm:f>'Modell-Kalibrierung'!$C$20</xm:f>
              </x14:cfvo>
            </x14:iconSet>
          </x14:cfRule>
          <xm:sqref>K69</xm:sqref>
        </x14:conditionalFormatting>
        <x14:conditionalFormatting xmlns:xm="http://schemas.microsoft.com/office/excel/2006/main">
          <x14:cfRule type="iconSet" priority="244" id="{8DFBB1C9-4334-45BC-B65A-768154D21E98}">
            <x14:iconSet iconSet="3TrafficLights2" reverse="1">
              <x14:cfvo type="percent">
                <xm:f>0</xm:f>
              </x14:cfvo>
              <x14:cfvo type="num" gte="0">
                <xm:f>'Modell-Kalibrierung'!$C$18</xm:f>
              </x14:cfvo>
              <x14:cfvo type="num">
                <xm:f>'Modell-Kalibrierung'!$C$20</xm:f>
              </x14:cfvo>
            </x14:iconSet>
          </x14:cfRule>
          <xm:sqref>K70</xm:sqref>
        </x14:conditionalFormatting>
        <x14:conditionalFormatting xmlns:xm="http://schemas.microsoft.com/office/excel/2006/main">
          <x14:cfRule type="iconSet" priority="243" id="{7D454B18-0B0D-4C7E-A7FC-ED188C1AD23D}">
            <x14:iconSet iconSet="3TrafficLights2" reverse="1">
              <x14:cfvo type="percent">
                <xm:f>0</xm:f>
              </x14:cfvo>
              <x14:cfvo type="num" gte="0">
                <xm:f>'Modell-Kalibrierung'!$C$18</xm:f>
              </x14:cfvo>
              <x14:cfvo type="num">
                <xm:f>'Modell-Kalibrierung'!$C$20</xm:f>
              </x14:cfvo>
            </x14:iconSet>
          </x14:cfRule>
          <xm:sqref>K71</xm:sqref>
        </x14:conditionalFormatting>
        <x14:conditionalFormatting xmlns:xm="http://schemas.microsoft.com/office/excel/2006/main">
          <x14:cfRule type="iconSet" priority="242" id="{902EE218-56BB-4F91-A927-D4C60857B852}">
            <x14:iconSet iconSet="3TrafficLights2" reverse="1">
              <x14:cfvo type="percent">
                <xm:f>0</xm:f>
              </x14:cfvo>
              <x14:cfvo type="num" gte="0">
                <xm:f>'Modell-Kalibrierung'!$C$18</xm:f>
              </x14:cfvo>
              <x14:cfvo type="num">
                <xm:f>'Modell-Kalibrierung'!$C$20</xm:f>
              </x14:cfvo>
            </x14:iconSet>
          </x14:cfRule>
          <xm:sqref>K72</xm:sqref>
        </x14:conditionalFormatting>
        <x14:conditionalFormatting xmlns:xm="http://schemas.microsoft.com/office/excel/2006/main">
          <x14:cfRule type="iconSet" priority="241" id="{56BB3FE6-470E-4486-8861-F5A81F4A439B}">
            <x14:iconSet iconSet="3TrafficLights2" reverse="1">
              <x14:cfvo type="percent">
                <xm:f>0</xm:f>
              </x14:cfvo>
              <x14:cfvo type="num" gte="0">
                <xm:f>'Modell-Kalibrierung'!$C$18</xm:f>
              </x14:cfvo>
              <x14:cfvo type="num">
                <xm:f>'Modell-Kalibrierung'!$C$20</xm:f>
              </x14:cfvo>
            </x14:iconSet>
          </x14:cfRule>
          <xm:sqref>K73</xm:sqref>
        </x14:conditionalFormatting>
        <x14:conditionalFormatting xmlns:xm="http://schemas.microsoft.com/office/excel/2006/main">
          <x14:cfRule type="iconSet" priority="240" id="{6EBAE771-1600-4947-B394-4B3C3EA9C19E}">
            <x14:iconSet iconSet="3TrafficLights2" reverse="1">
              <x14:cfvo type="percent">
                <xm:f>0</xm:f>
              </x14:cfvo>
              <x14:cfvo type="num" gte="0">
                <xm:f>'Modell-Kalibrierung'!$C$18</xm:f>
              </x14:cfvo>
              <x14:cfvo type="num">
                <xm:f>'Modell-Kalibrierung'!$C$20</xm:f>
              </x14:cfvo>
            </x14:iconSet>
          </x14:cfRule>
          <xm:sqref>K75</xm:sqref>
        </x14:conditionalFormatting>
        <x14:conditionalFormatting xmlns:xm="http://schemas.microsoft.com/office/excel/2006/main">
          <x14:cfRule type="iconSet" priority="239" id="{B2B4860E-A8B7-4E97-9621-4D110E904431}">
            <x14:iconSet iconSet="3TrafficLights2" reverse="1">
              <x14:cfvo type="percent">
                <xm:f>0</xm:f>
              </x14:cfvo>
              <x14:cfvo type="num" gte="0">
                <xm:f>'Modell-Kalibrierung'!$C$18</xm:f>
              </x14:cfvo>
              <x14:cfvo type="num">
                <xm:f>'Modell-Kalibrierung'!$C$20</xm:f>
              </x14:cfvo>
            </x14:iconSet>
          </x14:cfRule>
          <xm:sqref>K76</xm:sqref>
        </x14:conditionalFormatting>
        <x14:conditionalFormatting xmlns:xm="http://schemas.microsoft.com/office/excel/2006/main">
          <x14:cfRule type="iconSet" priority="238" id="{BA414009-5199-44EE-9474-FFBF94940793}">
            <x14:iconSet iconSet="3TrafficLights2" reverse="1">
              <x14:cfvo type="percent">
                <xm:f>0</xm:f>
              </x14:cfvo>
              <x14:cfvo type="num" gte="0">
                <xm:f>'Modell-Kalibrierung'!$C$18</xm:f>
              </x14:cfvo>
              <x14:cfvo type="num">
                <xm:f>'Modell-Kalibrierung'!$C$20</xm:f>
              </x14:cfvo>
            </x14:iconSet>
          </x14:cfRule>
          <xm:sqref>K77</xm:sqref>
        </x14:conditionalFormatting>
        <x14:conditionalFormatting xmlns:xm="http://schemas.microsoft.com/office/excel/2006/main">
          <x14:cfRule type="iconSet" priority="237" id="{25CDB30B-9FD3-4002-854C-2EC06D8C532A}">
            <x14:iconSet iconSet="3TrafficLights2" reverse="1">
              <x14:cfvo type="percent">
                <xm:f>0</xm:f>
              </x14:cfvo>
              <x14:cfvo type="num" gte="0">
                <xm:f>'Modell-Kalibrierung'!$C$18</xm:f>
              </x14:cfvo>
              <x14:cfvo type="num">
                <xm:f>'Modell-Kalibrierung'!$C$20</xm:f>
              </x14:cfvo>
            </x14:iconSet>
          </x14:cfRule>
          <xm:sqref>K78</xm:sqref>
        </x14:conditionalFormatting>
        <x14:conditionalFormatting xmlns:xm="http://schemas.microsoft.com/office/excel/2006/main">
          <x14:cfRule type="iconSet" priority="236" id="{4D98A379-C353-4D9E-8CF8-24230B04412A}">
            <x14:iconSet iconSet="3TrafficLights2" reverse="1">
              <x14:cfvo type="percent">
                <xm:f>0</xm:f>
              </x14:cfvo>
              <x14:cfvo type="num" gte="0">
                <xm:f>'Modell-Kalibrierung'!$C$18</xm:f>
              </x14:cfvo>
              <x14:cfvo type="num">
                <xm:f>'Modell-Kalibrierung'!$C$20</xm:f>
              </x14:cfvo>
            </x14:iconSet>
          </x14:cfRule>
          <xm:sqref>K79</xm:sqref>
        </x14:conditionalFormatting>
        <x14:conditionalFormatting xmlns:xm="http://schemas.microsoft.com/office/excel/2006/main">
          <x14:cfRule type="iconSet" priority="235" id="{93FAD225-F7BE-4834-B010-33E77237564D}">
            <x14:iconSet iconSet="3TrafficLights2" reverse="1">
              <x14:cfvo type="percent">
                <xm:f>0</xm:f>
              </x14:cfvo>
              <x14:cfvo type="num" gte="0">
                <xm:f>'Modell-Kalibrierung'!$C$18</xm:f>
              </x14:cfvo>
              <x14:cfvo type="num">
                <xm:f>'Modell-Kalibrierung'!$C$20</xm:f>
              </x14:cfvo>
            </x14:iconSet>
          </x14:cfRule>
          <xm:sqref>K81</xm:sqref>
        </x14:conditionalFormatting>
        <x14:conditionalFormatting xmlns:xm="http://schemas.microsoft.com/office/excel/2006/main">
          <x14:cfRule type="iconSet" priority="234" id="{D1CEB603-2AFD-440D-A335-68130AFBF3DD}">
            <x14:iconSet iconSet="3TrafficLights2" reverse="1">
              <x14:cfvo type="percent">
                <xm:f>0</xm:f>
              </x14:cfvo>
              <x14:cfvo type="num" gte="0">
                <xm:f>'Modell-Kalibrierung'!$C$18</xm:f>
              </x14:cfvo>
              <x14:cfvo type="num">
                <xm:f>'Modell-Kalibrierung'!$C$20</xm:f>
              </x14:cfvo>
            </x14:iconSet>
          </x14:cfRule>
          <xm:sqref>K82</xm:sqref>
        </x14:conditionalFormatting>
        <x14:conditionalFormatting xmlns:xm="http://schemas.microsoft.com/office/excel/2006/main">
          <x14:cfRule type="iconSet" priority="233" id="{43E959FF-297F-4AF2-A7CA-17CC296F4B26}">
            <x14:iconSet iconSet="3TrafficLights2" reverse="1">
              <x14:cfvo type="percent">
                <xm:f>0</xm:f>
              </x14:cfvo>
              <x14:cfvo type="num" gte="0">
                <xm:f>'Modell-Kalibrierung'!$C$18</xm:f>
              </x14:cfvo>
              <x14:cfvo type="num">
                <xm:f>'Modell-Kalibrierung'!$C$20</xm:f>
              </x14:cfvo>
            </x14:iconSet>
          </x14:cfRule>
          <xm:sqref>K83</xm:sqref>
        </x14:conditionalFormatting>
        <x14:conditionalFormatting xmlns:xm="http://schemas.microsoft.com/office/excel/2006/main">
          <x14:cfRule type="iconSet" priority="232" id="{D979AB2F-E855-4B4E-B34F-41985D4B6402}">
            <x14:iconSet iconSet="3TrafficLights2" reverse="1">
              <x14:cfvo type="percent">
                <xm:f>0</xm:f>
              </x14:cfvo>
              <x14:cfvo type="num" gte="0">
                <xm:f>'Modell-Kalibrierung'!$C$18</xm:f>
              </x14:cfvo>
              <x14:cfvo type="num">
                <xm:f>'Modell-Kalibrierung'!$C$20</xm:f>
              </x14:cfvo>
            </x14:iconSet>
          </x14:cfRule>
          <xm:sqref>K84</xm:sqref>
        </x14:conditionalFormatting>
        <x14:conditionalFormatting xmlns:xm="http://schemas.microsoft.com/office/excel/2006/main">
          <x14:cfRule type="iconSet" priority="231" id="{3F9FDE46-BE69-4DEB-8314-EADF184DAA0C}">
            <x14:iconSet iconSet="3TrafficLights2" reverse="1">
              <x14:cfvo type="percent">
                <xm:f>0</xm:f>
              </x14:cfvo>
              <x14:cfvo type="num" gte="0">
                <xm:f>'Modell-Kalibrierung'!$C$18</xm:f>
              </x14:cfvo>
              <x14:cfvo type="num">
                <xm:f>'Modell-Kalibrierung'!$C$20</xm:f>
              </x14:cfvo>
            </x14:iconSet>
          </x14:cfRule>
          <xm:sqref>K85</xm:sqref>
        </x14:conditionalFormatting>
        <x14:conditionalFormatting xmlns:xm="http://schemas.microsoft.com/office/excel/2006/main">
          <x14:cfRule type="iconSet" priority="230" id="{AB297E7C-572F-478B-AF3A-D45BD07158DE}">
            <x14:iconSet iconSet="3TrafficLights2" reverse="1">
              <x14:cfvo type="percent">
                <xm:f>0</xm:f>
              </x14:cfvo>
              <x14:cfvo type="num" gte="0">
                <xm:f>'Modell-Kalibrierung'!$C$18</xm:f>
              </x14:cfvo>
              <x14:cfvo type="num">
                <xm:f>'Modell-Kalibrierung'!$C$20</xm:f>
              </x14:cfvo>
            </x14:iconSet>
          </x14:cfRule>
          <xm:sqref>K87</xm:sqref>
        </x14:conditionalFormatting>
        <x14:conditionalFormatting xmlns:xm="http://schemas.microsoft.com/office/excel/2006/main">
          <x14:cfRule type="iconSet" priority="229" id="{E5A37C19-8EB9-425B-A579-7E53BE7A3951}">
            <x14:iconSet iconSet="3TrafficLights2" reverse="1">
              <x14:cfvo type="percent">
                <xm:f>0</xm:f>
              </x14:cfvo>
              <x14:cfvo type="num" gte="0">
                <xm:f>'Modell-Kalibrierung'!$C$18</xm:f>
              </x14:cfvo>
              <x14:cfvo type="num">
                <xm:f>'Modell-Kalibrierung'!$C$20</xm:f>
              </x14:cfvo>
            </x14:iconSet>
          </x14:cfRule>
          <xm:sqref>K88</xm:sqref>
        </x14:conditionalFormatting>
        <x14:conditionalFormatting xmlns:xm="http://schemas.microsoft.com/office/excel/2006/main">
          <x14:cfRule type="iconSet" priority="228" id="{9EF503F8-7999-4FF6-86BC-283585F93D4A}">
            <x14:iconSet iconSet="3TrafficLights2" reverse="1">
              <x14:cfvo type="percent">
                <xm:f>0</xm:f>
              </x14:cfvo>
              <x14:cfvo type="num" gte="0">
                <xm:f>'Modell-Kalibrierung'!$C$18</xm:f>
              </x14:cfvo>
              <x14:cfvo type="num">
                <xm:f>'Modell-Kalibrierung'!$C$20</xm:f>
              </x14:cfvo>
            </x14:iconSet>
          </x14:cfRule>
          <xm:sqref>K89</xm:sqref>
        </x14:conditionalFormatting>
        <x14:conditionalFormatting xmlns:xm="http://schemas.microsoft.com/office/excel/2006/main">
          <x14:cfRule type="iconSet" priority="227" id="{DBF72903-D1FE-4836-8BCE-B0E92254FC72}">
            <x14:iconSet iconSet="3TrafficLights2" reverse="1">
              <x14:cfvo type="percent">
                <xm:f>0</xm:f>
              </x14:cfvo>
              <x14:cfvo type="num" gte="0">
                <xm:f>'Modell-Kalibrierung'!$C$18</xm:f>
              </x14:cfvo>
              <x14:cfvo type="num">
                <xm:f>'Modell-Kalibrierung'!$C$20</xm:f>
              </x14:cfvo>
            </x14:iconSet>
          </x14:cfRule>
          <xm:sqref>K90</xm:sqref>
        </x14:conditionalFormatting>
        <x14:conditionalFormatting xmlns:xm="http://schemas.microsoft.com/office/excel/2006/main">
          <x14:cfRule type="iconSet" priority="226" id="{3A9F5AB5-61A9-4E8D-83E9-3D748CCE26C0}">
            <x14:iconSet iconSet="3TrafficLights2" reverse="1">
              <x14:cfvo type="percent">
                <xm:f>0</xm:f>
              </x14:cfvo>
              <x14:cfvo type="num" gte="0">
                <xm:f>'Modell-Kalibrierung'!$C$18</xm:f>
              </x14:cfvo>
              <x14:cfvo type="num">
                <xm:f>'Modell-Kalibrierung'!$C$20</xm:f>
              </x14:cfvo>
            </x14:iconSet>
          </x14:cfRule>
          <xm:sqref>K91</xm:sqref>
        </x14:conditionalFormatting>
        <x14:conditionalFormatting xmlns:xm="http://schemas.microsoft.com/office/excel/2006/main">
          <x14:cfRule type="iconSet" priority="225" id="{E8A04B75-D0A5-459A-8FE1-11233E7B3200}">
            <x14:iconSet iconSet="3TrafficLights2" reverse="1">
              <x14:cfvo type="percent">
                <xm:f>0</xm:f>
              </x14:cfvo>
              <x14:cfvo type="num" gte="0">
                <xm:f>'Modell-Kalibrierung'!$C$18</xm:f>
              </x14:cfvo>
              <x14:cfvo type="num">
                <xm:f>'Modell-Kalibrierung'!$C$20</xm:f>
              </x14:cfvo>
            </x14:iconSet>
          </x14:cfRule>
          <xm:sqref>K93</xm:sqref>
        </x14:conditionalFormatting>
        <x14:conditionalFormatting xmlns:xm="http://schemas.microsoft.com/office/excel/2006/main">
          <x14:cfRule type="iconSet" priority="224" id="{653EBD9E-BC1F-4D85-909C-132838AEC329}">
            <x14:iconSet iconSet="3TrafficLights2" reverse="1">
              <x14:cfvo type="percent">
                <xm:f>0</xm:f>
              </x14:cfvo>
              <x14:cfvo type="num" gte="0">
                <xm:f>'Modell-Kalibrierung'!$C$18</xm:f>
              </x14:cfvo>
              <x14:cfvo type="num">
                <xm:f>'Modell-Kalibrierung'!$C$20</xm:f>
              </x14:cfvo>
            </x14:iconSet>
          </x14:cfRule>
          <xm:sqref>K94</xm:sqref>
        </x14:conditionalFormatting>
        <x14:conditionalFormatting xmlns:xm="http://schemas.microsoft.com/office/excel/2006/main">
          <x14:cfRule type="iconSet" priority="223" id="{1F8C1B86-84BC-4ECE-BAA1-0901F06258CC}">
            <x14:iconSet iconSet="3TrafficLights2" reverse="1">
              <x14:cfvo type="percent">
                <xm:f>0</xm:f>
              </x14:cfvo>
              <x14:cfvo type="num" gte="0">
                <xm:f>'Modell-Kalibrierung'!$C$18</xm:f>
              </x14:cfvo>
              <x14:cfvo type="num">
                <xm:f>'Modell-Kalibrierung'!$C$20</xm:f>
              </x14:cfvo>
            </x14:iconSet>
          </x14:cfRule>
          <xm:sqref>K95</xm:sqref>
        </x14:conditionalFormatting>
        <x14:conditionalFormatting xmlns:xm="http://schemas.microsoft.com/office/excel/2006/main">
          <x14:cfRule type="iconSet" priority="222" id="{0EA71B1F-64E1-4539-BBBB-B91F0095CCD6}">
            <x14:iconSet iconSet="3TrafficLights2" reverse="1">
              <x14:cfvo type="percent">
                <xm:f>0</xm:f>
              </x14:cfvo>
              <x14:cfvo type="num" gte="0">
                <xm:f>'Modell-Kalibrierung'!$C$18</xm:f>
              </x14:cfvo>
              <x14:cfvo type="num">
                <xm:f>'Modell-Kalibrierung'!$C$20</xm:f>
              </x14:cfvo>
            </x14:iconSet>
          </x14:cfRule>
          <xm:sqref>K96</xm:sqref>
        </x14:conditionalFormatting>
        <x14:conditionalFormatting xmlns:xm="http://schemas.microsoft.com/office/excel/2006/main">
          <x14:cfRule type="iconSet" priority="221" id="{CCD075F9-BB49-4AE5-A534-E934DF4B55BE}">
            <x14:iconSet iconSet="3TrafficLights2" reverse="1">
              <x14:cfvo type="percent">
                <xm:f>0</xm:f>
              </x14:cfvo>
              <x14:cfvo type="num" gte="0">
                <xm:f>'Modell-Kalibrierung'!$C$18</xm:f>
              </x14:cfvo>
              <x14:cfvo type="num">
                <xm:f>'Modell-Kalibrierung'!$C$20</xm:f>
              </x14:cfvo>
            </x14:iconSet>
          </x14:cfRule>
          <xm:sqref>K97</xm:sqref>
        </x14:conditionalFormatting>
        <x14:conditionalFormatting xmlns:xm="http://schemas.microsoft.com/office/excel/2006/main">
          <x14:cfRule type="iconSet" priority="220" id="{7ECDD995-EEDC-40F8-8FEA-A2ACA7D118FB}">
            <x14:iconSet iconSet="3TrafficLights2" reverse="1">
              <x14:cfvo type="percent">
                <xm:f>0</xm:f>
              </x14:cfvo>
              <x14:cfvo type="num" gte="0">
                <xm:f>'Modell-Kalibrierung'!$C$18</xm:f>
              </x14:cfvo>
              <x14:cfvo type="num">
                <xm:f>'Modell-Kalibrierung'!$C$20</xm:f>
              </x14:cfvo>
            </x14:iconSet>
          </x14:cfRule>
          <xm:sqref>K99</xm:sqref>
        </x14:conditionalFormatting>
        <x14:conditionalFormatting xmlns:xm="http://schemas.microsoft.com/office/excel/2006/main">
          <x14:cfRule type="iconSet" priority="219" id="{4DD97A5F-A45C-4146-AED7-8493F2D6D28F}">
            <x14:iconSet iconSet="3TrafficLights2" reverse="1">
              <x14:cfvo type="percent">
                <xm:f>0</xm:f>
              </x14:cfvo>
              <x14:cfvo type="num" gte="0">
                <xm:f>'Modell-Kalibrierung'!$C$18</xm:f>
              </x14:cfvo>
              <x14:cfvo type="num">
                <xm:f>'Modell-Kalibrierung'!$C$20</xm:f>
              </x14:cfvo>
            </x14:iconSet>
          </x14:cfRule>
          <xm:sqref>K100</xm:sqref>
        </x14:conditionalFormatting>
        <x14:conditionalFormatting xmlns:xm="http://schemas.microsoft.com/office/excel/2006/main">
          <x14:cfRule type="iconSet" priority="218" id="{A7918531-FEE3-48B3-868C-8573C0F6B9E9}">
            <x14:iconSet iconSet="3TrafficLights2" reverse="1">
              <x14:cfvo type="percent">
                <xm:f>0</xm:f>
              </x14:cfvo>
              <x14:cfvo type="num" gte="0">
                <xm:f>'Modell-Kalibrierung'!$C$18</xm:f>
              </x14:cfvo>
              <x14:cfvo type="num">
                <xm:f>'Modell-Kalibrierung'!$C$20</xm:f>
              </x14:cfvo>
            </x14:iconSet>
          </x14:cfRule>
          <xm:sqref>K101</xm:sqref>
        </x14:conditionalFormatting>
        <x14:conditionalFormatting xmlns:xm="http://schemas.microsoft.com/office/excel/2006/main">
          <x14:cfRule type="iconSet" priority="217" id="{37D87375-A38D-4B7F-92AE-681AFF1DCD5D}">
            <x14:iconSet iconSet="3TrafficLights2" reverse="1">
              <x14:cfvo type="percent">
                <xm:f>0</xm:f>
              </x14:cfvo>
              <x14:cfvo type="num" gte="0">
                <xm:f>'Modell-Kalibrierung'!$C$18</xm:f>
              </x14:cfvo>
              <x14:cfvo type="num">
                <xm:f>'Modell-Kalibrierung'!$C$20</xm:f>
              </x14:cfvo>
            </x14:iconSet>
          </x14:cfRule>
          <xm:sqref>K102</xm:sqref>
        </x14:conditionalFormatting>
        <x14:conditionalFormatting xmlns:xm="http://schemas.microsoft.com/office/excel/2006/main">
          <x14:cfRule type="iconSet" priority="216" id="{F112D307-FF6A-4917-89BD-1FC0EC123956}">
            <x14:iconSet iconSet="3TrafficLights2" reverse="1">
              <x14:cfvo type="percent">
                <xm:f>0</xm:f>
              </x14:cfvo>
              <x14:cfvo type="num" gte="0">
                <xm:f>'Modell-Kalibrierung'!$C$18</xm:f>
              </x14:cfvo>
              <x14:cfvo type="num">
                <xm:f>'Modell-Kalibrierung'!$C$20</xm:f>
              </x14:cfvo>
            </x14:iconSet>
          </x14:cfRule>
          <xm:sqref>K103</xm:sqref>
        </x14:conditionalFormatting>
        <x14:conditionalFormatting xmlns:xm="http://schemas.microsoft.com/office/excel/2006/main">
          <x14:cfRule type="iconSet" priority="215" id="{D1598720-4F5F-4994-8599-ED9C7030BB6E}">
            <x14:iconSet iconSet="3TrafficLights2" reverse="1">
              <x14:cfvo type="percent">
                <xm:f>0</xm:f>
              </x14:cfvo>
              <x14:cfvo type="num" gte="0">
                <xm:f>'Modell-Kalibrierung'!$C$18</xm:f>
              </x14:cfvo>
              <x14:cfvo type="num">
                <xm:f>'Modell-Kalibrierung'!$C$20</xm:f>
              </x14:cfvo>
            </x14:iconSet>
          </x14:cfRule>
          <xm:sqref>K105</xm:sqref>
        </x14:conditionalFormatting>
        <x14:conditionalFormatting xmlns:xm="http://schemas.microsoft.com/office/excel/2006/main">
          <x14:cfRule type="iconSet" priority="214" id="{7FED9D60-C2B0-4F9C-9F6E-A9210391162B}">
            <x14:iconSet iconSet="3TrafficLights2" reverse="1">
              <x14:cfvo type="percent">
                <xm:f>0</xm:f>
              </x14:cfvo>
              <x14:cfvo type="num" gte="0">
                <xm:f>'Modell-Kalibrierung'!$C$18</xm:f>
              </x14:cfvo>
              <x14:cfvo type="num">
                <xm:f>'Modell-Kalibrierung'!$C$20</xm:f>
              </x14:cfvo>
            </x14:iconSet>
          </x14:cfRule>
          <xm:sqref>K106</xm:sqref>
        </x14:conditionalFormatting>
        <x14:conditionalFormatting xmlns:xm="http://schemas.microsoft.com/office/excel/2006/main">
          <x14:cfRule type="iconSet" priority="213" id="{AD5B3C4A-E3D0-426E-B4BA-A69CAC3E25AB}">
            <x14:iconSet iconSet="3TrafficLights2" reverse="1">
              <x14:cfvo type="percent">
                <xm:f>0</xm:f>
              </x14:cfvo>
              <x14:cfvo type="num" gte="0">
                <xm:f>'Modell-Kalibrierung'!$C$18</xm:f>
              </x14:cfvo>
              <x14:cfvo type="num">
                <xm:f>'Modell-Kalibrierung'!$C$20</xm:f>
              </x14:cfvo>
            </x14:iconSet>
          </x14:cfRule>
          <xm:sqref>K107</xm:sqref>
        </x14:conditionalFormatting>
        <x14:conditionalFormatting xmlns:xm="http://schemas.microsoft.com/office/excel/2006/main">
          <x14:cfRule type="iconSet" priority="212" id="{BB7A2821-B801-4D9A-ACB4-994A1267E5BE}">
            <x14:iconSet iconSet="3TrafficLights2" reverse="1">
              <x14:cfvo type="percent">
                <xm:f>0</xm:f>
              </x14:cfvo>
              <x14:cfvo type="num" gte="0">
                <xm:f>'Modell-Kalibrierung'!$C$18</xm:f>
              </x14:cfvo>
              <x14:cfvo type="num">
                <xm:f>'Modell-Kalibrierung'!$C$20</xm:f>
              </x14:cfvo>
            </x14:iconSet>
          </x14:cfRule>
          <xm:sqref>K108</xm:sqref>
        </x14:conditionalFormatting>
        <x14:conditionalFormatting xmlns:xm="http://schemas.microsoft.com/office/excel/2006/main">
          <x14:cfRule type="iconSet" priority="211" id="{272F86F3-7CF1-4DF7-BD14-F953A2CD46ED}">
            <x14:iconSet iconSet="3TrafficLights2" reverse="1">
              <x14:cfvo type="percent">
                <xm:f>0</xm:f>
              </x14:cfvo>
              <x14:cfvo type="num" gte="0">
                <xm:f>'Modell-Kalibrierung'!$C$18</xm:f>
              </x14:cfvo>
              <x14:cfvo type="num">
                <xm:f>'Modell-Kalibrierung'!$C$20</xm:f>
              </x14:cfvo>
            </x14:iconSet>
          </x14:cfRule>
          <xm:sqref>K109</xm:sqref>
        </x14:conditionalFormatting>
        <x14:conditionalFormatting xmlns:xm="http://schemas.microsoft.com/office/excel/2006/main">
          <x14:cfRule type="iconSet" priority="210" id="{9350B1F1-8B27-458D-B955-12A852BA0326}">
            <x14:iconSet iconSet="3TrafficLights2" reverse="1">
              <x14:cfvo type="percent">
                <xm:f>0</xm:f>
              </x14:cfvo>
              <x14:cfvo type="num" gte="0">
                <xm:f>'Modell-Kalibrierung'!$C$18</xm:f>
              </x14:cfvo>
              <x14:cfvo type="num">
                <xm:f>'Modell-Kalibrierung'!$C$20</xm:f>
              </x14:cfvo>
            </x14:iconSet>
          </x14:cfRule>
          <xm:sqref>K111</xm:sqref>
        </x14:conditionalFormatting>
        <x14:conditionalFormatting xmlns:xm="http://schemas.microsoft.com/office/excel/2006/main">
          <x14:cfRule type="iconSet" priority="209" id="{6EB0DCA1-5BC8-46C3-8AE8-C66E383B4B52}">
            <x14:iconSet iconSet="3TrafficLights2" reverse="1">
              <x14:cfvo type="percent">
                <xm:f>0</xm:f>
              </x14:cfvo>
              <x14:cfvo type="num" gte="0">
                <xm:f>'Modell-Kalibrierung'!$C$18</xm:f>
              </x14:cfvo>
              <x14:cfvo type="num">
                <xm:f>'Modell-Kalibrierung'!$C$20</xm:f>
              </x14:cfvo>
            </x14:iconSet>
          </x14:cfRule>
          <xm:sqref>K112</xm:sqref>
        </x14:conditionalFormatting>
        <x14:conditionalFormatting xmlns:xm="http://schemas.microsoft.com/office/excel/2006/main">
          <x14:cfRule type="iconSet" priority="208" id="{FD09845F-F185-4EC4-8FCF-2CBFF5D8851D}">
            <x14:iconSet iconSet="3TrafficLights2" reverse="1">
              <x14:cfvo type="percent">
                <xm:f>0</xm:f>
              </x14:cfvo>
              <x14:cfvo type="num" gte="0">
                <xm:f>'Modell-Kalibrierung'!$C$18</xm:f>
              </x14:cfvo>
              <x14:cfvo type="num">
                <xm:f>'Modell-Kalibrierung'!$C$20</xm:f>
              </x14:cfvo>
            </x14:iconSet>
          </x14:cfRule>
          <xm:sqref>K113</xm:sqref>
        </x14:conditionalFormatting>
        <x14:conditionalFormatting xmlns:xm="http://schemas.microsoft.com/office/excel/2006/main">
          <x14:cfRule type="iconSet" priority="207" id="{A7FFBE88-0855-4B23-8F2B-E2227FAB4005}">
            <x14:iconSet iconSet="3TrafficLights2" reverse="1">
              <x14:cfvo type="percent">
                <xm:f>0</xm:f>
              </x14:cfvo>
              <x14:cfvo type="num" gte="0">
                <xm:f>'Modell-Kalibrierung'!$C$18</xm:f>
              </x14:cfvo>
              <x14:cfvo type="num">
                <xm:f>'Modell-Kalibrierung'!$C$20</xm:f>
              </x14:cfvo>
            </x14:iconSet>
          </x14:cfRule>
          <xm:sqref>K114</xm:sqref>
        </x14:conditionalFormatting>
        <x14:conditionalFormatting xmlns:xm="http://schemas.microsoft.com/office/excel/2006/main">
          <x14:cfRule type="iconSet" priority="206" id="{F4DC2FE9-4760-4988-82D4-FE22BB6920A6}">
            <x14:iconSet iconSet="3TrafficLights2" reverse="1">
              <x14:cfvo type="percent">
                <xm:f>0</xm:f>
              </x14:cfvo>
              <x14:cfvo type="num" gte="0">
                <xm:f>'Modell-Kalibrierung'!$C$18</xm:f>
              </x14:cfvo>
              <x14:cfvo type="num">
                <xm:f>'Modell-Kalibrierung'!$C$20</xm:f>
              </x14:cfvo>
            </x14:iconSet>
          </x14:cfRule>
          <xm:sqref>K115</xm:sqref>
        </x14:conditionalFormatting>
        <x14:conditionalFormatting xmlns:xm="http://schemas.microsoft.com/office/excel/2006/main">
          <x14:cfRule type="iconSet" priority="205" id="{C7740501-A70B-434F-B1B2-E926B756A0A5}">
            <x14:iconSet iconSet="3TrafficLights2" reverse="1">
              <x14:cfvo type="percent">
                <xm:f>0</xm:f>
              </x14:cfvo>
              <x14:cfvo type="num" gte="0">
                <xm:f>'Modell-Kalibrierung'!$C$18</xm:f>
              </x14:cfvo>
              <x14:cfvo type="num">
                <xm:f>'Modell-Kalibrierung'!$C$20</xm:f>
              </x14:cfvo>
            </x14:iconSet>
          </x14:cfRule>
          <xm:sqref>K117</xm:sqref>
        </x14:conditionalFormatting>
        <x14:conditionalFormatting xmlns:xm="http://schemas.microsoft.com/office/excel/2006/main">
          <x14:cfRule type="iconSet" priority="204" id="{E4E4BBA5-EFD6-4E0B-81B6-A166C55B074E}">
            <x14:iconSet iconSet="3TrafficLights2" reverse="1">
              <x14:cfvo type="percent">
                <xm:f>0</xm:f>
              </x14:cfvo>
              <x14:cfvo type="num" gte="0">
                <xm:f>'Modell-Kalibrierung'!$C$18</xm:f>
              </x14:cfvo>
              <x14:cfvo type="num">
                <xm:f>'Modell-Kalibrierung'!$C$20</xm:f>
              </x14:cfvo>
            </x14:iconSet>
          </x14:cfRule>
          <xm:sqref>K118</xm:sqref>
        </x14:conditionalFormatting>
        <x14:conditionalFormatting xmlns:xm="http://schemas.microsoft.com/office/excel/2006/main">
          <x14:cfRule type="iconSet" priority="203" id="{D1F144A5-EA16-4867-A635-38C45877105D}">
            <x14:iconSet iconSet="3TrafficLights2" reverse="1">
              <x14:cfvo type="percent">
                <xm:f>0</xm:f>
              </x14:cfvo>
              <x14:cfvo type="num" gte="0">
                <xm:f>'Modell-Kalibrierung'!$C$18</xm:f>
              </x14:cfvo>
              <x14:cfvo type="num">
                <xm:f>'Modell-Kalibrierung'!$C$20</xm:f>
              </x14:cfvo>
            </x14:iconSet>
          </x14:cfRule>
          <xm:sqref>K119</xm:sqref>
        </x14:conditionalFormatting>
        <x14:conditionalFormatting xmlns:xm="http://schemas.microsoft.com/office/excel/2006/main">
          <x14:cfRule type="iconSet" priority="202" id="{2FD3E137-49EB-466B-AE2E-36C12625BE98}">
            <x14:iconSet iconSet="3TrafficLights2" reverse="1">
              <x14:cfvo type="percent">
                <xm:f>0</xm:f>
              </x14:cfvo>
              <x14:cfvo type="num" gte="0">
                <xm:f>'Modell-Kalibrierung'!$C$18</xm:f>
              </x14:cfvo>
              <x14:cfvo type="num">
                <xm:f>'Modell-Kalibrierung'!$C$20</xm:f>
              </x14:cfvo>
            </x14:iconSet>
          </x14:cfRule>
          <xm:sqref>K120</xm:sqref>
        </x14:conditionalFormatting>
        <x14:conditionalFormatting xmlns:xm="http://schemas.microsoft.com/office/excel/2006/main">
          <x14:cfRule type="iconSet" priority="201" id="{BFE58692-87D2-4318-BDD6-C8208251AC8E}">
            <x14:iconSet iconSet="3TrafficLights2" reverse="1">
              <x14:cfvo type="percent">
                <xm:f>0</xm:f>
              </x14:cfvo>
              <x14:cfvo type="num" gte="0">
                <xm:f>'Modell-Kalibrierung'!$C$18</xm:f>
              </x14:cfvo>
              <x14:cfvo type="num">
                <xm:f>'Modell-Kalibrierung'!$C$20</xm:f>
              </x14:cfvo>
            </x14:iconSet>
          </x14:cfRule>
          <xm:sqref>K121</xm:sqref>
        </x14:conditionalFormatting>
        <x14:conditionalFormatting xmlns:xm="http://schemas.microsoft.com/office/excel/2006/main">
          <x14:cfRule type="cellIs" priority="148" operator="equal" id="{C3214435-21CE-40CB-9968-273A7FF67ED7}">
            <xm:f>'Modell-Kalibrierung'!$B$16</xm:f>
            <x14:dxf>
              <fill>
                <patternFill>
                  <bgColor theme="0"/>
                </patternFill>
              </fill>
            </x14:dxf>
          </x14:cfRule>
          <xm:sqref>I48:I49</xm:sqref>
        </x14:conditionalFormatting>
        <x14:conditionalFormatting xmlns:xm="http://schemas.microsoft.com/office/excel/2006/main">
          <x14:cfRule type="cellIs" priority="141" operator="equal" id="{2B4381CC-68BF-4508-9149-C12A640F6B8B}">
            <xm:f>'Modell-Kalibrierung'!$B$16</xm:f>
            <x14:dxf>
              <fill>
                <patternFill>
                  <bgColor theme="0"/>
                </patternFill>
              </fill>
            </x14:dxf>
          </x14:cfRule>
          <xm:sqref>G48:G49</xm:sqref>
        </x14:conditionalFormatting>
        <x14:conditionalFormatting xmlns:xm="http://schemas.microsoft.com/office/excel/2006/main">
          <x14:cfRule type="cellIs" priority="128" operator="equal" id="{2A60D436-A1BC-4EC5-96C7-B441A3CD3C43}">
            <xm:f>'Modell-Kalibrierung'!$B$16</xm:f>
            <x14:dxf>
              <fill>
                <patternFill>
                  <bgColor theme="0"/>
                </patternFill>
              </fill>
            </x14:dxf>
          </x14:cfRule>
          <xm:sqref>I45:I47</xm:sqref>
        </x14:conditionalFormatting>
        <x14:conditionalFormatting xmlns:xm="http://schemas.microsoft.com/office/excel/2006/main">
          <x14:cfRule type="cellIs" priority="121" operator="equal" id="{41FF3444-60CD-465E-9553-930034FC8B1A}">
            <xm:f>'Modell-Kalibrierung'!$B$16</xm:f>
            <x14:dxf>
              <fill>
                <patternFill>
                  <bgColor theme="0"/>
                </patternFill>
              </fill>
            </x14:dxf>
          </x14:cfRule>
          <xm:sqref>G45:G47</xm:sqref>
        </x14:conditionalFormatting>
        <x14:conditionalFormatting xmlns:xm="http://schemas.microsoft.com/office/excel/2006/main">
          <x14:cfRule type="cellIs" priority="108" operator="equal" id="{7E1A524D-15EA-47EF-912A-A8A32CA29EE4}">
            <xm:f>'Modell-Kalibrierung'!$B$16</xm:f>
            <x14:dxf>
              <fill>
                <patternFill>
                  <bgColor theme="0"/>
                </patternFill>
              </fill>
            </x14:dxf>
          </x14:cfRule>
          <xm:sqref>I54:I55</xm:sqref>
        </x14:conditionalFormatting>
        <x14:conditionalFormatting xmlns:xm="http://schemas.microsoft.com/office/excel/2006/main">
          <x14:cfRule type="cellIs" priority="101" operator="equal" id="{AAB48B06-1F5E-4458-BE5F-7CE40503EE30}">
            <xm:f>'Modell-Kalibrierung'!$B$16</xm:f>
            <x14:dxf>
              <fill>
                <patternFill>
                  <bgColor theme="0"/>
                </patternFill>
              </fill>
            </x14:dxf>
          </x14:cfRule>
          <xm:sqref>G54:G55</xm:sqref>
        </x14:conditionalFormatting>
        <x14:conditionalFormatting xmlns:xm="http://schemas.microsoft.com/office/excel/2006/main">
          <x14:cfRule type="cellIs" priority="88" operator="equal" id="{74753EE4-4917-41B9-8769-7DE6724FD506}">
            <xm:f>'Modell-Kalibrierung'!$B$16</xm:f>
            <x14:dxf>
              <fill>
                <patternFill>
                  <bgColor theme="0"/>
                </patternFill>
              </fill>
            </x14:dxf>
          </x14:cfRule>
          <xm:sqref>I51:I53</xm:sqref>
        </x14:conditionalFormatting>
        <x14:conditionalFormatting xmlns:xm="http://schemas.microsoft.com/office/excel/2006/main">
          <x14:cfRule type="cellIs" priority="81" operator="equal" id="{FF1D385F-09D4-473A-B84E-3267C719B5F2}">
            <xm:f>'Modell-Kalibrierung'!$B$16</xm:f>
            <x14:dxf>
              <fill>
                <patternFill>
                  <bgColor theme="0"/>
                </patternFill>
              </fill>
            </x14:dxf>
          </x14:cfRule>
          <xm:sqref>G51:G53</xm:sqref>
        </x14:conditionalFormatting>
        <x14:conditionalFormatting xmlns:xm="http://schemas.microsoft.com/office/excel/2006/main">
          <x14:cfRule type="cellIs" priority="68" operator="equal" id="{80F45E25-584C-49D1-A816-B0FA6A1475F5}">
            <xm:f>'Modell-Kalibrierung'!$B$16</xm:f>
            <x14:dxf>
              <fill>
                <patternFill>
                  <bgColor theme="0"/>
                </patternFill>
              </fill>
            </x14:dxf>
          </x14:cfRule>
          <xm:sqref>I60:I61</xm:sqref>
        </x14:conditionalFormatting>
        <x14:conditionalFormatting xmlns:xm="http://schemas.microsoft.com/office/excel/2006/main">
          <x14:cfRule type="cellIs" priority="61" operator="equal" id="{D5FED050-B075-4724-9656-BE5D0B49FF1B}">
            <xm:f>'Modell-Kalibrierung'!$B$16</xm:f>
            <x14:dxf>
              <fill>
                <patternFill>
                  <bgColor theme="0"/>
                </patternFill>
              </fill>
            </x14:dxf>
          </x14:cfRule>
          <xm:sqref>G60:G61</xm:sqref>
        </x14:conditionalFormatting>
        <x14:conditionalFormatting xmlns:xm="http://schemas.microsoft.com/office/excel/2006/main">
          <x14:cfRule type="cellIs" priority="48" operator="equal" id="{C69702BE-624E-4574-88F4-A49E68B04A15}">
            <xm:f>'Modell-Kalibrierung'!$B$16</xm:f>
            <x14:dxf>
              <fill>
                <patternFill>
                  <bgColor theme="0"/>
                </patternFill>
              </fill>
            </x14:dxf>
          </x14:cfRule>
          <xm:sqref>I57:I59</xm:sqref>
        </x14:conditionalFormatting>
        <x14:conditionalFormatting xmlns:xm="http://schemas.microsoft.com/office/excel/2006/main">
          <x14:cfRule type="cellIs" priority="41" operator="equal" id="{A5438396-8CEA-4580-95CA-0211E3E905C2}">
            <xm:f>'Modell-Kalibrierung'!$B$16</xm:f>
            <x14:dxf>
              <fill>
                <patternFill>
                  <bgColor theme="0"/>
                </patternFill>
              </fill>
            </x14:dxf>
          </x14:cfRule>
          <xm:sqref>G57:G59</xm:sqref>
        </x14:conditionalFormatting>
        <x14:conditionalFormatting xmlns:xm="http://schemas.microsoft.com/office/excel/2006/main">
          <x14:cfRule type="cellIs" priority="28" operator="equal" id="{85E26521-0DEB-43CE-A582-8EF5E271E325}">
            <xm:f>'Modell-Kalibrierung'!$B$16</xm:f>
            <x14:dxf>
              <fill>
                <patternFill>
                  <bgColor theme="0"/>
                </patternFill>
              </fill>
            </x14:dxf>
          </x14:cfRule>
          <xm:sqref>I36:I37</xm:sqref>
        </x14:conditionalFormatting>
        <x14:conditionalFormatting xmlns:xm="http://schemas.microsoft.com/office/excel/2006/main">
          <x14:cfRule type="cellIs" priority="21" operator="equal" id="{622BC215-D3BA-40CC-8C33-E6ADCFA532DD}">
            <xm:f>'Modell-Kalibrierung'!$B$16</xm:f>
            <x14:dxf>
              <fill>
                <patternFill>
                  <bgColor theme="0"/>
                </patternFill>
              </fill>
            </x14:dxf>
          </x14:cfRule>
          <xm:sqref>G36:G37</xm:sqref>
        </x14:conditionalFormatting>
        <x14:conditionalFormatting xmlns:xm="http://schemas.microsoft.com/office/excel/2006/main">
          <x14:cfRule type="cellIs" priority="8" operator="equal" id="{F8BEBF37-2B51-4B55-967C-B539D12F6647}">
            <xm:f>'Modell-Kalibrierung'!$B$16</xm:f>
            <x14:dxf>
              <fill>
                <patternFill>
                  <bgColor theme="0"/>
                </patternFill>
              </fill>
            </x14:dxf>
          </x14:cfRule>
          <xm:sqref>I33:I35</xm:sqref>
        </x14:conditionalFormatting>
        <x14:conditionalFormatting xmlns:xm="http://schemas.microsoft.com/office/excel/2006/main">
          <x14:cfRule type="cellIs" priority="1" operator="equal" id="{B8F4FFCF-5F9D-4A7C-9776-910E3FAA9792}">
            <xm:f>'Modell-Kalibrierung'!$B$16</xm:f>
            <x14:dxf>
              <fill>
                <patternFill>
                  <bgColor theme="0"/>
                </patternFill>
              </fill>
            </x14:dxf>
          </x14:cfRule>
          <xm:sqref>G33:G35</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'Modell-Kalibrierung'!$B$3:$B$8</xm:f>
          </x14:formula1>
          <xm:sqref>H117:H121 H39:H43 H57:H61 H45:H49 H51:H55 H63:H67 H69:H73 H87:H91 H81:H85 H75:H79 H99:H103 H93:H97 H111:H115 H105:H109 H33:H37</xm:sqref>
        </x14:dataValidation>
        <x14:dataValidation type="list" allowBlank="1" showInputMessage="1" showErrorMessage="1">
          <x14:formula1>
            <xm:f>'Modell-Kalibrierung'!$B$16:$B$22</xm:f>
          </x14:formula1>
          <xm:sqref>G117:G121 I117:I121 G39:G43 I39:I43 I57:I61 G57:G61 I45:I49 G45:G49 I51:I55 G51:G55 I63:I67 G63:G67 G69:G73 I69:I73 I87:I91 G87:G91 G81:G85 I81:I85 I75:I79 G75:G79 I99:I103 G99:G103 G93:G97 I93:I97 I111:I115 G111:G115 G105:G109 I105:I109 I33:I37 G33:G37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rgb="FFC00000"/>
  </sheetPr>
  <dimension ref="A1:H2000"/>
  <sheetViews>
    <sheetView workbookViewId="0">
      <selection activeCell="H1970" sqref="H1970"/>
    </sheetView>
  </sheetViews>
  <sheetFormatPr baseColWidth="10" defaultRowHeight="14.25" x14ac:dyDescent="0.2"/>
  <cols>
    <col min="1" max="1" width="18.875" customWidth="1"/>
    <col min="2" max="2" width="25.25" customWidth="1"/>
    <col min="3" max="3" width="20.875" customWidth="1"/>
    <col min="4" max="4" width="21.625" customWidth="1"/>
    <col min="5" max="6" width="13.375" bestFit="1" customWidth="1"/>
    <col min="7" max="7" width="9.375" customWidth="1"/>
  </cols>
  <sheetData>
    <row r="1" spans="1:8" x14ac:dyDescent="0.2">
      <c r="A1" t="s">
        <v>44</v>
      </c>
      <c r="C1" t="s">
        <v>23</v>
      </c>
      <c r="E1" t="s">
        <v>68</v>
      </c>
      <c r="F1" t="s">
        <v>41</v>
      </c>
      <c r="G1" t="s">
        <v>87</v>
      </c>
      <c r="H1" t="s">
        <v>88</v>
      </c>
    </row>
    <row r="2" spans="1:8" x14ac:dyDescent="0.2">
      <c r="A2" t="s">
        <v>84</v>
      </c>
      <c r="B2" t="s">
        <v>85</v>
      </c>
      <c r="C2">
        <v>0</v>
      </c>
      <c r="D2" t="s">
        <v>86</v>
      </c>
      <c r="E2">
        <v>0</v>
      </c>
      <c r="G2" t="e">
        <f>IF(C2="","",(C2/AVERAGE($C$2:C35563)))</f>
        <v>#DIV/0!</v>
      </c>
      <c r="H2" t="e">
        <f>IF(C2="","",(C2/MEDIAN($C$2:D35563)))</f>
        <v>#DIV/0!</v>
      </c>
    </row>
    <row r="3" spans="1:8" x14ac:dyDescent="0.2">
      <c r="A3" t="s">
        <v>69</v>
      </c>
      <c r="B3" t="s">
        <v>70</v>
      </c>
      <c r="C3">
        <v>0</v>
      </c>
      <c r="D3" t="s">
        <v>71</v>
      </c>
      <c r="E3">
        <v>0</v>
      </c>
      <c r="G3" t="e">
        <f>IF(C3="","",(C3/AVERAGE($C$2:C35564)))</f>
        <v>#DIV/0!</v>
      </c>
      <c r="H3" t="e">
        <f>IF(C3="","",(C3/MEDIAN($C$2:D35564)))</f>
        <v>#DIV/0!</v>
      </c>
    </row>
    <row r="4" spans="1:8" x14ac:dyDescent="0.2">
      <c r="A4" t="s">
        <v>79</v>
      </c>
      <c r="B4" t="s">
        <v>80</v>
      </c>
      <c r="C4">
        <v>0</v>
      </c>
      <c r="D4" t="s">
        <v>81</v>
      </c>
      <c r="E4">
        <v>0</v>
      </c>
      <c r="G4" t="e">
        <f>IF(C4="","",(C4/AVERAGE($C$2:C35565)))</f>
        <v>#DIV/0!</v>
      </c>
      <c r="H4" t="e">
        <f>IF(C4="","",(C4/MEDIAN($C$2:D35565)))</f>
        <v>#DIV/0!</v>
      </c>
    </row>
    <row r="5" spans="1:8" x14ac:dyDescent="0.2">
      <c r="A5" t="s">
        <v>89</v>
      </c>
      <c r="B5" t="s">
        <v>90</v>
      </c>
      <c r="C5">
        <v>0</v>
      </c>
      <c r="D5" t="s">
        <v>91</v>
      </c>
      <c r="E5">
        <v>0</v>
      </c>
      <c r="G5" t="e">
        <f>IF(C5="","",(C5/AVERAGE($C$2:C35566)))</f>
        <v>#DIV/0!</v>
      </c>
      <c r="H5" t="e">
        <f>IF(C5="","",(C5/MEDIAN($C$2:D35566)))</f>
        <v>#DIV/0!</v>
      </c>
    </row>
    <row r="6" spans="1:8" x14ac:dyDescent="0.2">
      <c r="G6" t="str">
        <f>IF(C6="","",(C6/AVERAGE($C$2:C35567)))</f>
        <v/>
      </c>
      <c r="H6" t="str">
        <f>IF(C6="","",(C6/MEDIAN($C$2:D35567)))</f>
        <v/>
      </c>
    </row>
    <row r="7" spans="1:8" x14ac:dyDescent="0.2">
      <c r="G7" t="str">
        <f>IF(C7="","",(C7/AVERAGE($C$2:C35568)))</f>
        <v/>
      </c>
      <c r="H7" t="str">
        <f>IF(C7="","",(C7/MEDIAN($C$2:D35568)))</f>
        <v/>
      </c>
    </row>
    <row r="8" spans="1:8" x14ac:dyDescent="0.2">
      <c r="G8" t="str">
        <f>IF(C8="","",(C8/AVERAGE($C$2:C35569)))</f>
        <v/>
      </c>
      <c r="H8" t="str">
        <f>IF(C8="","",(C8/MEDIAN($C$2:D35569)))</f>
        <v/>
      </c>
    </row>
    <row r="9" spans="1:8" x14ac:dyDescent="0.2">
      <c r="G9" t="str">
        <f>IF(C9="","",(C9/AVERAGE($C$2:C35570)))</f>
        <v/>
      </c>
      <c r="H9" t="str">
        <f>IF(C9="","",(C9/MEDIAN($C$2:D35570)))</f>
        <v/>
      </c>
    </row>
    <row r="10" spans="1:8" x14ac:dyDescent="0.2">
      <c r="G10" t="str">
        <f>IF(C10="","",(C10/AVERAGE($C$2:C35571)))</f>
        <v/>
      </c>
      <c r="H10" t="str">
        <f>IF(C10="","",(C10/MEDIAN($C$2:D35571)))</f>
        <v/>
      </c>
    </row>
    <row r="11" spans="1:8" x14ac:dyDescent="0.2">
      <c r="G11" t="str">
        <f>IF(C11="","",(C11/AVERAGE($C$2:C35572)))</f>
        <v/>
      </c>
      <c r="H11" t="str">
        <f>IF(C11="","",(C11/MEDIAN($C$2:D35572)))</f>
        <v/>
      </c>
    </row>
    <row r="12" spans="1:8" x14ac:dyDescent="0.2">
      <c r="G12" t="str">
        <f>IF(C12="","",(C12/AVERAGE($C$2:C35573)))</f>
        <v/>
      </c>
      <c r="H12" t="str">
        <f>IF(C12="","",(C12/MEDIAN($C$2:D35573)))</f>
        <v/>
      </c>
    </row>
    <row r="13" spans="1:8" x14ac:dyDescent="0.2">
      <c r="G13" t="str">
        <f>IF(C13="","",(C13/AVERAGE($C$2:C35574)))</f>
        <v/>
      </c>
      <c r="H13" t="str">
        <f>IF(C13="","",(C13/MEDIAN($C$2:D35574)))</f>
        <v/>
      </c>
    </row>
    <row r="14" spans="1:8" x14ac:dyDescent="0.2">
      <c r="G14" t="str">
        <f>IF(C14="","",(C14/AVERAGE($C$2:C35575)))</f>
        <v/>
      </c>
      <c r="H14" t="str">
        <f>IF(C14="","",(C14/MEDIAN($C$2:D35575)))</f>
        <v/>
      </c>
    </row>
    <row r="15" spans="1:8" x14ac:dyDescent="0.2">
      <c r="G15" t="str">
        <f>IF(C15="","",(C15/AVERAGE($C$2:C35576)))</f>
        <v/>
      </c>
      <c r="H15" t="str">
        <f>IF(C15="","",(C15/MEDIAN($C$2:D35576)))</f>
        <v/>
      </c>
    </row>
    <row r="16" spans="1:8" x14ac:dyDescent="0.2">
      <c r="G16" t="str">
        <f>IF(C16="","",(C16/AVERAGE($C$2:C35577)))</f>
        <v/>
      </c>
      <c r="H16" t="str">
        <f>IF(C16="","",(C16/MEDIAN($C$2:D35577)))</f>
        <v/>
      </c>
    </row>
    <row r="17" spans="7:8" x14ac:dyDescent="0.2">
      <c r="G17" t="str">
        <f>IF(C17="","",(C17/AVERAGE($C$2:C35578)))</f>
        <v/>
      </c>
      <c r="H17" t="str">
        <f>IF(C17="","",(C17/MEDIAN($C$2:D35578)))</f>
        <v/>
      </c>
    </row>
    <row r="18" spans="7:8" x14ac:dyDescent="0.2">
      <c r="G18" t="str">
        <f>IF(C18="","",(C18/AVERAGE($C$2:C35579)))</f>
        <v/>
      </c>
      <c r="H18" t="str">
        <f>IF(C18="","",(C18/MEDIAN($C$2:D35579)))</f>
        <v/>
      </c>
    </row>
    <row r="19" spans="7:8" x14ac:dyDescent="0.2">
      <c r="G19" t="str">
        <f>IF(C19="","",(C19/AVERAGE($C$2:C35580)))</f>
        <v/>
      </c>
      <c r="H19" t="str">
        <f>IF(C19="","",(C19/MEDIAN($C$2:D35580)))</f>
        <v/>
      </c>
    </row>
    <row r="20" spans="7:8" x14ac:dyDescent="0.2">
      <c r="G20" t="str">
        <f>IF(C20="","",(C20/AVERAGE($C$2:C35581)))</f>
        <v/>
      </c>
      <c r="H20" t="str">
        <f>IF(C20="","",(C20/MEDIAN($C$2:D35581)))</f>
        <v/>
      </c>
    </row>
    <row r="21" spans="7:8" x14ac:dyDescent="0.2">
      <c r="G21" t="str">
        <f>IF(C21="","",(C21/AVERAGE($C$2:C35582)))</f>
        <v/>
      </c>
      <c r="H21" t="str">
        <f>IF(C21="","",(C21/MEDIAN($C$2:D35582)))</f>
        <v/>
      </c>
    </row>
    <row r="22" spans="7:8" x14ac:dyDescent="0.2">
      <c r="G22" t="str">
        <f>IF(C22="","",(C22/AVERAGE($C$2:C35583)))</f>
        <v/>
      </c>
      <c r="H22" t="str">
        <f>IF(C22="","",(C22/MEDIAN($C$2:D35583)))</f>
        <v/>
      </c>
    </row>
    <row r="23" spans="7:8" x14ac:dyDescent="0.2">
      <c r="G23" t="str">
        <f>IF(C23="","",(C23/AVERAGE($C$2:C35584)))</f>
        <v/>
      </c>
      <c r="H23" t="str">
        <f>IF(C23="","",(C23/MEDIAN($C$2:D35584)))</f>
        <v/>
      </c>
    </row>
    <row r="24" spans="7:8" x14ac:dyDescent="0.2">
      <c r="G24" t="str">
        <f>IF(C24="","",(C24/AVERAGE($C$2:C35585)))</f>
        <v/>
      </c>
      <c r="H24" t="str">
        <f>IF(C24="","",(C24/MEDIAN($C$2:D35585)))</f>
        <v/>
      </c>
    </row>
    <row r="25" spans="7:8" x14ac:dyDescent="0.2">
      <c r="G25" t="str">
        <f>IF(C25="","",(C25/AVERAGE($C$2:C35586)))</f>
        <v/>
      </c>
      <c r="H25" t="str">
        <f>IF(C25="","",(C25/MEDIAN($C$2:D35586)))</f>
        <v/>
      </c>
    </row>
    <row r="26" spans="7:8" x14ac:dyDescent="0.2">
      <c r="G26" t="str">
        <f>IF(C26="","",(C26/AVERAGE($C$2:C35587)))</f>
        <v/>
      </c>
      <c r="H26" t="str">
        <f>IF(C26="","",(C26/MEDIAN($C$2:D35587)))</f>
        <v/>
      </c>
    </row>
    <row r="27" spans="7:8" x14ac:dyDescent="0.2">
      <c r="G27" t="str">
        <f>IF(C27="","",(C27/AVERAGE($C$2:C35588)))</f>
        <v/>
      </c>
      <c r="H27" t="str">
        <f>IF(C27="","",(C27/MEDIAN($C$2:D35588)))</f>
        <v/>
      </c>
    </row>
    <row r="28" spans="7:8" x14ac:dyDescent="0.2">
      <c r="G28" t="str">
        <f>IF(C28="","",(C28/AVERAGE($C$2:C35589)))</f>
        <v/>
      </c>
      <c r="H28" t="str">
        <f>IF(C28="","",(C28/MEDIAN($C$2:D35589)))</f>
        <v/>
      </c>
    </row>
    <row r="29" spans="7:8" x14ac:dyDescent="0.2">
      <c r="G29" t="str">
        <f>IF(C29="","",(C29/AVERAGE($C$2:C35590)))</f>
        <v/>
      </c>
      <c r="H29" t="str">
        <f>IF(C29="","",(C29/MEDIAN($C$2:D35590)))</f>
        <v/>
      </c>
    </row>
    <row r="30" spans="7:8" x14ac:dyDescent="0.2">
      <c r="G30" t="str">
        <f>IF(C30="","",(C30/AVERAGE($C$2:C35591)))</f>
        <v/>
      </c>
      <c r="H30" t="str">
        <f>IF(C30="","",(C30/MEDIAN($C$2:D35591)))</f>
        <v/>
      </c>
    </row>
    <row r="31" spans="7:8" x14ac:dyDescent="0.2">
      <c r="G31" t="str">
        <f>IF(C31="","",(C31/AVERAGE($C$2:C35592)))</f>
        <v/>
      </c>
      <c r="H31" t="str">
        <f>IF(C31="","",(C31/MEDIAN($C$2:D35592)))</f>
        <v/>
      </c>
    </row>
    <row r="32" spans="7:8" x14ac:dyDescent="0.2">
      <c r="G32" t="str">
        <f>IF(C32="","",(C32/AVERAGE($C$2:C35593)))</f>
        <v/>
      </c>
      <c r="H32" t="str">
        <f>IF(C32="","",(C32/MEDIAN($C$2:D35593)))</f>
        <v/>
      </c>
    </row>
    <row r="33" spans="7:8" x14ac:dyDescent="0.2">
      <c r="G33" t="str">
        <f>IF(C33="","",(C33/AVERAGE($C$2:C35594)))</f>
        <v/>
      </c>
      <c r="H33" t="str">
        <f>IF(C33="","",(C33/MEDIAN($C$2:D35594)))</f>
        <v/>
      </c>
    </row>
    <row r="34" spans="7:8" x14ac:dyDescent="0.2">
      <c r="G34" t="str">
        <f>IF(C34="","",(C34/AVERAGE($C$2:C35595)))</f>
        <v/>
      </c>
      <c r="H34" t="str">
        <f>IF(C34="","",(C34/MEDIAN($C$2:D35595)))</f>
        <v/>
      </c>
    </row>
    <row r="35" spans="7:8" x14ac:dyDescent="0.2">
      <c r="G35" t="str">
        <f>IF(C35="","",(C35/AVERAGE($C$2:C35596)))</f>
        <v/>
      </c>
      <c r="H35" t="str">
        <f>IF(C35="","",(C35/MEDIAN($C$2:D35596)))</f>
        <v/>
      </c>
    </row>
    <row r="36" spans="7:8" x14ac:dyDescent="0.2">
      <c r="G36" t="str">
        <f>IF(C36="","",(C36/AVERAGE($C$2:C35597)))</f>
        <v/>
      </c>
      <c r="H36" t="str">
        <f>IF(C36="","",(C36/MEDIAN($C$2:D35597)))</f>
        <v/>
      </c>
    </row>
    <row r="37" spans="7:8" x14ac:dyDescent="0.2">
      <c r="G37" t="str">
        <f>IF(C37="","",(C37/AVERAGE($C$2:C35598)))</f>
        <v/>
      </c>
      <c r="H37" t="str">
        <f>IF(C37="","",(C37/MEDIAN($C$2:D35598)))</f>
        <v/>
      </c>
    </row>
    <row r="38" spans="7:8" x14ac:dyDescent="0.2">
      <c r="G38" t="str">
        <f>IF(C38="","",(C38/AVERAGE($C$2:C35599)))</f>
        <v/>
      </c>
      <c r="H38" t="str">
        <f>IF(C38="","",(C38/MEDIAN($C$2:D35599)))</f>
        <v/>
      </c>
    </row>
    <row r="39" spans="7:8" x14ac:dyDescent="0.2">
      <c r="G39" t="str">
        <f>IF(C39="","",(C39/AVERAGE($C$2:C35600)))</f>
        <v/>
      </c>
      <c r="H39" t="str">
        <f>IF(C39="","",(C39/MEDIAN($C$2:D35600)))</f>
        <v/>
      </c>
    </row>
    <row r="40" spans="7:8" x14ac:dyDescent="0.2">
      <c r="G40" t="str">
        <f>IF(C40="","",(C40/AVERAGE($C$2:C35601)))</f>
        <v/>
      </c>
      <c r="H40" t="str">
        <f>IF(C40="","",(C40/MEDIAN($C$2:D35601)))</f>
        <v/>
      </c>
    </row>
    <row r="41" spans="7:8" x14ac:dyDescent="0.2">
      <c r="G41" t="str">
        <f>IF(C41="","",(C41/AVERAGE($C$2:C35602)))</f>
        <v/>
      </c>
      <c r="H41" t="str">
        <f>IF(C41="","",(C41/MEDIAN($C$2:D35602)))</f>
        <v/>
      </c>
    </row>
    <row r="42" spans="7:8" x14ac:dyDescent="0.2">
      <c r="G42" t="str">
        <f>IF(C42="","",(C42/AVERAGE($C$2:C35603)))</f>
        <v/>
      </c>
      <c r="H42" t="str">
        <f>IF(C42="","",(C42/MEDIAN($C$2:D35603)))</f>
        <v/>
      </c>
    </row>
    <row r="43" spans="7:8" x14ac:dyDescent="0.2">
      <c r="G43" t="str">
        <f>IF(C43="","",(C43/AVERAGE($C$2:C35604)))</f>
        <v/>
      </c>
      <c r="H43" t="str">
        <f>IF(C43="","",(C43/MEDIAN($C$2:D35604)))</f>
        <v/>
      </c>
    </row>
    <row r="44" spans="7:8" x14ac:dyDescent="0.2">
      <c r="G44" t="str">
        <f>IF(C44="","",(C44/AVERAGE($C$2:C35605)))</f>
        <v/>
      </c>
      <c r="H44" t="str">
        <f>IF(C44="","",(C44/MEDIAN($C$2:D35605)))</f>
        <v/>
      </c>
    </row>
    <row r="45" spans="7:8" x14ac:dyDescent="0.2">
      <c r="G45" t="str">
        <f>IF(C45="","",(C45/AVERAGE($C$2:C35606)))</f>
        <v/>
      </c>
      <c r="H45" t="str">
        <f>IF(C45="","",(C45/MEDIAN($C$2:D35606)))</f>
        <v/>
      </c>
    </row>
    <row r="46" spans="7:8" x14ac:dyDescent="0.2">
      <c r="G46" t="str">
        <f>IF(C46="","",(C46/AVERAGE($C$2:C35607)))</f>
        <v/>
      </c>
      <c r="H46" t="str">
        <f>IF(C46="","",(C46/MEDIAN($C$2:D35607)))</f>
        <v/>
      </c>
    </row>
    <row r="47" spans="7:8" x14ac:dyDescent="0.2">
      <c r="G47" t="str">
        <f>IF(C47="","",(C47/AVERAGE($C$2:C35608)))</f>
        <v/>
      </c>
      <c r="H47" t="str">
        <f>IF(C47="","",(C47/MEDIAN($C$2:D35608)))</f>
        <v/>
      </c>
    </row>
    <row r="48" spans="7:8" x14ac:dyDescent="0.2">
      <c r="G48" t="str">
        <f>IF(C48="","",(C48/AVERAGE($C$2:C35609)))</f>
        <v/>
      </c>
      <c r="H48" t="str">
        <f>IF(C48="","",(C48/MEDIAN($C$2:D35609)))</f>
        <v/>
      </c>
    </row>
    <row r="49" spans="7:8" x14ac:dyDescent="0.2">
      <c r="G49" t="str">
        <f>IF(C49="","",(C49/AVERAGE($C$2:C35610)))</f>
        <v/>
      </c>
      <c r="H49" t="str">
        <f>IF(C49="","",(C49/MEDIAN($C$2:D35610)))</f>
        <v/>
      </c>
    </row>
    <row r="50" spans="7:8" x14ac:dyDescent="0.2">
      <c r="G50" t="str">
        <f>IF(C50="","",(C50/AVERAGE($C$2:C35611)))</f>
        <v/>
      </c>
      <c r="H50" t="str">
        <f>IF(C50="","",(C50/MEDIAN($C$2:D35611)))</f>
        <v/>
      </c>
    </row>
    <row r="51" spans="7:8" x14ac:dyDescent="0.2">
      <c r="G51" t="str">
        <f>IF(C51="","",(C51/AVERAGE($C$2:C35612)))</f>
        <v/>
      </c>
      <c r="H51" t="str">
        <f>IF(C51="","",(C51/MEDIAN($C$2:D35612)))</f>
        <v/>
      </c>
    </row>
    <row r="52" spans="7:8" x14ac:dyDescent="0.2">
      <c r="G52" t="str">
        <f>IF(C52="","",(C52/AVERAGE($C$2:C35613)))</f>
        <v/>
      </c>
      <c r="H52" t="str">
        <f>IF(C52="","",(C52/MEDIAN($C$2:D35613)))</f>
        <v/>
      </c>
    </row>
    <row r="53" spans="7:8" x14ac:dyDescent="0.2">
      <c r="G53" t="str">
        <f>IF(C53="","",(C53/AVERAGE($C$2:C35614)))</f>
        <v/>
      </c>
      <c r="H53" t="str">
        <f>IF(C53="","",(C53/MEDIAN($C$2:D35614)))</f>
        <v/>
      </c>
    </row>
    <row r="54" spans="7:8" x14ac:dyDescent="0.2">
      <c r="G54" t="str">
        <f>IF(C54="","",(C54/AVERAGE($C$2:C35615)))</f>
        <v/>
      </c>
      <c r="H54" t="str">
        <f>IF(C54="","",(C54/MEDIAN($C$2:D35615)))</f>
        <v/>
      </c>
    </row>
    <row r="55" spans="7:8" x14ac:dyDescent="0.2">
      <c r="G55" t="str">
        <f>IF(C55="","",(C55/AVERAGE($C$2:C35616)))</f>
        <v/>
      </c>
      <c r="H55" t="str">
        <f>IF(C55="","",(C55/MEDIAN($C$2:D35616)))</f>
        <v/>
      </c>
    </row>
    <row r="56" spans="7:8" x14ac:dyDescent="0.2">
      <c r="G56" t="str">
        <f>IF(C56="","",(C56/AVERAGE($C$2:C35617)))</f>
        <v/>
      </c>
      <c r="H56" t="str">
        <f>IF(C56="","",(C56/MEDIAN($C$2:D35617)))</f>
        <v/>
      </c>
    </row>
    <row r="57" spans="7:8" x14ac:dyDescent="0.2">
      <c r="G57" t="str">
        <f>IF(C57="","",(C57/AVERAGE($C$2:C35618)))</f>
        <v/>
      </c>
      <c r="H57" t="str">
        <f>IF(C57="","",(C57/MEDIAN($C$2:D35618)))</f>
        <v/>
      </c>
    </row>
    <row r="58" spans="7:8" x14ac:dyDescent="0.2">
      <c r="G58" t="str">
        <f>IF(C58="","",(C58/AVERAGE($C$2:C35619)))</f>
        <v/>
      </c>
      <c r="H58" t="str">
        <f>IF(C58="","",(C58/MEDIAN($C$2:D35619)))</f>
        <v/>
      </c>
    </row>
    <row r="59" spans="7:8" x14ac:dyDescent="0.2">
      <c r="G59" t="str">
        <f>IF(C59="","",(C59/AVERAGE($C$2:C35620)))</f>
        <v/>
      </c>
      <c r="H59" t="str">
        <f>IF(C59="","",(C59/MEDIAN($C$2:D35620)))</f>
        <v/>
      </c>
    </row>
    <row r="60" spans="7:8" x14ac:dyDescent="0.2">
      <c r="G60" t="str">
        <f>IF(C60="","",(C60/AVERAGE($C$2:C35621)))</f>
        <v/>
      </c>
      <c r="H60" t="str">
        <f>IF(C60="","",(C60/MEDIAN($C$2:D35621)))</f>
        <v/>
      </c>
    </row>
    <row r="61" spans="7:8" x14ac:dyDescent="0.2">
      <c r="G61" t="str">
        <f>IF(C61="","",(C61/AVERAGE($C$2:C35622)))</f>
        <v/>
      </c>
      <c r="H61" t="str">
        <f>IF(C61="","",(C61/MEDIAN($C$2:D35622)))</f>
        <v/>
      </c>
    </row>
    <row r="62" spans="7:8" x14ac:dyDescent="0.2">
      <c r="G62" t="str">
        <f>IF(C62="","",(C62/AVERAGE($C$2:C35623)))</f>
        <v/>
      </c>
      <c r="H62" t="str">
        <f>IF(C62="","",(C62/MEDIAN($C$2:D35623)))</f>
        <v/>
      </c>
    </row>
    <row r="63" spans="7:8" x14ac:dyDescent="0.2">
      <c r="G63" t="str">
        <f>IF(C63="","",(C63/AVERAGE($C$2:C35624)))</f>
        <v/>
      </c>
      <c r="H63" t="str">
        <f>IF(C63="","",(C63/MEDIAN($C$2:D35624)))</f>
        <v/>
      </c>
    </row>
    <row r="64" spans="7:8" x14ac:dyDescent="0.2">
      <c r="G64" t="str">
        <f>IF(C64="","",(C64/AVERAGE($C$2:C35625)))</f>
        <v/>
      </c>
      <c r="H64" t="str">
        <f>IF(C64="","",(C64/MEDIAN($C$2:D35625)))</f>
        <v/>
      </c>
    </row>
    <row r="65" spans="7:8" x14ac:dyDescent="0.2">
      <c r="G65" t="str">
        <f>IF(C65="","",(C65/AVERAGE($C$2:C35626)))</f>
        <v/>
      </c>
      <c r="H65" t="str">
        <f>IF(C65="","",(C65/MEDIAN($C$2:D35626)))</f>
        <v/>
      </c>
    </row>
    <row r="66" spans="7:8" x14ac:dyDescent="0.2">
      <c r="G66" t="str">
        <f>IF(C66="","",(C66/AVERAGE($C$2:C35627)))</f>
        <v/>
      </c>
      <c r="H66" t="str">
        <f>IF(C66="","",(C66/MEDIAN($C$2:D35627)))</f>
        <v/>
      </c>
    </row>
    <row r="67" spans="7:8" x14ac:dyDescent="0.2">
      <c r="G67" t="str">
        <f>IF(C67="","",(C67/AVERAGE($C$2:C35628)))</f>
        <v/>
      </c>
      <c r="H67" t="str">
        <f>IF(C67="","",(C67/MEDIAN($C$2:D35628)))</f>
        <v/>
      </c>
    </row>
    <row r="68" spans="7:8" x14ac:dyDescent="0.2">
      <c r="G68" t="str">
        <f>IF(C68="","",(C68/AVERAGE($C$2:C35629)))</f>
        <v/>
      </c>
      <c r="H68" t="str">
        <f>IF(C68="","",(C68/MEDIAN($C$2:D35629)))</f>
        <v/>
      </c>
    </row>
    <row r="69" spans="7:8" x14ac:dyDescent="0.2">
      <c r="G69" t="str">
        <f>IF(C69="","",(C69/AVERAGE($C$2:C35630)))</f>
        <v/>
      </c>
      <c r="H69" t="str">
        <f>IF(C69="","",(C69/MEDIAN($C$2:D35630)))</f>
        <v/>
      </c>
    </row>
    <row r="70" spans="7:8" x14ac:dyDescent="0.2">
      <c r="G70" t="str">
        <f>IF(C70="","",(C70/AVERAGE($C$2:C35631)))</f>
        <v/>
      </c>
      <c r="H70" t="str">
        <f>IF(C70="","",(C70/MEDIAN($C$2:D35631)))</f>
        <v/>
      </c>
    </row>
    <row r="71" spans="7:8" x14ac:dyDescent="0.2">
      <c r="G71" t="str">
        <f>IF(C71="","",(C71/AVERAGE($C$2:C35632)))</f>
        <v/>
      </c>
      <c r="H71" t="str">
        <f>IF(C71="","",(C71/MEDIAN($C$2:D35632)))</f>
        <v/>
      </c>
    </row>
    <row r="72" spans="7:8" x14ac:dyDescent="0.2">
      <c r="G72" t="str">
        <f>IF(C72="","",(C72/AVERAGE($C$2:C35633)))</f>
        <v/>
      </c>
      <c r="H72" t="str">
        <f>IF(C72="","",(C72/MEDIAN($C$2:D35633)))</f>
        <v/>
      </c>
    </row>
    <row r="73" spans="7:8" x14ac:dyDescent="0.2">
      <c r="G73" t="str">
        <f>IF(C73="","",(C73/AVERAGE($C$2:C35634)))</f>
        <v/>
      </c>
      <c r="H73" t="str">
        <f>IF(C73="","",(C73/MEDIAN($C$2:D35634)))</f>
        <v/>
      </c>
    </row>
    <row r="74" spans="7:8" x14ac:dyDescent="0.2">
      <c r="G74" t="str">
        <f>IF(C74="","",(C74/AVERAGE($C$2:C35635)))</f>
        <v/>
      </c>
      <c r="H74" t="str">
        <f>IF(C74="","",(C74/MEDIAN($C$2:D35635)))</f>
        <v/>
      </c>
    </row>
    <row r="75" spans="7:8" x14ac:dyDescent="0.2">
      <c r="G75" t="str">
        <f>IF(C75="","",(C75/AVERAGE($C$2:C35636)))</f>
        <v/>
      </c>
      <c r="H75" t="str">
        <f>IF(C75="","",(C75/MEDIAN($C$2:D35636)))</f>
        <v/>
      </c>
    </row>
    <row r="76" spans="7:8" x14ac:dyDescent="0.2">
      <c r="G76" t="str">
        <f>IF(C76="","",(C76/AVERAGE($C$2:C35637)))</f>
        <v/>
      </c>
      <c r="H76" t="str">
        <f>IF(C76="","",(C76/MEDIAN($C$2:D35637)))</f>
        <v/>
      </c>
    </row>
    <row r="77" spans="7:8" x14ac:dyDescent="0.2">
      <c r="G77" t="str">
        <f>IF(C77="","",(C77/AVERAGE($C$2:C35638)))</f>
        <v/>
      </c>
      <c r="H77" t="str">
        <f>IF(C77="","",(C77/MEDIAN($C$2:D35638)))</f>
        <v/>
      </c>
    </row>
    <row r="78" spans="7:8" x14ac:dyDescent="0.2">
      <c r="G78" t="str">
        <f>IF(C78="","",(C78/AVERAGE($C$2:C35639)))</f>
        <v/>
      </c>
      <c r="H78" t="str">
        <f>IF(C78="","",(C78/MEDIAN($C$2:D35639)))</f>
        <v/>
      </c>
    </row>
    <row r="79" spans="7:8" x14ac:dyDescent="0.2">
      <c r="G79" t="str">
        <f>IF(C79="","",(C79/AVERAGE($C$2:C35640)))</f>
        <v/>
      </c>
      <c r="H79" t="str">
        <f>IF(C79="","",(C79/MEDIAN($C$2:D35640)))</f>
        <v/>
      </c>
    </row>
    <row r="80" spans="7:8" x14ac:dyDescent="0.2">
      <c r="G80" t="str">
        <f>IF(C80="","",(C80/AVERAGE($C$2:C35641)))</f>
        <v/>
      </c>
      <c r="H80" t="str">
        <f>IF(C80="","",(C80/MEDIAN($C$2:D35641)))</f>
        <v/>
      </c>
    </row>
    <row r="81" spans="7:8" x14ac:dyDescent="0.2">
      <c r="G81" t="str">
        <f>IF(C81="","",(C81/AVERAGE($C$2:C35642)))</f>
        <v/>
      </c>
      <c r="H81" t="str">
        <f>IF(C81="","",(C81/MEDIAN($C$2:D35642)))</f>
        <v/>
      </c>
    </row>
    <row r="82" spans="7:8" x14ac:dyDescent="0.2">
      <c r="G82" t="str">
        <f>IF(C82="","",(C82/AVERAGE($C$2:C35643)))</f>
        <v/>
      </c>
      <c r="H82" t="str">
        <f>IF(C82="","",(C82/MEDIAN($C$2:D35643)))</f>
        <v/>
      </c>
    </row>
    <row r="83" spans="7:8" x14ac:dyDescent="0.2">
      <c r="G83" t="str">
        <f>IF(C83="","",(C83/AVERAGE($C$2:C35644)))</f>
        <v/>
      </c>
      <c r="H83" t="str">
        <f>IF(C83="","",(C83/MEDIAN($C$2:D35644)))</f>
        <v/>
      </c>
    </row>
    <row r="84" spans="7:8" x14ac:dyDescent="0.2">
      <c r="G84" t="str">
        <f>IF(C84="","",(C84/AVERAGE($C$2:C35645)))</f>
        <v/>
      </c>
      <c r="H84" t="str">
        <f>IF(C84="","",(C84/MEDIAN($C$2:D35645)))</f>
        <v/>
      </c>
    </row>
    <row r="85" spans="7:8" x14ac:dyDescent="0.2">
      <c r="G85" t="str">
        <f>IF(C85="","",(C85/AVERAGE($C$2:C35646)))</f>
        <v/>
      </c>
      <c r="H85" t="str">
        <f>IF(C85="","",(C85/MEDIAN($C$2:D35646)))</f>
        <v/>
      </c>
    </row>
    <row r="86" spans="7:8" x14ac:dyDescent="0.2">
      <c r="G86" t="str">
        <f>IF(C86="","",(C86/AVERAGE($C$2:C35647)))</f>
        <v/>
      </c>
      <c r="H86" t="str">
        <f>IF(C86="","",(C86/MEDIAN($C$2:D35647)))</f>
        <v/>
      </c>
    </row>
    <row r="87" spans="7:8" x14ac:dyDescent="0.2">
      <c r="G87" t="str">
        <f>IF(C87="","",(C87/AVERAGE($C$2:C35648)))</f>
        <v/>
      </c>
      <c r="H87" t="str">
        <f>IF(C87="","",(C87/MEDIAN($C$2:D35648)))</f>
        <v/>
      </c>
    </row>
    <row r="88" spans="7:8" x14ac:dyDescent="0.2">
      <c r="G88" t="str">
        <f>IF(C88="","",(C88/AVERAGE($C$2:C35649)))</f>
        <v/>
      </c>
      <c r="H88" t="str">
        <f>IF(C88="","",(C88/MEDIAN($C$2:D35649)))</f>
        <v/>
      </c>
    </row>
    <row r="89" spans="7:8" x14ac:dyDescent="0.2">
      <c r="G89" t="str">
        <f>IF(C89="","",(C89/AVERAGE($C$2:C35650)))</f>
        <v/>
      </c>
      <c r="H89" t="str">
        <f>IF(C89="","",(C89/MEDIAN($C$2:D35650)))</f>
        <v/>
      </c>
    </row>
    <row r="90" spans="7:8" x14ac:dyDescent="0.2">
      <c r="G90" t="str">
        <f>IF(C90="","",(C90/AVERAGE($C$2:C35651)))</f>
        <v/>
      </c>
      <c r="H90" t="str">
        <f>IF(C90="","",(C90/MEDIAN($C$2:D35651)))</f>
        <v/>
      </c>
    </row>
    <row r="91" spans="7:8" x14ac:dyDescent="0.2">
      <c r="G91" t="str">
        <f>IF(C91="","",(C91/AVERAGE($C$2:C35652)))</f>
        <v/>
      </c>
      <c r="H91" t="str">
        <f>IF(C91="","",(C91/MEDIAN($C$2:D35652)))</f>
        <v/>
      </c>
    </row>
    <row r="92" spans="7:8" x14ac:dyDescent="0.2">
      <c r="G92" t="str">
        <f>IF(C92="","",(C92/AVERAGE($C$2:C35653)))</f>
        <v/>
      </c>
      <c r="H92" t="str">
        <f>IF(C92="","",(C92/MEDIAN($C$2:D35653)))</f>
        <v/>
      </c>
    </row>
    <row r="93" spans="7:8" x14ac:dyDescent="0.2">
      <c r="G93" t="str">
        <f>IF(C93="","",(C93/AVERAGE($C$2:C35654)))</f>
        <v/>
      </c>
      <c r="H93" t="str">
        <f>IF(C93="","",(C93/MEDIAN($C$2:D35654)))</f>
        <v/>
      </c>
    </row>
    <row r="94" spans="7:8" x14ac:dyDescent="0.2">
      <c r="G94" t="str">
        <f>IF(C94="","",(C94/AVERAGE($C$2:C35655)))</f>
        <v/>
      </c>
      <c r="H94" t="str">
        <f>IF(C94="","",(C94/MEDIAN($C$2:D35655)))</f>
        <v/>
      </c>
    </row>
    <row r="95" spans="7:8" x14ac:dyDescent="0.2">
      <c r="G95" t="str">
        <f>IF(C95="","",(C95/AVERAGE($C$2:C35656)))</f>
        <v/>
      </c>
      <c r="H95" t="str">
        <f>IF(C95="","",(C95/MEDIAN($C$2:D35656)))</f>
        <v/>
      </c>
    </row>
    <row r="96" spans="7:8" x14ac:dyDescent="0.2">
      <c r="G96" t="str">
        <f>IF(C96="","",(C96/AVERAGE($C$2:C35657)))</f>
        <v/>
      </c>
      <c r="H96" t="str">
        <f>IF(C96="","",(C96/MEDIAN($C$2:D35657)))</f>
        <v/>
      </c>
    </row>
    <row r="97" spans="7:8" x14ac:dyDescent="0.2">
      <c r="G97" t="str">
        <f>IF(C97="","",(C97/AVERAGE($C$2:C35658)))</f>
        <v/>
      </c>
      <c r="H97" t="str">
        <f>IF(C97="","",(C97/MEDIAN($C$2:D35658)))</f>
        <v/>
      </c>
    </row>
    <row r="98" spans="7:8" x14ac:dyDescent="0.2">
      <c r="G98" t="str">
        <f>IF(C98="","",(C98/AVERAGE($C$2:C35659)))</f>
        <v/>
      </c>
      <c r="H98" t="str">
        <f>IF(C98="","",(C98/MEDIAN($C$2:D35659)))</f>
        <v/>
      </c>
    </row>
    <row r="99" spans="7:8" x14ac:dyDescent="0.2">
      <c r="G99" t="str">
        <f>IF(C99="","",(C99/AVERAGE($C$2:C35660)))</f>
        <v/>
      </c>
      <c r="H99" t="str">
        <f>IF(C99="","",(C99/MEDIAN($C$2:D35660)))</f>
        <v/>
      </c>
    </row>
    <row r="100" spans="7:8" x14ac:dyDescent="0.2">
      <c r="G100" t="str">
        <f>IF(C100="","",(C100/AVERAGE($C$2:C35661)))</f>
        <v/>
      </c>
      <c r="H100" t="str">
        <f>IF(C100="","",(C100/MEDIAN($C$2:D35661)))</f>
        <v/>
      </c>
    </row>
    <row r="101" spans="7:8" x14ac:dyDescent="0.2">
      <c r="G101" t="str">
        <f>IF(C101="","",(C101/AVERAGE($C$2:C35662)))</f>
        <v/>
      </c>
      <c r="H101" t="str">
        <f>IF(C101="","",(C101/MEDIAN($C$2:D35662)))</f>
        <v/>
      </c>
    </row>
    <row r="102" spans="7:8" x14ac:dyDescent="0.2">
      <c r="G102" t="str">
        <f>IF(C102="","",(C102/AVERAGE($C$2:C35663)))</f>
        <v/>
      </c>
      <c r="H102" t="str">
        <f>IF(C102="","",(C102/MEDIAN($C$2:D35663)))</f>
        <v/>
      </c>
    </row>
    <row r="103" spans="7:8" x14ac:dyDescent="0.2">
      <c r="G103" t="str">
        <f>IF(C103="","",(C103/AVERAGE($C$2:C35664)))</f>
        <v/>
      </c>
      <c r="H103" t="str">
        <f>IF(C103="","",(C103/MEDIAN($C$2:D35664)))</f>
        <v/>
      </c>
    </row>
    <row r="104" spans="7:8" x14ac:dyDescent="0.2">
      <c r="G104" t="str">
        <f>IF(C104="","",(C104/AVERAGE($C$2:C35665)))</f>
        <v/>
      </c>
      <c r="H104" t="str">
        <f>IF(C104="","",(C104/MEDIAN($C$2:D35665)))</f>
        <v/>
      </c>
    </row>
    <row r="105" spans="7:8" x14ac:dyDescent="0.2">
      <c r="G105" t="str">
        <f>IF(C105="","",(C105/AVERAGE($C$2:C35666)))</f>
        <v/>
      </c>
      <c r="H105" t="str">
        <f>IF(C105="","",(C105/MEDIAN($C$2:D35666)))</f>
        <v/>
      </c>
    </row>
    <row r="106" spans="7:8" x14ac:dyDescent="0.2">
      <c r="G106" t="str">
        <f>IF(C106="","",(C106/AVERAGE($C$2:C35667)))</f>
        <v/>
      </c>
      <c r="H106" t="str">
        <f>IF(C106="","",(C106/MEDIAN($C$2:D35667)))</f>
        <v/>
      </c>
    </row>
    <row r="107" spans="7:8" x14ac:dyDescent="0.2">
      <c r="G107" t="str">
        <f>IF(C107="","",(C107/AVERAGE($C$2:C35668)))</f>
        <v/>
      </c>
      <c r="H107" t="str">
        <f>IF(C107="","",(C107/MEDIAN($C$2:D35668)))</f>
        <v/>
      </c>
    </row>
    <row r="108" spans="7:8" x14ac:dyDescent="0.2">
      <c r="G108" t="str">
        <f>IF(C108="","",(C108/AVERAGE($C$2:C35669)))</f>
        <v/>
      </c>
      <c r="H108" t="str">
        <f>IF(C108="","",(C108/MEDIAN($C$2:D35669)))</f>
        <v/>
      </c>
    </row>
    <row r="109" spans="7:8" x14ac:dyDescent="0.2">
      <c r="G109" t="str">
        <f>IF(C109="","",(C109/AVERAGE($C$2:C35670)))</f>
        <v/>
      </c>
      <c r="H109" t="str">
        <f>IF(C109="","",(C109/MEDIAN($C$2:D35670)))</f>
        <v/>
      </c>
    </row>
    <row r="110" spans="7:8" x14ac:dyDescent="0.2">
      <c r="G110" t="str">
        <f>IF(C110="","",(C110/AVERAGE($C$2:C35671)))</f>
        <v/>
      </c>
      <c r="H110" t="str">
        <f>IF(C110="","",(C110/MEDIAN($C$2:D35671)))</f>
        <v/>
      </c>
    </row>
    <row r="111" spans="7:8" x14ac:dyDescent="0.2">
      <c r="G111" t="str">
        <f>IF(C111="","",(C111/AVERAGE($C$2:C35672)))</f>
        <v/>
      </c>
      <c r="H111" t="str">
        <f>IF(C111="","",(C111/MEDIAN($C$2:D35672)))</f>
        <v/>
      </c>
    </row>
    <row r="112" spans="7:8" x14ac:dyDescent="0.2">
      <c r="G112" t="str">
        <f>IF(C112="","",(C112/AVERAGE($C$2:C35673)))</f>
        <v/>
      </c>
      <c r="H112" t="str">
        <f>IF(C112="","",(C112/MEDIAN($C$2:D35673)))</f>
        <v/>
      </c>
    </row>
    <row r="113" spans="7:8" x14ac:dyDescent="0.2">
      <c r="G113" t="str">
        <f>IF(C113="","",(C113/AVERAGE($C$2:C35674)))</f>
        <v/>
      </c>
      <c r="H113" t="str">
        <f>IF(C113="","",(C113/MEDIAN($C$2:D35674)))</f>
        <v/>
      </c>
    </row>
    <row r="114" spans="7:8" x14ac:dyDescent="0.2">
      <c r="G114" t="str">
        <f>IF(C114="","",(C114/AVERAGE($C$2:C35675)))</f>
        <v/>
      </c>
      <c r="H114" t="str">
        <f>IF(C114="","",(C114/MEDIAN($C$2:D35675)))</f>
        <v/>
      </c>
    </row>
    <row r="115" spans="7:8" x14ac:dyDescent="0.2">
      <c r="G115" t="str">
        <f>IF(C115="","",(C115/AVERAGE($C$2:C35676)))</f>
        <v/>
      </c>
      <c r="H115" t="str">
        <f>IF(C115="","",(C115/MEDIAN($C$2:D35676)))</f>
        <v/>
      </c>
    </row>
    <row r="116" spans="7:8" x14ac:dyDescent="0.2">
      <c r="G116" t="str">
        <f>IF(C116="","",(C116/AVERAGE($C$2:C35677)))</f>
        <v/>
      </c>
      <c r="H116" t="str">
        <f>IF(C116="","",(C116/MEDIAN($C$2:D35677)))</f>
        <v/>
      </c>
    </row>
    <row r="117" spans="7:8" x14ac:dyDescent="0.2">
      <c r="G117" t="str">
        <f>IF(C117="","",(C117/AVERAGE($C$2:C35678)))</f>
        <v/>
      </c>
      <c r="H117" t="str">
        <f>IF(C117="","",(C117/MEDIAN($C$2:D35678)))</f>
        <v/>
      </c>
    </row>
    <row r="118" spans="7:8" x14ac:dyDescent="0.2">
      <c r="G118" t="str">
        <f>IF(C118="","",(C118/AVERAGE($C$2:C35679)))</f>
        <v/>
      </c>
      <c r="H118" t="str">
        <f>IF(C118="","",(C118/MEDIAN($C$2:D35679)))</f>
        <v/>
      </c>
    </row>
    <row r="119" spans="7:8" x14ac:dyDescent="0.2">
      <c r="G119" t="str">
        <f>IF(C119="","",(C119/AVERAGE($C$2:C35680)))</f>
        <v/>
      </c>
      <c r="H119" t="str">
        <f>IF(C119="","",(C119/MEDIAN($C$2:D35680)))</f>
        <v/>
      </c>
    </row>
    <row r="120" spans="7:8" x14ac:dyDescent="0.2">
      <c r="G120" t="str">
        <f>IF(C120="","",(C120/AVERAGE($C$2:C35681)))</f>
        <v/>
      </c>
      <c r="H120" t="str">
        <f>IF(C120="","",(C120/MEDIAN($C$2:D35681)))</f>
        <v/>
      </c>
    </row>
    <row r="121" spans="7:8" x14ac:dyDescent="0.2">
      <c r="G121" t="str">
        <f>IF(C121="","",(C121/AVERAGE($C$2:C35682)))</f>
        <v/>
      </c>
      <c r="H121" t="str">
        <f>IF(C121="","",(C121/MEDIAN($C$2:D35682)))</f>
        <v/>
      </c>
    </row>
    <row r="122" spans="7:8" x14ac:dyDescent="0.2">
      <c r="G122" t="str">
        <f>IF(C122="","",(C122/AVERAGE($C$2:C35683)))</f>
        <v/>
      </c>
      <c r="H122" t="str">
        <f>IF(C122="","",(C122/MEDIAN($C$2:D35683)))</f>
        <v/>
      </c>
    </row>
    <row r="123" spans="7:8" x14ac:dyDescent="0.2">
      <c r="G123" t="str">
        <f>IF(C123="","",(C123/AVERAGE($C$2:C35684)))</f>
        <v/>
      </c>
      <c r="H123" t="str">
        <f>IF(C123="","",(C123/MEDIAN($C$2:D35684)))</f>
        <v/>
      </c>
    </row>
    <row r="124" spans="7:8" x14ac:dyDescent="0.2">
      <c r="G124" t="str">
        <f>IF(C124="","",(C124/AVERAGE($C$2:C35685)))</f>
        <v/>
      </c>
      <c r="H124" t="str">
        <f>IF(C124="","",(C124/MEDIAN($C$2:D35685)))</f>
        <v/>
      </c>
    </row>
    <row r="125" spans="7:8" x14ac:dyDescent="0.2">
      <c r="G125" t="str">
        <f>IF(C125="","",(C125/AVERAGE($C$2:C35686)))</f>
        <v/>
      </c>
      <c r="H125" t="str">
        <f>IF(C125="","",(C125/MEDIAN($C$2:D35686)))</f>
        <v/>
      </c>
    </row>
    <row r="126" spans="7:8" x14ac:dyDescent="0.2">
      <c r="G126" t="str">
        <f>IF(C126="","",(C126/AVERAGE($C$2:C35687)))</f>
        <v/>
      </c>
      <c r="H126" t="str">
        <f>IF(C126="","",(C126/MEDIAN($C$2:D35687)))</f>
        <v/>
      </c>
    </row>
    <row r="127" spans="7:8" x14ac:dyDescent="0.2">
      <c r="G127" t="str">
        <f>IF(C127="","",(C127/AVERAGE($C$2:C35688)))</f>
        <v/>
      </c>
      <c r="H127" t="str">
        <f>IF(C127="","",(C127/MEDIAN($C$2:D35688)))</f>
        <v/>
      </c>
    </row>
    <row r="128" spans="7:8" x14ac:dyDescent="0.2">
      <c r="G128" t="str">
        <f>IF(C128="","",(C128/AVERAGE($C$2:C35689)))</f>
        <v/>
      </c>
      <c r="H128" t="str">
        <f>IF(C128="","",(C128/MEDIAN($C$2:D35689)))</f>
        <v/>
      </c>
    </row>
    <row r="129" spans="7:8" x14ac:dyDescent="0.2">
      <c r="G129" t="str">
        <f>IF(C129="","",(C129/AVERAGE($C$2:C35690)))</f>
        <v/>
      </c>
      <c r="H129" t="str">
        <f>IF(C129="","",(C129/MEDIAN($C$2:D35690)))</f>
        <v/>
      </c>
    </row>
    <row r="130" spans="7:8" x14ac:dyDescent="0.2">
      <c r="G130" t="str">
        <f>IF(C130="","",(C130/AVERAGE($C$2:C35691)))</f>
        <v/>
      </c>
      <c r="H130" t="str">
        <f>IF(C130="","",(C130/MEDIAN($C$2:D35691)))</f>
        <v/>
      </c>
    </row>
    <row r="131" spans="7:8" x14ac:dyDescent="0.2">
      <c r="G131" t="str">
        <f>IF(C131="","",(C131/AVERAGE($C$2:C35692)))</f>
        <v/>
      </c>
      <c r="H131" t="str">
        <f>IF(C131="","",(C131/MEDIAN($C$2:D35692)))</f>
        <v/>
      </c>
    </row>
    <row r="132" spans="7:8" x14ac:dyDescent="0.2">
      <c r="G132" t="str">
        <f>IF(C132="","",(C132/AVERAGE($C$2:C35693)))</f>
        <v/>
      </c>
      <c r="H132" t="str">
        <f>IF(C132="","",(C132/MEDIAN($C$2:D35693)))</f>
        <v/>
      </c>
    </row>
    <row r="133" spans="7:8" x14ac:dyDescent="0.2">
      <c r="G133" t="str">
        <f>IF(C133="","",(C133/AVERAGE($C$2:C35694)))</f>
        <v/>
      </c>
      <c r="H133" t="str">
        <f>IF(C133="","",(C133/MEDIAN($C$2:D35694)))</f>
        <v/>
      </c>
    </row>
    <row r="134" spans="7:8" x14ac:dyDescent="0.2">
      <c r="G134" t="str">
        <f>IF(C134="","",(C134/AVERAGE($C$2:C35695)))</f>
        <v/>
      </c>
      <c r="H134" t="str">
        <f>IF(C134="","",(C134/MEDIAN($C$2:D35695)))</f>
        <v/>
      </c>
    </row>
    <row r="135" spans="7:8" x14ac:dyDescent="0.2">
      <c r="G135" t="str">
        <f>IF(C135="","",(C135/AVERAGE($C$2:C35696)))</f>
        <v/>
      </c>
      <c r="H135" t="str">
        <f>IF(C135="","",(C135/MEDIAN($C$2:D35696)))</f>
        <v/>
      </c>
    </row>
    <row r="136" spans="7:8" x14ac:dyDescent="0.2">
      <c r="G136" t="str">
        <f>IF(C136="","",(C136/AVERAGE($C$2:C35697)))</f>
        <v/>
      </c>
      <c r="H136" t="str">
        <f>IF(C136="","",(C136/MEDIAN($C$2:D35697)))</f>
        <v/>
      </c>
    </row>
    <row r="137" spans="7:8" x14ac:dyDescent="0.2">
      <c r="G137" t="str">
        <f>IF(C137="","",(C137/AVERAGE($C$2:C35698)))</f>
        <v/>
      </c>
      <c r="H137" t="str">
        <f>IF(C137="","",(C137/MEDIAN($C$2:D35698)))</f>
        <v/>
      </c>
    </row>
    <row r="138" spans="7:8" x14ac:dyDescent="0.2">
      <c r="G138" t="str">
        <f>IF(C138="","",(C138/AVERAGE($C$2:C35699)))</f>
        <v/>
      </c>
      <c r="H138" t="str">
        <f>IF(C138="","",(C138/MEDIAN($C$2:D35699)))</f>
        <v/>
      </c>
    </row>
    <row r="139" spans="7:8" x14ac:dyDescent="0.2">
      <c r="G139" t="str">
        <f>IF(C139="","",(C139/AVERAGE($C$2:C35700)))</f>
        <v/>
      </c>
      <c r="H139" t="str">
        <f>IF(C139="","",(C139/MEDIAN($C$2:D35700)))</f>
        <v/>
      </c>
    </row>
    <row r="140" spans="7:8" x14ac:dyDescent="0.2">
      <c r="G140" t="str">
        <f>IF(C140="","",(C140/AVERAGE($C$2:C35701)))</f>
        <v/>
      </c>
      <c r="H140" t="str">
        <f>IF(C140="","",(C140/MEDIAN($C$2:D35701)))</f>
        <v/>
      </c>
    </row>
    <row r="141" spans="7:8" x14ac:dyDescent="0.2">
      <c r="G141" t="str">
        <f>IF(C141="","",(C141/AVERAGE($C$2:C35702)))</f>
        <v/>
      </c>
      <c r="H141" t="str">
        <f>IF(C141="","",(C141/MEDIAN($C$2:D35702)))</f>
        <v/>
      </c>
    </row>
    <row r="142" spans="7:8" x14ac:dyDescent="0.2">
      <c r="G142" t="str">
        <f>IF(C142="","",(C142/AVERAGE($C$2:C35703)))</f>
        <v/>
      </c>
      <c r="H142" t="str">
        <f>IF(C142="","",(C142/MEDIAN($C$2:D35703)))</f>
        <v/>
      </c>
    </row>
    <row r="143" spans="7:8" x14ac:dyDescent="0.2">
      <c r="G143" t="str">
        <f>IF(C143="","",(C143/AVERAGE($C$2:C35704)))</f>
        <v/>
      </c>
      <c r="H143" t="str">
        <f>IF(C143="","",(C143/MEDIAN($C$2:D35704)))</f>
        <v/>
      </c>
    </row>
    <row r="144" spans="7:8" x14ac:dyDescent="0.2">
      <c r="G144" t="str">
        <f>IF(C144="","",(C144/AVERAGE($C$2:C35705)))</f>
        <v/>
      </c>
      <c r="H144" t="str">
        <f>IF(C144="","",(C144/MEDIAN($C$2:D35705)))</f>
        <v/>
      </c>
    </row>
    <row r="145" spans="7:8" x14ac:dyDescent="0.2">
      <c r="G145" t="str">
        <f>IF(C145="","",(C145/AVERAGE($C$2:C35706)))</f>
        <v/>
      </c>
      <c r="H145" t="str">
        <f>IF(C145="","",(C145/MEDIAN($C$2:D35706)))</f>
        <v/>
      </c>
    </row>
    <row r="146" spans="7:8" x14ac:dyDescent="0.2">
      <c r="G146" t="str">
        <f>IF(C146="","",(C146/AVERAGE($C$2:C35707)))</f>
        <v/>
      </c>
      <c r="H146" t="str">
        <f>IF(C146="","",(C146/MEDIAN($C$2:D35707)))</f>
        <v/>
      </c>
    </row>
    <row r="147" spans="7:8" x14ac:dyDescent="0.2">
      <c r="G147" t="str">
        <f>IF(C147="","",(C147/AVERAGE($C$2:C35708)))</f>
        <v/>
      </c>
      <c r="H147" t="str">
        <f>IF(C147="","",(C147/MEDIAN($C$2:D35708)))</f>
        <v/>
      </c>
    </row>
    <row r="148" spans="7:8" x14ac:dyDescent="0.2">
      <c r="G148" t="str">
        <f>IF(C148="","",(C148/AVERAGE($C$2:C35709)))</f>
        <v/>
      </c>
      <c r="H148" t="str">
        <f>IF(C148="","",(C148/MEDIAN($C$2:D35709)))</f>
        <v/>
      </c>
    </row>
    <row r="149" spans="7:8" x14ac:dyDescent="0.2">
      <c r="G149" t="str">
        <f>IF(C149="","",(C149/AVERAGE($C$2:C35710)))</f>
        <v/>
      </c>
      <c r="H149" t="str">
        <f>IF(C149="","",(C149/MEDIAN($C$2:D35710)))</f>
        <v/>
      </c>
    </row>
    <row r="150" spans="7:8" x14ac:dyDescent="0.2">
      <c r="G150" t="str">
        <f>IF(C150="","",(C150/AVERAGE($C$2:C35711)))</f>
        <v/>
      </c>
      <c r="H150" t="str">
        <f>IF(C150="","",(C150/MEDIAN($C$2:D35711)))</f>
        <v/>
      </c>
    </row>
    <row r="151" spans="7:8" x14ac:dyDescent="0.2">
      <c r="G151" t="str">
        <f>IF(C151="","",(C151/AVERAGE($C$2:C35712)))</f>
        <v/>
      </c>
      <c r="H151" t="str">
        <f>IF(C151="","",(C151/MEDIAN($C$2:D35712)))</f>
        <v/>
      </c>
    </row>
    <row r="152" spans="7:8" x14ac:dyDescent="0.2">
      <c r="G152" t="str">
        <f>IF(C152="","",(C152/AVERAGE($C$2:C35713)))</f>
        <v/>
      </c>
      <c r="H152" t="str">
        <f>IF(C152="","",(C152/MEDIAN($C$2:D35713)))</f>
        <v/>
      </c>
    </row>
    <row r="153" spans="7:8" x14ac:dyDescent="0.2">
      <c r="G153" t="str">
        <f>IF(C153="","",(C153/AVERAGE($C$2:C35714)))</f>
        <v/>
      </c>
      <c r="H153" t="str">
        <f>IF(C153="","",(C153/MEDIAN($C$2:D35714)))</f>
        <v/>
      </c>
    </row>
    <row r="154" spans="7:8" x14ac:dyDescent="0.2">
      <c r="G154" t="str">
        <f>IF(C154="","",(C154/AVERAGE($C$2:C35715)))</f>
        <v/>
      </c>
      <c r="H154" t="str">
        <f>IF(C154="","",(C154/MEDIAN($C$2:D35715)))</f>
        <v/>
      </c>
    </row>
    <row r="155" spans="7:8" x14ac:dyDescent="0.2">
      <c r="G155" t="str">
        <f>IF(C155="","",(C155/AVERAGE($C$2:C35716)))</f>
        <v/>
      </c>
      <c r="H155" t="str">
        <f>IF(C155="","",(C155/MEDIAN($C$2:D35716)))</f>
        <v/>
      </c>
    </row>
    <row r="156" spans="7:8" x14ac:dyDescent="0.2">
      <c r="G156" t="str">
        <f>IF(C156="","",(C156/AVERAGE($C$2:C35717)))</f>
        <v/>
      </c>
      <c r="H156" t="str">
        <f>IF(C156="","",(C156/MEDIAN($C$2:D35717)))</f>
        <v/>
      </c>
    </row>
    <row r="157" spans="7:8" x14ac:dyDescent="0.2">
      <c r="G157" t="str">
        <f>IF(C157="","",(C157/AVERAGE($C$2:C35718)))</f>
        <v/>
      </c>
      <c r="H157" t="str">
        <f>IF(C157="","",(C157/MEDIAN($C$2:D35718)))</f>
        <v/>
      </c>
    </row>
    <row r="158" spans="7:8" x14ac:dyDescent="0.2">
      <c r="G158" t="str">
        <f>IF(C158="","",(C158/AVERAGE($C$2:C35719)))</f>
        <v/>
      </c>
      <c r="H158" t="str">
        <f>IF(C158="","",(C158/MEDIAN($C$2:D35719)))</f>
        <v/>
      </c>
    </row>
    <row r="159" spans="7:8" x14ac:dyDescent="0.2">
      <c r="G159" t="str">
        <f>IF(C159="","",(C159/AVERAGE($C$2:C35720)))</f>
        <v/>
      </c>
      <c r="H159" t="str">
        <f>IF(C159="","",(C159/MEDIAN($C$2:D35720)))</f>
        <v/>
      </c>
    </row>
    <row r="160" spans="7:8" x14ac:dyDescent="0.2">
      <c r="G160" t="str">
        <f>IF(C160="","",(C160/AVERAGE($C$2:C35721)))</f>
        <v/>
      </c>
      <c r="H160" t="str">
        <f>IF(C160="","",(C160/MEDIAN($C$2:D35721)))</f>
        <v/>
      </c>
    </row>
    <row r="161" spans="7:8" x14ac:dyDescent="0.2">
      <c r="G161" t="str">
        <f>IF(C161="","",(C161/AVERAGE($C$2:C35722)))</f>
        <v/>
      </c>
      <c r="H161" t="str">
        <f>IF(C161="","",(C161/MEDIAN($C$2:D35722)))</f>
        <v/>
      </c>
    </row>
    <row r="162" spans="7:8" x14ac:dyDescent="0.2">
      <c r="G162" t="str">
        <f>IF(C162="","",(C162/AVERAGE($C$2:C35723)))</f>
        <v/>
      </c>
      <c r="H162" t="str">
        <f>IF(C162="","",(C162/MEDIAN($C$2:D35723)))</f>
        <v/>
      </c>
    </row>
    <row r="163" spans="7:8" x14ac:dyDescent="0.2">
      <c r="G163" t="str">
        <f>IF(C163="","",(C163/AVERAGE($C$2:C35724)))</f>
        <v/>
      </c>
      <c r="H163" t="str">
        <f>IF(C163="","",(C163/MEDIAN($C$2:D35724)))</f>
        <v/>
      </c>
    </row>
    <row r="164" spans="7:8" x14ac:dyDescent="0.2">
      <c r="G164" t="str">
        <f>IF(C164="","",(C164/AVERAGE($C$2:C35725)))</f>
        <v/>
      </c>
      <c r="H164" t="str">
        <f>IF(C164="","",(C164/MEDIAN($C$2:D35725)))</f>
        <v/>
      </c>
    </row>
    <row r="165" spans="7:8" x14ac:dyDescent="0.2">
      <c r="G165" t="str">
        <f>IF(C165="","",(C165/AVERAGE($C$2:C35726)))</f>
        <v/>
      </c>
      <c r="H165" t="str">
        <f>IF(C165="","",(C165/MEDIAN($C$2:D35726)))</f>
        <v/>
      </c>
    </row>
    <row r="166" spans="7:8" x14ac:dyDescent="0.2">
      <c r="G166" t="str">
        <f>IF(C166="","",(C166/AVERAGE($C$2:C35727)))</f>
        <v/>
      </c>
      <c r="H166" t="str">
        <f>IF(C166="","",(C166/MEDIAN($C$2:D35727)))</f>
        <v/>
      </c>
    </row>
    <row r="167" spans="7:8" x14ac:dyDescent="0.2">
      <c r="G167" t="str">
        <f>IF(C167="","",(C167/AVERAGE($C$2:C35728)))</f>
        <v/>
      </c>
      <c r="H167" t="str">
        <f>IF(C167="","",(C167/MEDIAN($C$2:D35728)))</f>
        <v/>
      </c>
    </row>
    <row r="168" spans="7:8" x14ac:dyDescent="0.2">
      <c r="G168" t="str">
        <f>IF(C168="","",(C168/AVERAGE($C$2:C35729)))</f>
        <v/>
      </c>
      <c r="H168" t="str">
        <f>IF(C168="","",(C168/MEDIAN($C$2:D35729)))</f>
        <v/>
      </c>
    </row>
    <row r="169" spans="7:8" x14ac:dyDescent="0.2">
      <c r="G169" t="str">
        <f>IF(C169="","",(C169/AVERAGE($C$2:C35730)))</f>
        <v/>
      </c>
      <c r="H169" t="str">
        <f>IF(C169="","",(C169/MEDIAN($C$2:D35730)))</f>
        <v/>
      </c>
    </row>
    <row r="170" spans="7:8" x14ac:dyDescent="0.2">
      <c r="G170" t="str">
        <f>IF(C170="","",(C170/AVERAGE($C$2:C35731)))</f>
        <v/>
      </c>
      <c r="H170" t="str">
        <f>IF(C170="","",(C170/MEDIAN($C$2:D35731)))</f>
        <v/>
      </c>
    </row>
    <row r="171" spans="7:8" x14ac:dyDescent="0.2">
      <c r="G171" t="str">
        <f>IF(C171="","",(C171/AVERAGE($C$2:C35732)))</f>
        <v/>
      </c>
      <c r="H171" t="str">
        <f>IF(C171="","",(C171/MEDIAN($C$2:D35732)))</f>
        <v/>
      </c>
    </row>
    <row r="172" spans="7:8" x14ac:dyDescent="0.2">
      <c r="G172" t="str">
        <f>IF(C172="","",(C172/AVERAGE($C$2:C35733)))</f>
        <v/>
      </c>
      <c r="H172" t="str">
        <f>IF(C172="","",(C172/MEDIAN($C$2:D35733)))</f>
        <v/>
      </c>
    </row>
    <row r="173" spans="7:8" x14ac:dyDescent="0.2">
      <c r="G173" t="str">
        <f>IF(C173="","",(C173/AVERAGE($C$2:C35734)))</f>
        <v/>
      </c>
      <c r="H173" t="str">
        <f>IF(C173="","",(C173/MEDIAN($C$2:D35734)))</f>
        <v/>
      </c>
    </row>
    <row r="174" spans="7:8" x14ac:dyDescent="0.2">
      <c r="G174" t="str">
        <f>IF(C174="","",(C174/AVERAGE($C$2:C35735)))</f>
        <v/>
      </c>
      <c r="H174" t="str">
        <f>IF(C174="","",(C174/MEDIAN($C$2:D35735)))</f>
        <v/>
      </c>
    </row>
    <row r="175" spans="7:8" x14ac:dyDescent="0.2">
      <c r="G175" t="str">
        <f>IF(C175="","",(C175/AVERAGE($C$2:C35736)))</f>
        <v/>
      </c>
      <c r="H175" t="str">
        <f>IF(C175="","",(C175/MEDIAN($C$2:D35736)))</f>
        <v/>
      </c>
    </row>
    <row r="176" spans="7:8" x14ac:dyDescent="0.2">
      <c r="G176" t="str">
        <f>IF(C176="","",(C176/AVERAGE($C$2:C35737)))</f>
        <v/>
      </c>
      <c r="H176" t="str">
        <f>IF(C176="","",(C176/MEDIAN($C$2:D35737)))</f>
        <v/>
      </c>
    </row>
    <row r="177" spans="7:8" x14ac:dyDescent="0.2">
      <c r="G177" t="str">
        <f>IF(C177="","",(C177/AVERAGE($C$2:C35738)))</f>
        <v/>
      </c>
      <c r="H177" t="str">
        <f>IF(C177="","",(C177/MEDIAN($C$2:D35738)))</f>
        <v/>
      </c>
    </row>
    <row r="178" spans="7:8" x14ac:dyDescent="0.2">
      <c r="G178" t="str">
        <f>IF(C178="","",(C178/AVERAGE($C$2:C35739)))</f>
        <v/>
      </c>
      <c r="H178" t="str">
        <f>IF(C178="","",(C178/MEDIAN($C$2:D35739)))</f>
        <v/>
      </c>
    </row>
    <row r="179" spans="7:8" x14ac:dyDescent="0.2">
      <c r="G179" t="str">
        <f>IF(C179="","",(C179/AVERAGE($C$2:C35740)))</f>
        <v/>
      </c>
      <c r="H179" t="str">
        <f>IF(C179="","",(C179/MEDIAN($C$2:D35740)))</f>
        <v/>
      </c>
    </row>
    <row r="180" spans="7:8" x14ac:dyDescent="0.2">
      <c r="G180" t="str">
        <f>IF(C180="","",(C180/AVERAGE($C$2:C35741)))</f>
        <v/>
      </c>
      <c r="H180" t="str">
        <f>IF(C180="","",(C180/MEDIAN($C$2:D35741)))</f>
        <v/>
      </c>
    </row>
    <row r="181" spans="7:8" x14ac:dyDescent="0.2">
      <c r="G181" t="str">
        <f>IF(C181="","",(C181/AVERAGE($C$2:C35742)))</f>
        <v/>
      </c>
      <c r="H181" t="str">
        <f>IF(C181="","",(C181/MEDIAN($C$2:D35742)))</f>
        <v/>
      </c>
    </row>
    <row r="182" spans="7:8" x14ac:dyDescent="0.2">
      <c r="G182" t="str">
        <f>IF(C182="","",(C182/AVERAGE($C$2:C35743)))</f>
        <v/>
      </c>
      <c r="H182" t="str">
        <f>IF(C182="","",(C182/MEDIAN($C$2:D35743)))</f>
        <v/>
      </c>
    </row>
    <row r="183" spans="7:8" x14ac:dyDescent="0.2">
      <c r="G183" t="str">
        <f>IF(C183="","",(C183/AVERAGE($C$2:C35744)))</f>
        <v/>
      </c>
      <c r="H183" t="str">
        <f>IF(C183="","",(C183/MEDIAN($C$2:D35744)))</f>
        <v/>
      </c>
    </row>
    <row r="184" spans="7:8" x14ac:dyDescent="0.2">
      <c r="G184" t="str">
        <f>IF(C184="","",(C184/AVERAGE($C$2:C35745)))</f>
        <v/>
      </c>
      <c r="H184" t="str">
        <f>IF(C184="","",(C184/MEDIAN($C$2:D35745)))</f>
        <v/>
      </c>
    </row>
    <row r="185" spans="7:8" x14ac:dyDescent="0.2">
      <c r="G185" t="str">
        <f>IF(C185="","",(C185/AVERAGE($C$2:C35746)))</f>
        <v/>
      </c>
      <c r="H185" t="str">
        <f>IF(C185="","",(C185/MEDIAN($C$2:D35746)))</f>
        <v/>
      </c>
    </row>
    <row r="186" spans="7:8" x14ac:dyDescent="0.2">
      <c r="G186" t="str">
        <f>IF(C186="","",(C186/AVERAGE($C$2:C35747)))</f>
        <v/>
      </c>
      <c r="H186" t="str">
        <f>IF(C186="","",(C186/MEDIAN($C$2:D35747)))</f>
        <v/>
      </c>
    </row>
    <row r="187" spans="7:8" x14ac:dyDescent="0.2">
      <c r="G187" t="str">
        <f>IF(C187="","",(C187/AVERAGE($C$2:C35748)))</f>
        <v/>
      </c>
      <c r="H187" t="str">
        <f>IF(C187="","",(C187/MEDIAN($C$2:D35748)))</f>
        <v/>
      </c>
    </row>
    <row r="188" spans="7:8" x14ac:dyDescent="0.2">
      <c r="G188" t="str">
        <f>IF(C188="","",(C188/AVERAGE($C$2:C35749)))</f>
        <v/>
      </c>
      <c r="H188" t="str">
        <f>IF(C188="","",(C188/MEDIAN($C$2:D35749)))</f>
        <v/>
      </c>
    </row>
    <row r="189" spans="7:8" x14ac:dyDescent="0.2">
      <c r="G189" t="str">
        <f>IF(C189="","",(C189/AVERAGE($C$2:C35750)))</f>
        <v/>
      </c>
      <c r="H189" t="str">
        <f>IF(C189="","",(C189/MEDIAN($C$2:D35750)))</f>
        <v/>
      </c>
    </row>
    <row r="190" spans="7:8" x14ac:dyDescent="0.2">
      <c r="G190" t="str">
        <f>IF(C190="","",(C190/AVERAGE($C$2:C35751)))</f>
        <v/>
      </c>
      <c r="H190" t="str">
        <f>IF(C190="","",(C190/MEDIAN($C$2:D35751)))</f>
        <v/>
      </c>
    </row>
    <row r="191" spans="7:8" x14ac:dyDescent="0.2">
      <c r="G191" t="str">
        <f>IF(C191="","",(C191/AVERAGE($C$2:C35752)))</f>
        <v/>
      </c>
      <c r="H191" t="str">
        <f>IF(C191="","",(C191/MEDIAN($C$2:D35752)))</f>
        <v/>
      </c>
    </row>
    <row r="192" spans="7:8" x14ac:dyDescent="0.2">
      <c r="G192" t="str">
        <f>IF(C192="","",(C192/AVERAGE($C$2:C35753)))</f>
        <v/>
      </c>
      <c r="H192" t="str">
        <f>IF(C192="","",(C192/MEDIAN($C$2:D35753)))</f>
        <v/>
      </c>
    </row>
    <row r="193" spans="7:8" x14ac:dyDescent="0.2">
      <c r="G193" t="str">
        <f>IF(C193="","",(C193/AVERAGE($C$2:C35754)))</f>
        <v/>
      </c>
      <c r="H193" t="str">
        <f>IF(C193="","",(C193/MEDIAN($C$2:D35754)))</f>
        <v/>
      </c>
    </row>
    <row r="194" spans="7:8" x14ac:dyDescent="0.2">
      <c r="G194" t="str">
        <f>IF(C194="","",(C194/AVERAGE($C$2:C35755)))</f>
        <v/>
      </c>
      <c r="H194" t="str">
        <f>IF(C194="","",(C194/MEDIAN($C$2:D35755)))</f>
        <v/>
      </c>
    </row>
    <row r="195" spans="7:8" x14ac:dyDescent="0.2">
      <c r="G195" t="str">
        <f>IF(C195="","",(C195/AVERAGE($C$2:C35756)))</f>
        <v/>
      </c>
      <c r="H195" t="str">
        <f>IF(C195="","",(C195/MEDIAN($C$2:D35756)))</f>
        <v/>
      </c>
    </row>
    <row r="196" spans="7:8" x14ac:dyDescent="0.2">
      <c r="G196" t="str">
        <f>IF(C196="","",(C196/AVERAGE($C$2:C35757)))</f>
        <v/>
      </c>
      <c r="H196" t="str">
        <f>IF(C196="","",(C196/MEDIAN($C$2:D35757)))</f>
        <v/>
      </c>
    </row>
    <row r="197" spans="7:8" x14ac:dyDescent="0.2">
      <c r="G197" t="str">
        <f>IF(C197="","",(C197/AVERAGE($C$2:C35758)))</f>
        <v/>
      </c>
      <c r="H197" t="str">
        <f>IF(C197="","",(C197/MEDIAN($C$2:D35758)))</f>
        <v/>
      </c>
    </row>
    <row r="198" spans="7:8" x14ac:dyDescent="0.2">
      <c r="G198" t="str">
        <f>IF(C198="","",(C198/AVERAGE($C$2:C35759)))</f>
        <v/>
      </c>
      <c r="H198" t="str">
        <f>IF(C198="","",(C198/MEDIAN($C$2:D35759)))</f>
        <v/>
      </c>
    </row>
    <row r="199" spans="7:8" x14ac:dyDescent="0.2">
      <c r="G199" t="str">
        <f>IF(C199="","",(C199/AVERAGE($C$2:C35760)))</f>
        <v/>
      </c>
      <c r="H199" t="str">
        <f>IF(C199="","",(C199/MEDIAN($C$2:D35760)))</f>
        <v/>
      </c>
    </row>
    <row r="200" spans="7:8" x14ac:dyDescent="0.2">
      <c r="G200" t="str">
        <f>IF(C200="","",(C200/AVERAGE($C$2:C35761)))</f>
        <v/>
      </c>
      <c r="H200" t="str">
        <f>IF(C200="","",(C200/MEDIAN($C$2:D35761)))</f>
        <v/>
      </c>
    </row>
    <row r="201" spans="7:8" x14ac:dyDescent="0.2">
      <c r="G201" t="str">
        <f>IF(C201="","",(C201/AVERAGE($C$2:C35762)))</f>
        <v/>
      </c>
      <c r="H201" t="str">
        <f>IF(C201="","",(C201/MEDIAN($C$2:D35762)))</f>
        <v/>
      </c>
    </row>
    <row r="202" spans="7:8" x14ac:dyDescent="0.2">
      <c r="G202" t="str">
        <f>IF(C202="","",(C202/AVERAGE($C$2:C35763)))</f>
        <v/>
      </c>
      <c r="H202" t="str">
        <f>IF(C202="","",(C202/MEDIAN($C$2:D35763)))</f>
        <v/>
      </c>
    </row>
    <row r="203" spans="7:8" x14ac:dyDescent="0.2">
      <c r="G203" t="str">
        <f>IF(C203="","",(C203/AVERAGE($C$2:C35764)))</f>
        <v/>
      </c>
      <c r="H203" t="str">
        <f>IF(C203="","",(C203/MEDIAN($C$2:D35764)))</f>
        <v/>
      </c>
    </row>
    <row r="204" spans="7:8" x14ac:dyDescent="0.2">
      <c r="G204" t="str">
        <f>IF(C204="","",(C204/AVERAGE($C$2:C35765)))</f>
        <v/>
      </c>
      <c r="H204" t="str">
        <f>IF(C204="","",(C204/MEDIAN($C$2:D35765)))</f>
        <v/>
      </c>
    </row>
    <row r="205" spans="7:8" x14ac:dyDescent="0.2">
      <c r="G205" t="str">
        <f>IF(C205="","",(C205/AVERAGE($C$2:C35766)))</f>
        <v/>
      </c>
      <c r="H205" t="str">
        <f>IF(C205="","",(C205/MEDIAN($C$2:D35766)))</f>
        <v/>
      </c>
    </row>
    <row r="206" spans="7:8" x14ac:dyDescent="0.2">
      <c r="G206" t="str">
        <f>IF(C206="","",(C206/AVERAGE($C$2:C35767)))</f>
        <v/>
      </c>
      <c r="H206" t="str">
        <f>IF(C206="","",(C206/MEDIAN($C$2:D35767)))</f>
        <v/>
      </c>
    </row>
    <row r="207" spans="7:8" x14ac:dyDescent="0.2">
      <c r="G207" t="str">
        <f>IF(C207="","",(C207/AVERAGE($C$2:C35768)))</f>
        <v/>
      </c>
      <c r="H207" t="str">
        <f>IF(C207="","",(C207/MEDIAN($C$2:D35768)))</f>
        <v/>
      </c>
    </row>
    <row r="208" spans="7:8" x14ac:dyDescent="0.2">
      <c r="G208" t="str">
        <f>IF(C208="","",(C208/AVERAGE($C$2:C35769)))</f>
        <v/>
      </c>
      <c r="H208" t="str">
        <f>IF(C208="","",(C208/MEDIAN($C$2:D35769)))</f>
        <v/>
      </c>
    </row>
    <row r="209" spans="7:8" x14ac:dyDescent="0.2">
      <c r="G209" t="str">
        <f>IF(C209="","",(C209/AVERAGE($C$2:C35770)))</f>
        <v/>
      </c>
      <c r="H209" t="str">
        <f>IF(C209="","",(C209/MEDIAN($C$2:D35770)))</f>
        <v/>
      </c>
    </row>
    <row r="210" spans="7:8" x14ac:dyDescent="0.2">
      <c r="G210" t="str">
        <f>IF(C210="","",(C210/AVERAGE($C$2:C35771)))</f>
        <v/>
      </c>
      <c r="H210" t="str">
        <f>IF(C210="","",(C210/MEDIAN($C$2:D35771)))</f>
        <v/>
      </c>
    </row>
    <row r="211" spans="7:8" x14ac:dyDescent="0.2">
      <c r="G211" t="str">
        <f>IF(C211="","",(C211/AVERAGE($C$2:C35772)))</f>
        <v/>
      </c>
      <c r="H211" t="str">
        <f>IF(C211="","",(C211/MEDIAN($C$2:D35772)))</f>
        <v/>
      </c>
    </row>
    <row r="212" spans="7:8" x14ac:dyDescent="0.2">
      <c r="G212" t="str">
        <f>IF(C212="","",(C212/AVERAGE($C$2:C35773)))</f>
        <v/>
      </c>
      <c r="H212" t="str">
        <f>IF(C212="","",(C212/MEDIAN($C$2:D35773)))</f>
        <v/>
      </c>
    </row>
    <row r="213" spans="7:8" x14ac:dyDescent="0.2">
      <c r="G213" t="str">
        <f>IF(C213="","",(C213/AVERAGE($C$2:C35774)))</f>
        <v/>
      </c>
      <c r="H213" t="str">
        <f>IF(C213="","",(C213/MEDIAN($C$2:D35774)))</f>
        <v/>
      </c>
    </row>
    <row r="214" spans="7:8" x14ac:dyDescent="0.2">
      <c r="G214" t="str">
        <f>IF(C214="","",(C214/AVERAGE($C$2:C35775)))</f>
        <v/>
      </c>
      <c r="H214" t="str">
        <f>IF(C214="","",(C214/MEDIAN($C$2:D35775)))</f>
        <v/>
      </c>
    </row>
    <row r="215" spans="7:8" x14ac:dyDescent="0.2">
      <c r="G215" t="str">
        <f>IF(C215="","",(C215/AVERAGE($C$2:C35776)))</f>
        <v/>
      </c>
      <c r="H215" t="str">
        <f>IF(C215="","",(C215/MEDIAN($C$2:D35776)))</f>
        <v/>
      </c>
    </row>
    <row r="216" spans="7:8" x14ac:dyDescent="0.2">
      <c r="G216" t="str">
        <f>IF(C216="","",(C216/AVERAGE($C$2:C35777)))</f>
        <v/>
      </c>
      <c r="H216" t="str">
        <f>IF(C216="","",(C216/MEDIAN($C$2:D35777)))</f>
        <v/>
      </c>
    </row>
    <row r="217" spans="7:8" x14ac:dyDescent="0.2">
      <c r="G217" t="str">
        <f>IF(C217="","",(C217/AVERAGE($C$2:C35778)))</f>
        <v/>
      </c>
      <c r="H217" t="str">
        <f>IF(C217="","",(C217/MEDIAN($C$2:D35778)))</f>
        <v/>
      </c>
    </row>
    <row r="218" spans="7:8" x14ac:dyDescent="0.2">
      <c r="G218" t="str">
        <f>IF(C218="","",(C218/AVERAGE($C$2:C35779)))</f>
        <v/>
      </c>
      <c r="H218" t="str">
        <f>IF(C218="","",(C218/MEDIAN($C$2:D35779)))</f>
        <v/>
      </c>
    </row>
    <row r="219" spans="7:8" x14ac:dyDescent="0.2">
      <c r="G219" t="str">
        <f>IF(C219="","",(C219/AVERAGE($C$2:C35780)))</f>
        <v/>
      </c>
      <c r="H219" t="str">
        <f>IF(C219="","",(C219/MEDIAN($C$2:D35780)))</f>
        <v/>
      </c>
    </row>
    <row r="220" spans="7:8" x14ac:dyDescent="0.2">
      <c r="G220" t="str">
        <f>IF(C220="","",(C220/AVERAGE($C$2:C35781)))</f>
        <v/>
      </c>
      <c r="H220" t="str">
        <f>IF(C220="","",(C220/MEDIAN($C$2:D35781)))</f>
        <v/>
      </c>
    </row>
    <row r="221" spans="7:8" x14ac:dyDescent="0.2">
      <c r="G221" t="str">
        <f>IF(C221="","",(C221/AVERAGE($C$2:C35782)))</f>
        <v/>
      </c>
      <c r="H221" t="str">
        <f>IF(C221="","",(C221/MEDIAN($C$2:D35782)))</f>
        <v/>
      </c>
    </row>
    <row r="222" spans="7:8" x14ac:dyDescent="0.2">
      <c r="G222" t="str">
        <f>IF(C222="","",(C222/AVERAGE($C$2:C35783)))</f>
        <v/>
      </c>
      <c r="H222" t="str">
        <f>IF(C222="","",(C222/MEDIAN($C$2:D35783)))</f>
        <v/>
      </c>
    </row>
    <row r="223" spans="7:8" x14ac:dyDescent="0.2">
      <c r="G223" t="str">
        <f>IF(C223="","",(C223/AVERAGE($C$2:C35784)))</f>
        <v/>
      </c>
      <c r="H223" t="str">
        <f>IF(C223="","",(C223/MEDIAN($C$2:D35784)))</f>
        <v/>
      </c>
    </row>
    <row r="224" spans="7:8" x14ac:dyDescent="0.2">
      <c r="G224" t="str">
        <f>IF(C224="","",(C224/AVERAGE($C$2:C35785)))</f>
        <v/>
      </c>
      <c r="H224" t="str">
        <f>IF(C224="","",(C224/MEDIAN($C$2:D35785)))</f>
        <v/>
      </c>
    </row>
    <row r="225" spans="7:8" x14ac:dyDescent="0.2">
      <c r="G225" t="str">
        <f>IF(C225="","",(C225/AVERAGE($C$2:C35786)))</f>
        <v/>
      </c>
      <c r="H225" t="str">
        <f>IF(C225="","",(C225/MEDIAN($C$2:D35786)))</f>
        <v/>
      </c>
    </row>
    <row r="226" spans="7:8" x14ac:dyDescent="0.2">
      <c r="G226" t="str">
        <f>IF(C226="","",(C226/AVERAGE($C$2:C35787)))</f>
        <v/>
      </c>
      <c r="H226" t="str">
        <f>IF(C226="","",(C226/MEDIAN($C$2:D35787)))</f>
        <v/>
      </c>
    </row>
    <row r="227" spans="7:8" x14ac:dyDescent="0.2">
      <c r="G227" t="str">
        <f>IF(C227="","",(C227/AVERAGE($C$2:C35788)))</f>
        <v/>
      </c>
      <c r="H227" t="str">
        <f>IF(C227="","",(C227/MEDIAN($C$2:D35788)))</f>
        <v/>
      </c>
    </row>
    <row r="228" spans="7:8" x14ac:dyDescent="0.2">
      <c r="G228" t="str">
        <f>IF(C228="","",(C228/AVERAGE($C$2:C35789)))</f>
        <v/>
      </c>
      <c r="H228" t="str">
        <f>IF(C228="","",(C228/MEDIAN($C$2:D35789)))</f>
        <v/>
      </c>
    </row>
    <row r="229" spans="7:8" x14ac:dyDescent="0.2">
      <c r="G229" t="str">
        <f>IF(C229="","",(C229/AVERAGE($C$2:C35790)))</f>
        <v/>
      </c>
      <c r="H229" t="str">
        <f>IF(C229="","",(C229/MEDIAN($C$2:D35790)))</f>
        <v/>
      </c>
    </row>
    <row r="230" spans="7:8" x14ac:dyDescent="0.2">
      <c r="G230" t="str">
        <f>IF(C230="","",(C230/AVERAGE($C$2:C35791)))</f>
        <v/>
      </c>
      <c r="H230" t="str">
        <f>IF(C230="","",(C230/MEDIAN($C$2:D35791)))</f>
        <v/>
      </c>
    </row>
    <row r="231" spans="7:8" x14ac:dyDescent="0.2">
      <c r="G231" t="str">
        <f>IF(C231="","",(C231/AVERAGE($C$2:C35792)))</f>
        <v/>
      </c>
      <c r="H231" t="str">
        <f>IF(C231="","",(C231/MEDIAN($C$2:D35792)))</f>
        <v/>
      </c>
    </row>
    <row r="232" spans="7:8" x14ac:dyDescent="0.2">
      <c r="G232" t="str">
        <f>IF(C232="","",(C232/AVERAGE($C$2:C35793)))</f>
        <v/>
      </c>
      <c r="H232" t="str">
        <f>IF(C232="","",(C232/MEDIAN($C$2:D35793)))</f>
        <v/>
      </c>
    </row>
    <row r="233" spans="7:8" x14ac:dyDescent="0.2">
      <c r="G233" t="str">
        <f>IF(C233="","",(C233/AVERAGE($C$2:C35794)))</f>
        <v/>
      </c>
      <c r="H233" t="str">
        <f>IF(C233="","",(C233/MEDIAN($C$2:D35794)))</f>
        <v/>
      </c>
    </row>
    <row r="234" spans="7:8" x14ac:dyDescent="0.2">
      <c r="G234" t="str">
        <f>IF(C234="","",(C234/AVERAGE($C$2:C35795)))</f>
        <v/>
      </c>
      <c r="H234" t="str">
        <f>IF(C234="","",(C234/MEDIAN($C$2:D35795)))</f>
        <v/>
      </c>
    </row>
    <row r="235" spans="7:8" x14ac:dyDescent="0.2">
      <c r="G235" t="str">
        <f>IF(C235="","",(C235/AVERAGE($C$2:C35796)))</f>
        <v/>
      </c>
      <c r="H235" t="str">
        <f>IF(C235="","",(C235/MEDIAN($C$2:D35796)))</f>
        <v/>
      </c>
    </row>
    <row r="236" spans="7:8" x14ac:dyDescent="0.2">
      <c r="G236" t="str">
        <f>IF(C236="","",(C236/AVERAGE($C$2:C35797)))</f>
        <v/>
      </c>
      <c r="H236" t="str">
        <f>IF(C236="","",(C236/MEDIAN($C$2:D35797)))</f>
        <v/>
      </c>
    </row>
    <row r="237" spans="7:8" x14ac:dyDescent="0.2">
      <c r="G237" t="str">
        <f>IF(C237="","",(C237/AVERAGE($C$2:C35798)))</f>
        <v/>
      </c>
      <c r="H237" t="str">
        <f>IF(C237="","",(C237/MEDIAN($C$2:D35798)))</f>
        <v/>
      </c>
    </row>
    <row r="238" spans="7:8" x14ac:dyDescent="0.2">
      <c r="G238" t="str">
        <f>IF(C238="","",(C238/AVERAGE($C$2:C35799)))</f>
        <v/>
      </c>
      <c r="H238" t="str">
        <f>IF(C238="","",(C238/MEDIAN($C$2:D35799)))</f>
        <v/>
      </c>
    </row>
    <row r="239" spans="7:8" x14ac:dyDescent="0.2">
      <c r="G239" t="str">
        <f>IF(C239="","",(C239/AVERAGE($C$2:C35800)))</f>
        <v/>
      </c>
      <c r="H239" t="str">
        <f>IF(C239="","",(C239/MEDIAN($C$2:D35800)))</f>
        <v/>
      </c>
    </row>
    <row r="240" spans="7:8" x14ac:dyDescent="0.2">
      <c r="G240" t="str">
        <f>IF(C240="","",(C240/AVERAGE($C$2:C35801)))</f>
        <v/>
      </c>
      <c r="H240" t="str">
        <f>IF(C240="","",(C240/MEDIAN($C$2:D35801)))</f>
        <v/>
      </c>
    </row>
    <row r="241" spans="7:8" x14ac:dyDescent="0.2">
      <c r="G241" t="str">
        <f>IF(C241="","",(C241/AVERAGE($C$2:C35802)))</f>
        <v/>
      </c>
      <c r="H241" t="str">
        <f>IF(C241="","",(C241/MEDIAN($C$2:D35802)))</f>
        <v/>
      </c>
    </row>
    <row r="242" spans="7:8" x14ac:dyDescent="0.2">
      <c r="G242" t="str">
        <f>IF(C242="","",(C242/AVERAGE($C$2:C35803)))</f>
        <v/>
      </c>
      <c r="H242" t="str">
        <f>IF(C242="","",(C242/MEDIAN($C$2:D35803)))</f>
        <v/>
      </c>
    </row>
    <row r="243" spans="7:8" x14ac:dyDescent="0.2">
      <c r="G243" t="str">
        <f>IF(C243="","",(C243/AVERAGE($C$2:C35804)))</f>
        <v/>
      </c>
      <c r="H243" t="str">
        <f>IF(C243="","",(C243/MEDIAN($C$2:D35804)))</f>
        <v/>
      </c>
    </row>
    <row r="244" spans="7:8" x14ac:dyDescent="0.2">
      <c r="G244" t="str">
        <f>IF(C244="","",(C244/AVERAGE($C$2:C35805)))</f>
        <v/>
      </c>
      <c r="H244" t="str">
        <f>IF(C244="","",(C244/MEDIAN($C$2:D35805)))</f>
        <v/>
      </c>
    </row>
    <row r="245" spans="7:8" x14ac:dyDescent="0.2">
      <c r="G245" t="str">
        <f>IF(C245="","",(C245/AVERAGE($C$2:C35806)))</f>
        <v/>
      </c>
      <c r="H245" t="str">
        <f>IF(C245="","",(C245/MEDIAN($C$2:D35806)))</f>
        <v/>
      </c>
    </row>
    <row r="246" spans="7:8" x14ac:dyDescent="0.2">
      <c r="G246" t="str">
        <f>IF(C246="","",(C246/AVERAGE($C$2:C35807)))</f>
        <v/>
      </c>
      <c r="H246" t="str">
        <f>IF(C246="","",(C246/MEDIAN($C$2:D35807)))</f>
        <v/>
      </c>
    </row>
    <row r="247" spans="7:8" x14ac:dyDescent="0.2">
      <c r="G247" t="str">
        <f>IF(C247="","",(C247/AVERAGE($C$2:C35808)))</f>
        <v/>
      </c>
      <c r="H247" t="str">
        <f>IF(C247="","",(C247/MEDIAN($C$2:D35808)))</f>
        <v/>
      </c>
    </row>
    <row r="248" spans="7:8" x14ac:dyDescent="0.2">
      <c r="G248" t="str">
        <f>IF(C248="","",(C248/AVERAGE($C$2:C35809)))</f>
        <v/>
      </c>
      <c r="H248" t="str">
        <f>IF(C248="","",(C248/MEDIAN($C$2:D35809)))</f>
        <v/>
      </c>
    </row>
    <row r="249" spans="7:8" x14ac:dyDescent="0.2">
      <c r="G249" t="str">
        <f>IF(C249="","",(C249/AVERAGE($C$2:C35810)))</f>
        <v/>
      </c>
      <c r="H249" t="str">
        <f>IF(C249="","",(C249/MEDIAN($C$2:D35810)))</f>
        <v/>
      </c>
    </row>
    <row r="250" spans="7:8" x14ac:dyDescent="0.2">
      <c r="G250" t="str">
        <f>IF(C250="","",(C250/AVERAGE($C$2:C35811)))</f>
        <v/>
      </c>
      <c r="H250" t="str">
        <f>IF(C250="","",(C250/MEDIAN($C$2:D35811)))</f>
        <v/>
      </c>
    </row>
    <row r="251" spans="7:8" x14ac:dyDescent="0.2">
      <c r="G251" t="str">
        <f>IF(C251="","",(C251/AVERAGE($C$2:C35812)))</f>
        <v/>
      </c>
      <c r="H251" t="str">
        <f>IF(C251="","",(C251/MEDIAN($C$2:D35812)))</f>
        <v/>
      </c>
    </row>
    <row r="252" spans="7:8" x14ac:dyDescent="0.2">
      <c r="G252" t="str">
        <f>IF(C252="","",(C252/AVERAGE($C$2:C35813)))</f>
        <v/>
      </c>
      <c r="H252" t="str">
        <f>IF(C252="","",(C252/MEDIAN($C$2:D35813)))</f>
        <v/>
      </c>
    </row>
    <row r="253" spans="7:8" x14ac:dyDescent="0.2">
      <c r="G253" t="str">
        <f>IF(C253="","",(C253/AVERAGE($C$2:C35814)))</f>
        <v/>
      </c>
      <c r="H253" t="str">
        <f>IF(C253="","",(C253/MEDIAN($C$2:D35814)))</f>
        <v/>
      </c>
    </row>
    <row r="254" spans="7:8" x14ac:dyDescent="0.2">
      <c r="G254" t="str">
        <f>IF(C254="","",(C254/AVERAGE($C$2:C35815)))</f>
        <v/>
      </c>
      <c r="H254" t="str">
        <f>IF(C254="","",(C254/MEDIAN($C$2:D35815)))</f>
        <v/>
      </c>
    </row>
    <row r="255" spans="7:8" x14ac:dyDescent="0.2">
      <c r="G255" t="str">
        <f>IF(C255="","",(C255/AVERAGE($C$2:C35816)))</f>
        <v/>
      </c>
      <c r="H255" t="str">
        <f>IF(C255="","",(C255/MEDIAN($C$2:D35816)))</f>
        <v/>
      </c>
    </row>
    <row r="256" spans="7:8" x14ac:dyDescent="0.2">
      <c r="G256" t="str">
        <f>IF(C256="","",(C256/AVERAGE($C$2:C35817)))</f>
        <v/>
      </c>
      <c r="H256" t="str">
        <f>IF(C256="","",(C256/MEDIAN($C$2:D35817)))</f>
        <v/>
      </c>
    </row>
    <row r="257" spans="7:8" x14ac:dyDescent="0.2">
      <c r="G257" t="str">
        <f>IF(C257="","",(C257/AVERAGE($C$2:C35818)))</f>
        <v/>
      </c>
      <c r="H257" t="str">
        <f>IF(C257="","",(C257/MEDIAN($C$2:D35818)))</f>
        <v/>
      </c>
    </row>
    <row r="258" spans="7:8" x14ac:dyDescent="0.2">
      <c r="G258" t="str">
        <f>IF(C258="","",(C258/AVERAGE($C$2:C35819)))</f>
        <v/>
      </c>
      <c r="H258" t="str">
        <f>IF(C258="","",(C258/MEDIAN($C$2:D35819)))</f>
        <v/>
      </c>
    </row>
    <row r="259" spans="7:8" x14ac:dyDescent="0.2">
      <c r="G259" t="str">
        <f>IF(C259="","",(C259/AVERAGE($C$2:C35820)))</f>
        <v/>
      </c>
      <c r="H259" t="str">
        <f>IF(C259="","",(C259/MEDIAN($C$2:D35820)))</f>
        <v/>
      </c>
    </row>
    <row r="260" spans="7:8" x14ac:dyDescent="0.2">
      <c r="G260" t="str">
        <f>IF(C260="","",(C260/AVERAGE($C$2:C35821)))</f>
        <v/>
      </c>
      <c r="H260" t="str">
        <f>IF(C260="","",(C260/MEDIAN($C$2:D35821)))</f>
        <v/>
      </c>
    </row>
    <row r="261" spans="7:8" x14ac:dyDescent="0.2">
      <c r="G261" t="str">
        <f>IF(C261="","",(C261/AVERAGE($C$2:C35822)))</f>
        <v/>
      </c>
      <c r="H261" t="str">
        <f>IF(C261="","",(C261/MEDIAN($C$2:D35822)))</f>
        <v/>
      </c>
    </row>
    <row r="262" spans="7:8" x14ac:dyDescent="0.2">
      <c r="G262" t="str">
        <f>IF(C262="","",(C262/AVERAGE($C$2:C35823)))</f>
        <v/>
      </c>
      <c r="H262" t="str">
        <f>IF(C262="","",(C262/MEDIAN($C$2:D35823)))</f>
        <v/>
      </c>
    </row>
    <row r="263" spans="7:8" x14ac:dyDescent="0.2">
      <c r="G263" t="str">
        <f>IF(C263="","",(C263/AVERAGE($C$2:C35824)))</f>
        <v/>
      </c>
      <c r="H263" t="str">
        <f>IF(C263="","",(C263/MEDIAN($C$2:D35824)))</f>
        <v/>
      </c>
    </row>
    <row r="264" spans="7:8" x14ac:dyDescent="0.2">
      <c r="G264" t="str">
        <f>IF(C264="","",(C264/AVERAGE($C$2:C35825)))</f>
        <v/>
      </c>
      <c r="H264" t="str">
        <f>IF(C264="","",(C264/MEDIAN($C$2:D35825)))</f>
        <v/>
      </c>
    </row>
    <row r="265" spans="7:8" x14ac:dyDescent="0.2">
      <c r="G265" t="str">
        <f>IF(C265="","",(C265/AVERAGE($C$2:C35826)))</f>
        <v/>
      </c>
      <c r="H265" t="str">
        <f>IF(C265="","",(C265/MEDIAN($C$2:D35826)))</f>
        <v/>
      </c>
    </row>
    <row r="266" spans="7:8" x14ac:dyDescent="0.2">
      <c r="G266" t="str">
        <f>IF(C266="","",(C266/AVERAGE($C$2:C35827)))</f>
        <v/>
      </c>
      <c r="H266" t="str">
        <f>IF(C266="","",(C266/MEDIAN($C$2:D35827)))</f>
        <v/>
      </c>
    </row>
    <row r="267" spans="7:8" x14ac:dyDescent="0.2">
      <c r="G267" t="str">
        <f>IF(C267="","",(C267/AVERAGE($C$2:C35828)))</f>
        <v/>
      </c>
      <c r="H267" t="str">
        <f>IF(C267="","",(C267/MEDIAN($C$2:D35828)))</f>
        <v/>
      </c>
    </row>
    <row r="268" spans="7:8" x14ac:dyDescent="0.2">
      <c r="G268" t="str">
        <f>IF(C268="","",(C268/AVERAGE($C$2:C35829)))</f>
        <v/>
      </c>
      <c r="H268" t="str">
        <f>IF(C268="","",(C268/MEDIAN($C$2:D35829)))</f>
        <v/>
      </c>
    </row>
    <row r="269" spans="7:8" x14ac:dyDescent="0.2">
      <c r="G269" t="str">
        <f>IF(C269="","",(C269/AVERAGE($C$2:C35830)))</f>
        <v/>
      </c>
      <c r="H269" t="str">
        <f>IF(C269="","",(C269/MEDIAN($C$2:D35830)))</f>
        <v/>
      </c>
    </row>
    <row r="270" spans="7:8" x14ac:dyDescent="0.2">
      <c r="G270" t="str">
        <f>IF(C270="","",(C270/AVERAGE($C$2:C35831)))</f>
        <v/>
      </c>
      <c r="H270" t="str">
        <f>IF(C270="","",(C270/MEDIAN($C$2:D35831)))</f>
        <v/>
      </c>
    </row>
    <row r="271" spans="7:8" x14ac:dyDescent="0.2">
      <c r="G271" t="str">
        <f>IF(C271="","",(C271/AVERAGE($C$2:C35832)))</f>
        <v/>
      </c>
      <c r="H271" t="str">
        <f>IF(C271="","",(C271/MEDIAN($C$2:D35832)))</f>
        <v/>
      </c>
    </row>
    <row r="272" spans="7:8" x14ac:dyDescent="0.2">
      <c r="G272" t="str">
        <f>IF(C272="","",(C272/AVERAGE($C$2:C35833)))</f>
        <v/>
      </c>
      <c r="H272" t="str">
        <f>IF(C272="","",(C272/MEDIAN($C$2:D35833)))</f>
        <v/>
      </c>
    </row>
    <row r="273" spans="7:8" x14ac:dyDescent="0.2">
      <c r="G273" t="str">
        <f>IF(C273="","",(C273/AVERAGE($C$2:C35834)))</f>
        <v/>
      </c>
      <c r="H273" t="str">
        <f>IF(C273="","",(C273/MEDIAN($C$2:D35834)))</f>
        <v/>
      </c>
    </row>
    <row r="274" spans="7:8" x14ac:dyDescent="0.2">
      <c r="G274" t="str">
        <f>IF(C274="","",(C274/AVERAGE($C$2:C35835)))</f>
        <v/>
      </c>
      <c r="H274" t="str">
        <f>IF(C274="","",(C274/MEDIAN($C$2:D35835)))</f>
        <v/>
      </c>
    </row>
    <row r="275" spans="7:8" x14ac:dyDescent="0.2">
      <c r="G275" t="str">
        <f>IF(C275="","",(C275/AVERAGE($C$2:C35836)))</f>
        <v/>
      </c>
      <c r="H275" t="str">
        <f>IF(C275="","",(C275/MEDIAN($C$2:D35836)))</f>
        <v/>
      </c>
    </row>
    <row r="276" spans="7:8" x14ac:dyDescent="0.2">
      <c r="G276" t="str">
        <f>IF(C276="","",(C276/AVERAGE($C$2:C35837)))</f>
        <v/>
      </c>
      <c r="H276" t="str">
        <f>IF(C276="","",(C276/MEDIAN($C$2:D35837)))</f>
        <v/>
      </c>
    </row>
    <row r="277" spans="7:8" x14ac:dyDescent="0.2">
      <c r="G277" t="str">
        <f>IF(C277="","",(C277/AVERAGE($C$2:C35838)))</f>
        <v/>
      </c>
      <c r="H277" t="str">
        <f>IF(C277="","",(C277/MEDIAN($C$2:D35838)))</f>
        <v/>
      </c>
    </row>
    <row r="278" spans="7:8" x14ac:dyDescent="0.2">
      <c r="G278" t="str">
        <f>IF(C278="","",(C278/AVERAGE($C$2:C35839)))</f>
        <v/>
      </c>
      <c r="H278" t="str">
        <f>IF(C278="","",(C278/MEDIAN($C$2:D35839)))</f>
        <v/>
      </c>
    </row>
    <row r="279" spans="7:8" x14ac:dyDescent="0.2">
      <c r="G279" t="str">
        <f>IF(C279="","",(C279/AVERAGE($C$2:C35840)))</f>
        <v/>
      </c>
      <c r="H279" t="str">
        <f>IF(C279="","",(C279/MEDIAN($C$2:D35840)))</f>
        <v/>
      </c>
    </row>
    <row r="280" spans="7:8" x14ac:dyDescent="0.2">
      <c r="G280" t="str">
        <f>IF(C280="","",(C280/AVERAGE($C$2:C35841)))</f>
        <v/>
      </c>
      <c r="H280" t="str">
        <f>IF(C280="","",(C280/MEDIAN($C$2:D35841)))</f>
        <v/>
      </c>
    </row>
    <row r="281" spans="7:8" x14ac:dyDescent="0.2">
      <c r="G281" t="str">
        <f>IF(C281="","",(C281/AVERAGE($C$2:C35842)))</f>
        <v/>
      </c>
      <c r="H281" t="str">
        <f>IF(C281="","",(C281/MEDIAN($C$2:D35842)))</f>
        <v/>
      </c>
    </row>
    <row r="282" spans="7:8" x14ac:dyDescent="0.2">
      <c r="G282" t="str">
        <f>IF(C282="","",(C282/AVERAGE($C$2:C35843)))</f>
        <v/>
      </c>
      <c r="H282" t="str">
        <f>IF(C282="","",(C282/MEDIAN($C$2:D35843)))</f>
        <v/>
      </c>
    </row>
    <row r="283" spans="7:8" x14ac:dyDescent="0.2">
      <c r="G283" t="str">
        <f>IF(C283="","",(C283/AVERAGE($C$2:C35844)))</f>
        <v/>
      </c>
      <c r="H283" t="str">
        <f>IF(C283="","",(C283/MEDIAN($C$2:D35844)))</f>
        <v/>
      </c>
    </row>
    <row r="284" spans="7:8" x14ac:dyDescent="0.2">
      <c r="G284" t="str">
        <f>IF(C284="","",(C284/AVERAGE($C$2:C35845)))</f>
        <v/>
      </c>
      <c r="H284" t="str">
        <f>IF(C284="","",(C284/MEDIAN($C$2:D35845)))</f>
        <v/>
      </c>
    </row>
    <row r="285" spans="7:8" x14ac:dyDescent="0.2">
      <c r="G285" t="str">
        <f>IF(C285="","",(C285/AVERAGE($C$2:C35846)))</f>
        <v/>
      </c>
      <c r="H285" t="str">
        <f>IF(C285="","",(C285/MEDIAN($C$2:D35846)))</f>
        <v/>
      </c>
    </row>
    <row r="286" spans="7:8" x14ac:dyDescent="0.2">
      <c r="G286" t="str">
        <f>IF(C286="","",(C286/AVERAGE($C$2:C35847)))</f>
        <v/>
      </c>
      <c r="H286" t="str">
        <f>IF(C286="","",(C286/MEDIAN($C$2:D35847)))</f>
        <v/>
      </c>
    </row>
    <row r="287" spans="7:8" x14ac:dyDescent="0.2">
      <c r="G287" t="str">
        <f>IF(C287="","",(C287/AVERAGE($C$2:C35848)))</f>
        <v/>
      </c>
      <c r="H287" t="str">
        <f>IF(C287="","",(C287/MEDIAN($C$2:D35848)))</f>
        <v/>
      </c>
    </row>
    <row r="288" spans="7:8" x14ac:dyDescent="0.2">
      <c r="G288" t="str">
        <f>IF(C288="","",(C288/AVERAGE($C$2:C35849)))</f>
        <v/>
      </c>
      <c r="H288" t="str">
        <f>IF(C288="","",(C288/MEDIAN($C$2:D35849)))</f>
        <v/>
      </c>
    </row>
    <row r="289" spans="7:8" x14ac:dyDescent="0.2">
      <c r="G289" t="str">
        <f>IF(C289="","",(C289/AVERAGE($C$2:C35850)))</f>
        <v/>
      </c>
      <c r="H289" t="str">
        <f>IF(C289="","",(C289/MEDIAN($C$2:D35850)))</f>
        <v/>
      </c>
    </row>
    <row r="290" spans="7:8" x14ac:dyDescent="0.2">
      <c r="G290" t="str">
        <f>IF(C290="","",(C290/AVERAGE($C$2:C35851)))</f>
        <v/>
      </c>
      <c r="H290" t="str">
        <f>IF(C290="","",(C290/MEDIAN($C$2:D35851)))</f>
        <v/>
      </c>
    </row>
    <row r="291" spans="7:8" x14ac:dyDescent="0.2">
      <c r="G291" t="str">
        <f>IF(C291="","",(C291/AVERAGE($C$2:C35852)))</f>
        <v/>
      </c>
      <c r="H291" t="str">
        <f>IF(C291="","",(C291/MEDIAN($C$2:D35852)))</f>
        <v/>
      </c>
    </row>
    <row r="292" spans="7:8" x14ac:dyDescent="0.2">
      <c r="G292" t="str">
        <f>IF(C292="","",(C292/AVERAGE($C$2:C35853)))</f>
        <v/>
      </c>
      <c r="H292" t="str">
        <f>IF(C292="","",(C292/MEDIAN($C$2:D35853)))</f>
        <v/>
      </c>
    </row>
    <row r="293" spans="7:8" x14ac:dyDescent="0.2">
      <c r="G293" t="str">
        <f>IF(C293="","",(C293/AVERAGE($C$2:C35854)))</f>
        <v/>
      </c>
      <c r="H293" t="str">
        <f>IF(C293="","",(C293/MEDIAN($C$2:D35854)))</f>
        <v/>
      </c>
    </row>
    <row r="294" spans="7:8" x14ac:dyDescent="0.2">
      <c r="G294" t="str">
        <f>IF(C294="","",(C294/AVERAGE($C$2:C35855)))</f>
        <v/>
      </c>
      <c r="H294" t="str">
        <f>IF(C294="","",(C294/MEDIAN($C$2:D35855)))</f>
        <v/>
      </c>
    </row>
    <row r="295" spans="7:8" x14ac:dyDescent="0.2">
      <c r="G295" t="str">
        <f>IF(C295="","",(C295/AVERAGE($C$2:C35856)))</f>
        <v/>
      </c>
      <c r="H295" t="str">
        <f>IF(C295="","",(C295/MEDIAN($C$2:D35856)))</f>
        <v/>
      </c>
    </row>
    <row r="296" spans="7:8" x14ac:dyDescent="0.2">
      <c r="G296" t="str">
        <f>IF(C296="","",(C296/AVERAGE($C$2:C35857)))</f>
        <v/>
      </c>
      <c r="H296" t="str">
        <f>IF(C296="","",(C296/MEDIAN($C$2:D35857)))</f>
        <v/>
      </c>
    </row>
    <row r="297" spans="7:8" x14ac:dyDescent="0.2">
      <c r="G297" t="str">
        <f>IF(C297="","",(C297/AVERAGE($C$2:C35858)))</f>
        <v/>
      </c>
      <c r="H297" t="str">
        <f>IF(C297="","",(C297/MEDIAN($C$2:D35858)))</f>
        <v/>
      </c>
    </row>
    <row r="298" spans="7:8" x14ac:dyDescent="0.2">
      <c r="G298" t="str">
        <f>IF(C298="","",(C298/AVERAGE($C$2:C35859)))</f>
        <v/>
      </c>
      <c r="H298" t="str">
        <f>IF(C298="","",(C298/MEDIAN($C$2:D35859)))</f>
        <v/>
      </c>
    </row>
    <row r="299" spans="7:8" x14ac:dyDescent="0.2">
      <c r="G299" t="str">
        <f>IF(C299="","",(C299/AVERAGE($C$2:C35860)))</f>
        <v/>
      </c>
      <c r="H299" t="str">
        <f>IF(C299="","",(C299/MEDIAN($C$2:D35860)))</f>
        <v/>
      </c>
    </row>
    <row r="300" spans="7:8" x14ac:dyDescent="0.2">
      <c r="G300" t="str">
        <f>IF(C300="","",(C300/AVERAGE($C$2:C35861)))</f>
        <v/>
      </c>
      <c r="H300" t="str">
        <f>IF(C300="","",(C300/MEDIAN($C$2:D35861)))</f>
        <v/>
      </c>
    </row>
    <row r="301" spans="7:8" x14ac:dyDescent="0.2">
      <c r="G301" t="str">
        <f>IF(C301="","",(C301/AVERAGE($C$2:C35862)))</f>
        <v/>
      </c>
      <c r="H301" t="str">
        <f>IF(C301="","",(C301/MEDIAN($C$2:D35862)))</f>
        <v/>
      </c>
    </row>
    <row r="302" spans="7:8" x14ac:dyDescent="0.2">
      <c r="G302" t="str">
        <f>IF(C302="","",(C302/AVERAGE($C$2:C35863)))</f>
        <v/>
      </c>
      <c r="H302" t="str">
        <f>IF(C302="","",(C302/MEDIAN($C$2:D35863)))</f>
        <v/>
      </c>
    </row>
    <row r="303" spans="7:8" x14ac:dyDescent="0.2">
      <c r="G303" t="str">
        <f>IF(C303="","",(C303/AVERAGE($C$2:C35864)))</f>
        <v/>
      </c>
      <c r="H303" t="str">
        <f>IF(C303="","",(C303/MEDIAN($C$2:D35864)))</f>
        <v/>
      </c>
    </row>
    <row r="304" spans="7:8" x14ac:dyDescent="0.2">
      <c r="G304" t="str">
        <f>IF(C304="","",(C304/AVERAGE($C$2:C35865)))</f>
        <v/>
      </c>
      <c r="H304" t="str">
        <f>IF(C304="","",(C304/MEDIAN($C$2:D35865)))</f>
        <v/>
      </c>
    </row>
    <row r="305" spans="7:8" x14ac:dyDescent="0.2">
      <c r="G305" t="str">
        <f>IF(C305="","",(C305/AVERAGE($C$2:C35866)))</f>
        <v/>
      </c>
      <c r="H305" t="str">
        <f>IF(C305="","",(C305/MEDIAN($C$2:D35866)))</f>
        <v/>
      </c>
    </row>
    <row r="306" spans="7:8" x14ac:dyDescent="0.2">
      <c r="G306" t="str">
        <f>IF(C306="","",(C306/AVERAGE($C$2:C35867)))</f>
        <v/>
      </c>
      <c r="H306" t="str">
        <f>IF(C306="","",(C306/MEDIAN($C$2:D35867)))</f>
        <v/>
      </c>
    </row>
    <row r="307" spans="7:8" x14ac:dyDescent="0.2">
      <c r="G307" t="str">
        <f>IF(C307="","",(C307/AVERAGE($C$2:C35868)))</f>
        <v/>
      </c>
      <c r="H307" t="str">
        <f>IF(C307="","",(C307/MEDIAN($C$2:D35868)))</f>
        <v/>
      </c>
    </row>
    <row r="308" spans="7:8" x14ac:dyDescent="0.2">
      <c r="G308" t="str">
        <f>IF(C308="","",(C308/AVERAGE($C$2:C35869)))</f>
        <v/>
      </c>
      <c r="H308" t="str">
        <f>IF(C308="","",(C308/MEDIAN($C$2:D35869)))</f>
        <v/>
      </c>
    </row>
    <row r="309" spans="7:8" x14ac:dyDescent="0.2">
      <c r="G309" t="str">
        <f>IF(C309="","",(C309/AVERAGE($C$2:C35870)))</f>
        <v/>
      </c>
      <c r="H309" t="str">
        <f>IF(C309="","",(C309/MEDIAN($C$2:D35870)))</f>
        <v/>
      </c>
    </row>
    <row r="310" spans="7:8" x14ac:dyDescent="0.2">
      <c r="G310" t="str">
        <f>IF(C310="","",(C310/AVERAGE($C$2:C35871)))</f>
        <v/>
      </c>
      <c r="H310" t="str">
        <f>IF(C310="","",(C310/MEDIAN($C$2:D35871)))</f>
        <v/>
      </c>
    </row>
    <row r="311" spans="7:8" x14ac:dyDescent="0.2">
      <c r="G311" t="str">
        <f>IF(C311="","",(C311/AVERAGE($C$2:C35872)))</f>
        <v/>
      </c>
      <c r="H311" t="str">
        <f>IF(C311="","",(C311/MEDIAN($C$2:D35872)))</f>
        <v/>
      </c>
    </row>
    <row r="312" spans="7:8" x14ac:dyDescent="0.2">
      <c r="G312" t="str">
        <f>IF(C312="","",(C312/AVERAGE($C$2:C35873)))</f>
        <v/>
      </c>
      <c r="H312" t="str">
        <f>IF(C312="","",(C312/MEDIAN($C$2:D35873)))</f>
        <v/>
      </c>
    </row>
    <row r="313" spans="7:8" x14ac:dyDescent="0.2">
      <c r="G313" t="str">
        <f>IF(C313="","",(C313/AVERAGE($C$2:C35874)))</f>
        <v/>
      </c>
      <c r="H313" t="str">
        <f>IF(C313="","",(C313/MEDIAN($C$2:D35874)))</f>
        <v/>
      </c>
    </row>
    <row r="314" spans="7:8" x14ac:dyDescent="0.2">
      <c r="G314" t="str">
        <f>IF(C314="","",(C314/AVERAGE($C$2:C35875)))</f>
        <v/>
      </c>
      <c r="H314" t="str">
        <f>IF(C314="","",(C314/MEDIAN($C$2:D35875)))</f>
        <v/>
      </c>
    </row>
    <row r="315" spans="7:8" x14ac:dyDescent="0.2">
      <c r="G315" t="str">
        <f>IF(C315="","",(C315/AVERAGE($C$2:C35876)))</f>
        <v/>
      </c>
      <c r="H315" t="str">
        <f>IF(C315="","",(C315/MEDIAN($C$2:D35876)))</f>
        <v/>
      </c>
    </row>
    <row r="316" spans="7:8" x14ac:dyDescent="0.2">
      <c r="G316" t="str">
        <f>IF(C316="","",(C316/AVERAGE($C$2:C35877)))</f>
        <v/>
      </c>
      <c r="H316" t="str">
        <f>IF(C316="","",(C316/MEDIAN($C$2:D35877)))</f>
        <v/>
      </c>
    </row>
    <row r="317" spans="7:8" x14ac:dyDescent="0.2">
      <c r="G317" t="str">
        <f>IF(C317="","",(C317/AVERAGE($C$2:C35878)))</f>
        <v/>
      </c>
      <c r="H317" t="str">
        <f>IF(C317="","",(C317/MEDIAN($C$2:D35878)))</f>
        <v/>
      </c>
    </row>
    <row r="318" spans="7:8" x14ac:dyDescent="0.2">
      <c r="G318" t="str">
        <f>IF(C318="","",(C318/AVERAGE($C$2:C35879)))</f>
        <v/>
      </c>
      <c r="H318" t="str">
        <f>IF(C318="","",(C318/MEDIAN($C$2:D35879)))</f>
        <v/>
      </c>
    </row>
    <row r="319" spans="7:8" x14ac:dyDescent="0.2">
      <c r="G319" t="str">
        <f>IF(C319="","",(C319/AVERAGE($C$2:C35880)))</f>
        <v/>
      </c>
      <c r="H319" t="str">
        <f>IF(C319="","",(C319/MEDIAN($C$2:D35880)))</f>
        <v/>
      </c>
    </row>
    <row r="320" spans="7:8" x14ac:dyDescent="0.2">
      <c r="G320" t="str">
        <f>IF(C320="","",(C320/AVERAGE($C$2:C35881)))</f>
        <v/>
      </c>
      <c r="H320" t="str">
        <f>IF(C320="","",(C320/MEDIAN($C$2:D35881)))</f>
        <v/>
      </c>
    </row>
    <row r="321" spans="7:8" x14ac:dyDescent="0.2">
      <c r="G321" t="str">
        <f>IF(C321="","",(C321/AVERAGE($C$2:C35882)))</f>
        <v/>
      </c>
      <c r="H321" t="str">
        <f>IF(C321="","",(C321/MEDIAN($C$2:D35882)))</f>
        <v/>
      </c>
    </row>
    <row r="322" spans="7:8" x14ac:dyDescent="0.2">
      <c r="G322" t="str">
        <f>IF(C322="","",(C322/AVERAGE($C$2:C35883)))</f>
        <v/>
      </c>
      <c r="H322" t="str">
        <f>IF(C322="","",(C322/MEDIAN($C$2:D35883)))</f>
        <v/>
      </c>
    </row>
    <row r="323" spans="7:8" x14ac:dyDescent="0.2">
      <c r="G323" t="str">
        <f>IF(C323="","",(C323/AVERAGE($C$2:C35884)))</f>
        <v/>
      </c>
      <c r="H323" t="str">
        <f>IF(C323="","",(C323/MEDIAN($C$2:D35884)))</f>
        <v/>
      </c>
    </row>
    <row r="324" spans="7:8" x14ac:dyDescent="0.2">
      <c r="G324" t="str">
        <f>IF(C324="","",(C324/AVERAGE($C$2:C35885)))</f>
        <v/>
      </c>
      <c r="H324" t="str">
        <f>IF(C324="","",(C324/MEDIAN($C$2:D35885)))</f>
        <v/>
      </c>
    </row>
    <row r="325" spans="7:8" x14ac:dyDescent="0.2">
      <c r="G325" t="str">
        <f>IF(C325="","",(C325/AVERAGE($C$2:C35886)))</f>
        <v/>
      </c>
      <c r="H325" t="str">
        <f>IF(C325="","",(C325/MEDIAN($C$2:D35886)))</f>
        <v/>
      </c>
    </row>
    <row r="326" spans="7:8" x14ac:dyDescent="0.2">
      <c r="G326" t="str">
        <f>IF(C326="","",(C326/AVERAGE($C$2:C35887)))</f>
        <v/>
      </c>
      <c r="H326" t="str">
        <f>IF(C326="","",(C326/MEDIAN($C$2:D35887)))</f>
        <v/>
      </c>
    </row>
    <row r="327" spans="7:8" x14ac:dyDescent="0.2">
      <c r="G327" t="str">
        <f>IF(C327="","",(C327/AVERAGE($C$2:C35888)))</f>
        <v/>
      </c>
      <c r="H327" t="str">
        <f>IF(C327="","",(C327/MEDIAN($C$2:D35888)))</f>
        <v/>
      </c>
    </row>
    <row r="328" spans="7:8" x14ac:dyDescent="0.2">
      <c r="G328" t="str">
        <f>IF(C328="","",(C328/AVERAGE($C$2:C35889)))</f>
        <v/>
      </c>
      <c r="H328" t="str">
        <f>IF(C328="","",(C328/MEDIAN($C$2:D35889)))</f>
        <v/>
      </c>
    </row>
    <row r="329" spans="7:8" x14ac:dyDescent="0.2">
      <c r="G329" t="str">
        <f>IF(C329="","",(C329/AVERAGE($C$2:C35890)))</f>
        <v/>
      </c>
      <c r="H329" t="str">
        <f>IF(C329="","",(C329/MEDIAN($C$2:D35890)))</f>
        <v/>
      </c>
    </row>
    <row r="330" spans="7:8" x14ac:dyDescent="0.2">
      <c r="G330" t="str">
        <f>IF(C330="","",(C330/AVERAGE($C$2:C35891)))</f>
        <v/>
      </c>
      <c r="H330" t="str">
        <f>IF(C330="","",(C330/MEDIAN($C$2:D35891)))</f>
        <v/>
      </c>
    </row>
    <row r="331" spans="7:8" x14ac:dyDescent="0.2">
      <c r="G331" t="str">
        <f>IF(C331="","",(C331/AVERAGE($C$2:C35892)))</f>
        <v/>
      </c>
      <c r="H331" t="str">
        <f>IF(C331="","",(C331/MEDIAN($C$2:D35892)))</f>
        <v/>
      </c>
    </row>
    <row r="332" spans="7:8" x14ac:dyDescent="0.2">
      <c r="G332" t="str">
        <f>IF(C332="","",(C332/AVERAGE($C$2:C35893)))</f>
        <v/>
      </c>
      <c r="H332" t="str">
        <f>IF(C332="","",(C332/MEDIAN($C$2:D35893)))</f>
        <v/>
      </c>
    </row>
    <row r="333" spans="7:8" x14ac:dyDescent="0.2">
      <c r="G333" t="str">
        <f>IF(C333="","",(C333/AVERAGE($C$2:C35894)))</f>
        <v/>
      </c>
      <c r="H333" t="str">
        <f>IF(C333="","",(C333/MEDIAN($C$2:D35894)))</f>
        <v/>
      </c>
    </row>
    <row r="334" spans="7:8" x14ac:dyDescent="0.2">
      <c r="G334" t="str">
        <f>IF(C334="","",(C334/AVERAGE($C$2:C35895)))</f>
        <v/>
      </c>
      <c r="H334" t="str">
        <f>IF(C334="","",(C334/MEDIAN($C$2:D35895)))</f>
        <v/>
      </c>
    </row>
    <row r="335" spans="7:8" x14ac:dyDescent="0.2">
      <c r="G335" t="str">
        <f>IF(C335="","",(C335/AVERAGE($C$2:C35896)))</f>
        <v/>
      </c>
      <c r="H335" t="str">
        <f>IF(C335="","",(C335/MEDIAN($C$2:D35896)))</f>
        <v/>
      </c>
    </row>
    <row r="336" spans="7:8" x14ac:dyDescent="0.2">
      <c r="G336" t="str">
        <f>IF(C336="","",(C336/AVERAGE($C$2:C35897)))</f>
        <v/>
      </c>
      <c r="H336" t="str">
        <f>IF(C336="","",(C336/MEDIAN($C$2:D35897)))</f>
        <v/>
      </c>
    </row>
    <row r="337" spans="7:8" x14ac:dyDescent="0.2">
      <c r="G337" t="str">
        <f>IF(C337="","",(C337/AVERAGE($C$2:C35898)))</f>
        <v/>
      </c>
      <c r="H337" t="str">
        <f>IF(C337="","",(C337/MEDIAN($C$2:D35898)))</f>
        <v/>
      </c>
    </row>
    <row r="338" spans="7:8" x14ac:dyDescent="0.2">
      <c r="G338" t="str">
        <f>IF(C338="","",(C338/AVERAGE($C$2:C35899)))</f>
        <v/>
      </c>
      <c r="H338" t="str">
        <f>IF(C338="","",(C338/MEDIAN($C$2:D35899)))</f>
        <v/>
      </c>
    </row>
    <row r="339" spans="7:8" x14ac:dyDescent="0.2">
      <c r="G339" t="str">
        <f>IF(C339="","",(C339/AVERAGE($C$2:C35900)))</f>
        <v/>
      </c>
      <c r="H339" t="str">
        <f>IF(C339="","",(C339/MEDIAN($C$2:D35900)))</f>
        <v/>
      </c>
    </row>
    <row r="340" spans="7:8" x14ac:dyDescent="0.2">
      <c r="G340" t="str">
        <f>IF(C340="","",(C340/AVERAGE($C$2:C35901)))</f>
        <v/>
      </c>
      <c r="H340" t="str">
        <f>IF(C340="","",(C340/MEDIAN($C$2:D35901)))</f>
        <v/>
      </c>
    </row>
    <row r="341" spans="7:8" x14ac:dyDescent="0.2">
      <c r="G341" t="str">
        <f>IF(C341="","",(C341/AVERAGE($C$2:C35902)))</f>
        <v/>
      </c>
      <c r="H341" t="str">
        <f>IF(C341="","",(C341/MEDIAN($C$2:D35902)))</f>
        <v/>
      </c>
    </row>
    <row r="342" spans="7:8" x14ac:dyDescent="0.2">
      <c r="G342" t="str">
        <f>IF(C342="","",(C342/AVERAGE($C$2:C35903)))</f>
        <v/>
      </c>
      <c r="H342" t="str">
        <f>IF(C342="","",(C342/MEDIAN($C$2:D35903)))</f>
        <v/>
      </c>
    </row>
    <row r="343" spans="7:8" x14ac:dyDescent="0.2">
      <c r="G343" t="str">
        <f>IF(C343="","",(C343/AVERAGE($C$2:C35904)))</f>
        <v/>
      </c>
      <c r="H343" t="str">
        <f>IF(C343="","",(C343/MEDIAN($C$2:D35904)))</f>
        <v/>
      </c>
    </row>
    <row r="344" spans="7:8" x14ac:dyDescent="0.2">
      <c r="G344" t="str">
        <f>IF(C344="","",(C344/AVERAGE($C$2:C35905)))</f>
        <v/>
      </c>
      <c r="H344" t="str">
        <f>IF(C344="","",(C344/MEDIAN($C$2:D35905)))</f>
        <v/>
      </c>
    </row>
    <row r="345" spans="7:8" x14ac:dyDescent="0.2">
      <c r="G345" t="str">
        <f>IF(C345="","",(C345/AVERAGE($C$2:C35906)))</f>
        <v/>
      </c>
      <c r="H345" t="str">
        <f>IF(C345="","",(C345/MEDIAN($C$2:D35906)))</f>
        <v/>
      </c>
    </row>
    <row r="346" spans="7:8" x14ac:dyDescent="0.2">
      <c r="G346" t="str">
        <f>IF(C346="","",(C346/AVERAGE($C$2:C35907)))</f>
        <v/>
      </c>
      <c r="H346" t="str">
        <f>IF(C346="","",(C346/MEDIAN($C$2:D35907)))</f>
        <v/>
      </c>
    </row>
    <row r="347" spans="7:8" x14ac:dyDescent="0.2">
      <c r="G347" t="str">
        <f>IF(C347="","",(C347/AVERAGE($C$2:C35908)))</f>
        <v/>
      </c>
      <c r="H347" t="str">
        <f>IF(C347="","",(C347/MEDIAN($C$2:D35908)))</f>
        <v/>
      </c>
    </row>
    <row r="348" spans="7:8" x14ac:dyDescent="0.2">
      <c r="G348" t="str">
        <f>IF(C348="","",(C348/AVERAGE($C$2:C35909)))</f>
        <v/>
      </c>
      <c r="H348" t="str">
        <f>IF(C348="","",(C348/MEDIAN($C$2:D35909)))</f>
        <v/>
      </c>
    </row>
    <row r="349" spans="7:8" x14ac:dyDescent="0.2">
      <c r="G349" t="str">
        <f>IF(C349="","",(C349/AVERAGE($C$2:C35910)))</f>
        <v/>
      </c>
      <c r="H349" t="str">
        <f>IF(C349="","",(C349/MEDIAN($C$2:D35910)))</f>
        <v/>
      </c>
    </row>
    <row r="350" spans="7:8" x14ac:dyDescent="0.2">
      <c r="G350" t="str">
        <f>IF(C350="","",(C350/AVERAGE($C$2:C35911)))</f>
        <v/>
      </c>
      <c r="H350" t="str">
        <f>IF(C350="","",(C350/MEDIAN($C$2:D35911)))</f>
        <v/>
      </c>
    </row>
    <row r="351" spans="7:8" x14ac:dyDescent="0.2">
      <c r="G351" t="str">
        <f>IF(C351="","",(C351/AVERAGE($C$2:C35912)))</f>
        <v/>
      </c>
      <c r="H351" t="str">
        <f>IF(C351="","",(C351/MEDIAN($C$2:D35912)))</f>
        <v/>
      </c>
    </row>
    <row r="352" spans="7:8" x14ac:dyDescent="0.2">
      <c r="G352" t="str">
        <f>IF(C352="","",(C352/AVERAGE($C$2:C35913)))</f>
        <v/>
      </c>
      <c r="H352" t="str">
        <f>IF(C352="","",(C352/MEDIAN($C$2:D35913)))</f>
        <v/>
      </c>
    </row>
    <row r="353" spans="7:8" x14ac:dyDescent="0.2">
      <c r="G353" t="str">
        <f>IF(C353="","",(C353/AVERAGE($C$2:C35914)))</f>
        <v/>
      </c>
      <c r="H353" t="str">
        <f>IF(C353="","",(C353/MEDIAN($C$2:D35914)))</f>
        <v/>
      </c>
    </row>
    <row r="354" spans="7:8" x14ac:dyDescent="0.2">
      <c r="G354" t="str">
        <f>IF(C354="","",(C354/AVERAGE($C$2:C35915)))</f>
        <v/>
      </c>
      <c r="H354" t="str">
        <f>IF(C354="","",(C354/MEDIAN($C$2:D35915)))</f>
        <v/>
      </c>
    </row>
    <row r="355" spans="7:8" x14ac:dyDescent="0.2">
      <c r="G355" t="str">
        <f>IF(C355="","",(C355/AVERAGE($C$2:C35916)))</f>
        <v/>
      </c>
      <c r="H355" t="str">
        <f>IF(C355="","",(C355/MEDIAN($C$2:D35916)))</f>
        <v/>
      </c>
    </row>
    <row r="356" spans="7:8" x14ac:dyDescent="0.2">
      <c r="G356" t="str">
        <f>IF(C356="","",(C356/AVERAGE($C$2:C35917)))</f>
        <v/>
      </c>
      <c r="H356" t="str">
        <f>IF(C356="","",(C356/MEDIAN($C$2:D35917)))</f>
        <v/>
      </c>
    </row>
    <row r="357" spans="7:8" x14ac:dyDescent="0.2">
      <c r="G357" t="str">
        <f>IF(C357="","",(C357/AVERAGE($C$2:C35918)))</f>
        <v/>
      </c>
      <c r="H357" t="str">
        <f>IF(C357="","",(C357/MEDIAN($C$2:D35918)))</f>
        <v/>
      </c>
    </row>
    <row r="358" spans="7:8" x14ac:dyDescent="0.2">
      <c r="G358" t="str">
        <f>IF(C358="","",(C358/AVERAGE($C$2:C35919)))</f>
        <v/>
      </c>
      <c r="H358" t="str">
        <f>IF(C358="","",(C358/MEDIAN($C$2:D35919)))</f>
        <v/>
      </c>
    </row>
    <row r="359" spans="7:8" x14ac:dyDescent="0.2">
      <c r="G359" t="str">
        <f>IF(C359="","",(C359/AVERAGE($C$2:C35920)))</f>
        <v/>
      </c>
      <c r="H359" t="str">
        <f>IF(C359="","",(C359/MEDIAN($C$2:D35920)))</f>
        <v/>
      </c>
    </row>
    <row r="360" spans="7:8" x14ac:dyDescent="0.2">
      <c r="G360" t="str">
        <f>IF(C360="","",(C360/AVERAGE($C$2:C35921)))</f>
        <v/>
      </c>
      <c r="H360" t="str">
        <f>IF(C360="","",(C360/MEDIAN($C$2:D35921)))</f>
        <v/>
      </c>
    </row>
    <row r="361" spans="7:8" x14ac:dyDescent="0.2">
      <c r="G361" t="str">
        <f>IF(C361="","",(C361/AVERAGE($C$2:C35922)))</f>
        <v/>
      </c>
      <c r="H361" t="str">
        <f>IF(C361="","",(C361/MEDIAN($C$2:D35922)))</f>
        <v/>
      </c>
    </row>
    <row r="362" spans="7:8" x14ac:dyDescent="0.2">
      <c r="G362" t="str">
        <f>IF(C362="","",(C362/AVERAGE($C$2:C35923)))</f>
        <v/>
      </c>
      <c r="H362" t="str">
        <f>IF(C362="","",(C362/MEDIAN($C$2:D35923)))</f>
        <v/>
      </c>
    </row>
    <row r="363" spans="7:8" x14ac:dyDescent="0.2">
      <c r="G363" t="str">
        <f>IF(C363="","",(C363/AVERAGE($C$2:C35924)))</f>
        <v/>
      </c>
      <c r="H363" t="str">
        <f>IF(C363="","",(C363/MEDIAN($C$2:D35924)))</f>
        <v/>
      </c>
    </row>
    <row r="364" spans="7:8" x14ac:dyDescent="0.2">
      <c r="G364" t="str">
        <f>IF(C364="","",(C364/AVERAGE($C$2:C35925)))</f>
        <v/>
      </c>
      <c r="H364" t="str">
        <f>IF(C364="","",(C364/MEDIAN($C$2:D35925)))</f>
        <v/>
      </c>
    </row>
    <row r="365" spans="7:8" x14ac:dyDescent="0.2">
      <c r="G365" t="str">
        <f>IF(C365="","",(C365/AVERAGE($C$2:C35926)))</f>
        <v/>
      </c>
      <c r="H365" t="str">
        <f>IF(C365="","",(C365/MEDIAN($C$2:D35926)))</f>
        <v/>
      </c>
    </row>
    <row r="366" spans="7:8" x14ac:dyDescent="0.2">
      <c r="G366" t="str">
        <f>IF(C366="","",(C366/AVERAGE($C$2:C35927)))</f>
        <v/>
      </c>
      <c r="H366" t="str">
        <f>IF(C366="","",(C366/MEDIAN($C$2:D35927)))</f>
        <v/>
      </c>
    </row>
    <row r="367" spans="7:8" x14ac:dyDescent="0.2">
      <c r="G367" t="str">
        <f>IF(C367="","",(C367/AVERAGE($C$2:C35928)))</f>
        <v/>
      </c>
      <c r="H367" t="str">
        <f>IF(C367="","",(C367/MEDIAN($C$2:D35928)))</f>
        <v/>
      </c>
    </row>
    <row r="368" spans="7:8" x14ac:dyDescent="0.2">
      <c r="G368" t="str">
        <f>IF(C368="","",(C368/AVERAGE($C$2:C35929)))</f>
        <v/>
      </c>
      <c r="H368" t="str">
        <f>IF(C368="","",(C368/MEDIAN($C$2:D35929)))</f>
        <v/>
      </c>
    </row>
    <row r="369" spans="7:8" x14ac:dyDescent="0.2">
      <c r="G369" t="str">
        <f>IF(C369="","",(C369/AVERAGE($C$2:C35930)))</f>
        <v/>
      </c>
      <c r="H369" t="str">
        <f>IF(C369="","",(C369/MEDIAN($C$2:D35930)))</f>
        <v/>
      </c>
    </row>
    <row r="370" spans="7:8" x14ac:dyDescent="0.2">
      <c r="G370" t="str">
        <f>IF(C370="","",(C370/AVERAGE($C$2:C35931)))</f>
        <v/>
      </c>
      <c r="H370" t="str">
        <f>IF(C370="","",(C370/MEDIAN($C$2:D35931)))</f>
        <v/>
      </c>
    </row>
    <row r="371" spans="7:8" x14ac:dyDescent="0.2">
      <c r="G371" t="str">
        <f>IF(C371="","",(C371/AVERAGE($C$2:C35932)))</f>
        <v/>
      </c>
      <c r="H371" t="str">
        <f>IF(C371="","",(C371/MEDIAN($C$2:D35932)))</f>
        <v/>
      </c>
    </row>
    <row r="372" spans="7:8" x14ac:dyDescent="0.2">
      <c r="G372" t="str">
        <f>IF(C372="","",(C372/AVERAGE($C$2:C35933)))</f>
        <v/>
      </c>
      <c r="H372" t="str">
        <f>IF(C372="","",(C372/MEDIAN($C$2:D35933)))</f>
        <v/>
      </c>
    </row>
    <row r="373" spans="7:8" x14ac:dyDescent="0.2">
      <c r="G373" t="str">
        <f>IF(C373="","",(C373/AVERAGE($C$2:C35934)))</f>
        <v/>
      </c>
      <c r="H373" t="str">
        <f>IF(C373="","",(C373/MEDIAN($C$2:D35934)))</f>
        <v/>
      </c>
    </row>
    <row r="374" spans="7:8" x14ac:dyDescent="0.2">
      <c r="G374" t="str">
        <f>IF(C374="","",(C374/AVERAGE($C$2:C35935)))</f>
        <v/>
      </c>
      <c r="H374" t="str">
        <f>IF(C374="","",(C374/MEDIAN($C$2:D35935)))</f>
        <v/>
      </c>
    </row>
    <row r="375" spans="7:8" x14ac:dyDescent="0.2">
      <c r="G375" t="str">
        <f>IF(C375="","",(C375/AVERAGE($C$2:C35936)))</f>
        <v/>
      </c>
      <c r="H375" t="str">
        <f>IF(C375="","",(C375/MEDIAN($C$2:D35936)))</f>
        <v/>
      </c>
    </row>
    <row r="376" spans="7:8" x14ac:dyDescent="0.2">
      <c r="G376" t="str">
        <f>IF(C376="","",(C376/AVERAGE($C$2:C35937)))</f>
        <v/>
      </c>
      <c r="H376" t="str">
        <f>IF(C376="","",(C376/MEDIAN($C$2:D35937)))</f>
        <v/>
      </c>
    </row>
    <row r="377" spans="7:8" x14ac:dyDescent="0.2">
      <c r="G377" t="str">
        <f>IF(C377="","",(C377/AVERAGE($C$2:C35938)))</f>
        <v/>
      </c>
      <c r="H377" t="str">
        <f>IF(C377="","",(C377/MEDIAN($C$2:D35938)))</f>
        <v/>
      </c>
    </row>
    <row r="378" spans="7:8" x14ac:dyDescent="0.2">
      <c r="G378" t="str">
        <f>IF(C378="","",(C378/AVERAGE($C$2:C35939)))</f>
        <v/>
      </c>
      <c r="H378" t="str">
        <f>IF(C378="","",(C378/MEDIAN($C$2:D35939)))</f>
        <v/>
      </c>
    </row>
    <row r="379" spans="7:8" x14ac:dyDescent="0.2">
      <c r="G379" t="str">
        <f>IF(C379="","",(C379/AVERAGE($C$2:C35940)))</f>
        <v/>
      </c>
      <c r="H379" t="str">
        <f>IF(C379="","",(C379/MEDIAN($C$2:D35940)))</f>
        <v/>
      </c>
    </row>
    <row r="380" spans="7:8" x14ac:dyDescent="0.2">
      <c r="G380" t="str">
        <f>IF(C380="","",(C380/AVERAGE($C$2:C35941)))</f>
        <v/>
      </c>
      <c r="H380" t="str">
        <f>IF(C380="","",(C380/MEDIAN($C$2:D35941)))</f>
        <v/>
      </c>
    </row>
    <row r="381" spans="7:8" x14ac:dyDescent="0.2">
      <c r="G381" t="str">
        <f>IF(C381="","",(C381/AVERAGE($C$2:C35942)))</f>
        <v/>
      </c>
      <c r="H381" t="str">
        <f>IF(C381="","",(C381/MEDIAN($C$2:D35942)))</f>
        <v/>
      </c>
    </row>
    <row r="382" spans="7:8" x14ac:dyDescent="0.2">
      <c r="G382" t="str">
        <f>IF(C382="","",(C382/AVERAGE($C$2:C35943)))</f>
        <v/>
      </c>
      <c r="H382" t="str">
        <f>IF(C382="","",(C382/MEDIAN($C$2:D35943)))</f>
        <v/>
      </c>
    </row>
    <row r="383" spans="7:8" x14ac:dyDescent="0.2">
      <c r="G383" t="str">
        <f>IF(C383="","",(C383/AVERAGE($C$2:C35944)))</f>
        <v/>
      </c>
      <c r="H383" t="str">
        <f>IF(C383="","",(C383/MEDIAN($C$2:D35944)))</f>
        <v/>
      </c>
    </row>
    <row r="384" spans="7:8" x14ac:dyDescent="0.2">
      <c r="G384" t="str">
        <f>IF(C384="","",(C384/AVERAGE($C$2:C35945)))</f>
        <v/>
      </c>
      <c r="H384" t="str">
        <f>IF(C384="","",(C384/MEDIAN($C$2:D35945)))</f>
        <v/>
      </c>
    </row>
    <row r="385" spans="7:8" x14ac:dyDescent="0.2">
      <c r="G385" t="str">
        <f>IF(C385="","",(C385/AVERAGE($C$2:C35946)))</f>
        <v/>
      </c>
      <c r="H385" t="str">
        <f>IF(C385="","",(C385/MEDIAN($C$2:D35946)))</f>
        <v/>
      </c>
    </row>
    <row r="386" spans="7:8" x14ac:dyDescent="0.2">
      <c r="G386" t="str">
        <f>IF(C386="","",(C386/AVERAGE($C$2:C35947)))</f>
        <v/>
      </c>
      <c r="H386" t="str">
        <f>IF(C386="","",(C386/MEDIAN($C$2:D35947)))</f>
        <v/>
      </c>
    </row>
    <row r="387" spans="7:8" x14ac:dyDescent="0.2">
      <c r="G387" t="str">
        <f>IF(C387="","",(C387/AVERAGE($C$2:C35948)))</f>
        <v/>
      </c>
      <c r="H387" t="str">
        <f>IF(C387="","",(C387/MEDIAN($C$2:D35948)))</f>
        <v/>
      </c>
    </row>
    <row r="388" spans="7:8" x14ac:dyDescent="0.2">
      <c r="G388" t="str">
        <f>IF(C388="","",(C388/AVERAGE($C$2:C35949)))</f>
        <v/>
      </c>
      <c r="H388" t="str">
        <f>IF(C388="","",(C388/MEDIAN($C$2:D35949)))</f>
        <v/>
      </c>
    </row>
    <row r="389" spans="7:8" x14ac:dyDescent="0.2">
      <c r="G389" t="str">
        <f>IF(C389="","",(C389/AVERAGE($C$2:C35950)))</f>
        <v/>
      </c>
      <c r="H389" t="str">
        <f>IF(C389="","",(C389/MEDIAN($C$2:D35950)))</f>
        <v/>
      </c>
    </row>
    <row r="390" spans="7:8" x14ac:dyDescent="0.2">
      <c r="G390" t="str">
        <f>IF(C390="","",(C390/AVERAGE($C$2:C35951)))</f>
        <v/>
      </c>
      <c r="H390" t="str">
        <f>IF(C390="","",(C390/MEDIAN($C$2:D35951)))</f>
        <v/>
      </c>
    </row>
    <row r="391" spans="7:8" x14ac:dyDescent="0.2">
      <c r="G391" t="str">
        <f>IF(C391="","",(C391/AVERAGE($C$2:C35952)))</f>
        <v/>
      </c>
      <c r="H391" t="str">
        <f>IF(C391="","",(C391/MEDIAN($C$2:D35952)))</f>
        <v/>
      </c>
    </row>
    <row r="392" spans="7:8" x14ac:dyDescent="0.2">
      <c r="G392" t="str">
        <f>IF(C392="","",(C392/AVERAGE($C$2:C35953)))</f>
        <v/>
      </c>
      <c r="H392" t="str">
        <f>IF(C392="","",(C392/MEDIAN($C$2:D35953)))</f>
        <v/>
      </c>
    </row>
    <row r="393" spans="7:8" x14ac:dyDescent="0.2">
      <c r="G393" t="str">
        <f>IF(C393="","",(C393/AVERAGE($C$2:C35954)))</f>
        <v/>
      </c>
      <c r="H393" t="str">
        <f>IF(C393="","",(C393/MEDIAN($C$2:D35954)))</f>
        <v/>
      </c>
    </row>
    <row r="394" spans="7:8" x14ac:dyDescent="0.2">
      <c r="G394" t="str">
        <f>IF(C394="","",(C394/AVERAGE($C$2:C35955)))</f>
        <v/>
      </c>
      <c r="H394" t="str">
        <f>IF(C394="","",(C394/MEDIAN($C$2:D35955)))</f>
        <v/>
      </c>
    </row>
    <row r="395" spans="7:8" x14ac:dyDescent="0.2">
      <c r="G395" t="str">
        <f>IF(C395="","",(C395/AVERAGE($C$2:C35956)))</f>
        <v/>
      </c>
      <c r="H395" t="str">
        <f>IF(C395="","",(C395/MEDIAN($C$2:D35956)))</f>
        <v/>
      </c>
    </row>
    <row r="396" spans="7:8" x14ac:dyDescent="0.2">
      <c r="G396" t="str">
        <f>IF(C396="","",(C396/AVERAGE($C$2:C35957)))</f>
        <v/>
      </c>
      <c r="H396" t="str">
        <f>IF(C396="","",(C396/MEDIAN($C$2:D35957)))</f>
        <v/>
      </c>
    </row>
    <row r="397" spans="7:8" x14ac:dyDescent="0.2">
      <c r="G397" t="str">
        <f>IF(C397="","",(C397/AVERAGE($C$2:C35958)))</f>
        <v/>
      </c>
      <c r="H397" t="str">
        <f>IF(C397="","",(C397/MEDIAN($C$2:D35958)))</f>
        <v/>
      </c>
    </row>
    <row r="398" spans="7:8" x14ac:dyDescent="0.2">
      <c r="G398" t="str">
        <f>IF(C398="","",(C398/AVERAGE($C$2:C35959)))</f>
        <v/>
      </c>
      <c r="H398" t="str">
        <f>IF(C398="","",(C398/MEDIAN($C$2:D35959)))</f>
        <v/>
      </c>
    </row>
    <row r="399" spans="7:8" x14ac:dyDescent="0.2">
      <c r="G399" t="str">
        <f>IF(C399="","",(C399/AVERAGE($C$2:C35960)))</f>
        <v/>
      </c>
      <c r="H399" t="str">
        <f>IF(C399="","",(C399/MEDIAN($C$2:D35960)))</f>
        <v/>
      </c>
    </row>
    <row r="400" spans="7:8" x14ac:dyDescent="0.2">
      <c r="G400" t="str">
        <f>IF(C400="","",(C400/AVERAGE($C$2:C35961)))</f>
        <v/>
      </c>
      <c r="H400" t="str">
        <f>IF(C400="","",(C400/MEDIAN($C$2:D35961)))</f>
        <v/>
      </c>
    </row>
    <row r="401" spans="7:8" x14ac:dyDescent="0.2">
      <c r="G401" t="str">
        <f>IF(C401="","",(C401/AVERAGE($C$2:C35962)))</f>
        <v/>
      </c>
      <c r="H401" t="str">
        <f>IF(C401="","",(C401/MEDIAN($C$2:D35962)))</f>
        <v/>
      </c>
    </row>
    <row r="402" spans="7:8" x14ac:dyDescent="0.2">
      <c r="G402" t="str">
        <f>IF(C402="","",(C402/AVERAGE($C$2:C35963)))</f>
        <v/>
      </c>
      <c r="H402" t="str">
        <f>IF(C402="","",(C402/MEDIAN($C$2:D35963)))</f>
        <v/>
      </c>
    </row>
    <row r="403" spans="7:8" x14ac:dyDescent="0.2">
      <c r="G403" t="str">
        <f>IF(C403="","",(C403/AVERAGE($C$2:C35964)))</f>
        <v/>
      </c>
      <c r="H403" t="str">
        <f>IF(C403="","",(C403/MEDIAN($C$2:D35964)))</f>
        <v/>
      </c>
    </row>
    <row r="404" spans="7:8" x14ac:dyDescent="0.2">
      <c r="G404" t="str">
        <f>IF(C404="","",(C404/AVERAGE($C$2:C35965)))</f>
        <v/>
      </c>
      <c r="H404" t="str">
        <f>IF(C404="","",(C404/MEDIAN($C$2:D35965)))</f>
        <v/>
      </c>
    </row>
    <row r="405" spans="7:8" x14ac:dyDescent="0.2">
      <c r="G405" t="str">
        <f>IF(C405="","",(C405/AVERAGE($C$2:C35966)))</f>
        <v/>
      </c>
      <c r="H405" t="str">
        <f>IF(C405="","",(C405/MEDIAN($C$2:D35966)))</f>
        <v/>
      </c>
    </row>
    <row r="406" spans="7:8" x14ac:dyDescent="0.2">
      <c r="G406" t="str">
        <f>IF(C406="","",(C406/AVERAGE($C$2:C35967)))</f>
        <v/>
      </c>
      <c r="H406" t="str">
        <f>IF(C406="","",(C406/MEDIAN($C$2:D35967)))</f>
        <v/>
      </c>
    </row>
    <row r="407" spans="7:8" x14ac:dyDescent="0.2">
      <c r="G407" t="str">
        <f>IF(C407="","",(C407/AVERAGE($C$2:C35968)))</f>
        <v/>
      </c>
      <c r="H407" t="str">
        <f>IF(C407="","",(C407/MEDIAN($C$2:D35968)))</f>
        <v/>
      </c>
    </row>
    <row r="408" spans="7:8" x14ac:dyDescent="0.2">
      <c r="G408" t="str">
        <f>IF(C408="","",(C408/AVERAGE($C$2:C35969)))</f>
        <v/>
      </c>
      <c r="H408" t="str">
        <f>IF(C408="","",(C408/MEDIAN($C$2:D35969)))</f>
        <v/>
      </c>
    </row>
    <row r="409" spans="7:8" x14ac:dyDescent="0.2">
      <c r="G409" t="str">
        <f>IF(C409="","",(C409/AVERAGE($C$2:C35970)))</f>
        <v/>
      </c>
      <c r="H409" t="str">
        <f>IF(C409="","",(C409/MEDIAN($C$2:D35970)))</f>
        <v/>
      </c>
    </row>
    <row r="410" spans="7:8" x14ac:dyDescent="0.2">
      <c r="G410" t="str">
        <f>IF(C410="","",(C410/AVERAGE($C$2:C35971)))</f>
        <v/>
      </c>
      <c r="H410" t="str">
        <f>IF(C410="","",(C410/MEDIAN($C$2:D35971)))</f>
        <v/>
      </c>
    </row>
    <row r="411" spans="7:8" x14ac:dyDescent="0.2">
      <c r="G411" t="str">
        <f>IF(C411="","",(C411/AVERAGE($C$2:C35972)))</f>
        <v/>
      </c>
      <c r="H411" t="str">
        <f>IF(C411="","",(C411/MEDIAN($C$2:D35972)))</f>
        <v/>
      </c>
    </row>
    <row r="412" spans="7:8" x14ac:dyDescent="0.2">
      <c r="G412" t="str">
        <f>IF(C412="","",(C412/AVERAGE($C$2:C35973)))</f>
        <v/>
      </c>
      <c r="H412" t="str">
        <f>IF(C412="","",(C412/MEDIAN($C$2:D35973)))</f>
        <v/>
      </c>
    </row>
    <row r="413" spans="7:8" x14ac:dyDescent="0.2">
      <c r="G413" t="str">
        <f>IF(C413="","",(C413/AVERAGE($C$2:C35974)))</f>
        <v/>
      </c>
      <c r="H413" t="str">
        <f>IF(C413="","",(C413/MEDIAN($C$2:D35974)))</f>
        <v/>
      </c>
    </row>
    <row r="414" spans="7:8" x14ac:dyDescent="0.2">
      <c r="G414" t="str">
        <f>IF(C414="","",(C414/AVERAGE($C$2:C35975)))</f>
        <v/>
      </c>
      <c r="H414" t="str">
        <f>IF(C414="","",(C414/MEDIAN($C$2:D35975)))</f>
        <v/>
      </c>
    </row>
    <row r="415" spans="7:8" x14ac:dyDescent="0.2">
      <c r="G415" t="str">
        <f>IF(C415="","",(C415/AVERAGE($C$2:C35976)))</f>
        <v/>
      </c>
      <c r="H415" t="str">
        <f>IF(C415="","",(C415/MEDIAN($C$2:D35976)))</f>
        <v/>
      </c>
    </row>
    <row r="416" spans="7:8" x14ac:dyDescent="0.2">
      <c r="G416" t="str">
        <f>IF(C416="","",(C416/AVERAGE($C$2:C35977)))</f>
        <v/>
      </c>
      <c r="H416" t="str">
        <f>IF(C416="","",(C416/MEDIAN($C$2:D35977)))</f>
        <v/>
      </c>
    </row>
    <row r="417" spans="7:8" x14ac:dyDescent="0.2">
      <c r="G417" t="str">
        <f>IF(C417="","",(C417/AVERAGE($C$2:C35978)))</f>
        <v/>
      </c>
      <c r="H417" t="str">
        <f>IF(C417="","",(C417/MEDIAN($C$2:D35978)))</f>
        <v/>
      </c>
    </row>
    <row r="418" spans="7:8" x14ac:dyDescent="0.2">
      <c r="G418" t="str">
        <f>IF(C418="","",(C418/AVERAGE($C$2:C35979)))</f>
        <v/>
      </c>
      <c r="H418" t="str">
        <f>IF(C418="","",(C418/MEDIAN($C$2:D35979)))</f>
        <v/>
      </c>
    </row>
    <row r="419" spans="7:8" x14ac:dyDescent="0.2">
      <c r="G419" t="str">
        <f>IF(C419="","",(C419/AVERAGE($C$2:C35980)))</f>
        <v/>
      </c>
      <c r="H419" t="str">
        <f>IF(C419="","",(C419/MEDIAN($C$2:D35980)))</f>
        <v/>
      </c>
    </row>
    <row r="420" spans="7:8" x14ac:dyDescent="0.2">
      <c r="G420" t="str">
        <f>IF(C420="","",(C420/AVERAGE($C$2:C35981)))</f>
        <v/>
      </c>
      <c r="H420" t="str">
        <f>IF(C420="","",(C420/MEDIAN($C$2:D35981)))</f>
        <v/>
      </c>
    </row>
    <row r="421" spans="7:8" x14ac:dyDescent="0.2">
      <c r="G421" t="str">
        <f>IF(C421="","",(C421/AVERAGE($C$2:C35982)))</f>
        <v/>
      </c>
      <c r="H421" t="str">
        <f>IF(C421="","",(C421/MEDIAN($C$2:D35982)))</f>
        <v/>
      </c>
    </row>
    <row r="422" spans="7:8" x14ac:dyDescent="0.2">
      <c r="G422" t="str">
        <f>IF(C422="","",(C422/AVERAGE($C$2:C35983)))</f>
        <v/>
      </c>
      <c r="H422" t="str">
        <f>IF(C422="","",(C422/MEDIAN($C$2:D35983)))</f>
        <v/>
      </c>
    </row>
    <row r="423" spans="7:8" x14ac:dyDescent="0.2">
      <c r="G423" t="str">
        <f>IF(C423="","",(C423/AVERAGE($C$2:C35984)))</f>
        <v/>
      </c>
      <c r="H423" t="str">
        <f>IF(C423="","",(C423/MEDIAN($C$2:D35984)))</f>
        <v/>
      </c>
    </row>
    <row r="424" spans="7:8" x14ac:dyDescent="0.2">
      <c r="G424" t="str">
        <f>IF(C424="","",(C424/AVERAGE($C$2:C35985)))</f>
        <v/>
      </c>
      <c r="H424" t="str">
        <f>IF(C424="","",(C424/MEDIAN($C$2:D35985)))</f>
        <v/>
      </c>
    </row>
    <row r="425" spans="7:8" x14ac:dyDescent="0.2">
      <c r="G425" t="str">
        <f>IF(C425="","",(C425/AVERAGE($C$2:C35986)))</f>
        <v/>
      </c>
      <c r="H425" t="str">
        <f>IF(C425="","",(C425/MEDIAN($C$2:D35986)))</f>
        <v/>
      </c>
    </row>
    <row r="426" spans="7:8" x14ac:dyDescent="0.2">
      <c r="G426" t="str">
        <f>IF(C426="","",(C426/AVERAGE($C$2:C35987)))</f>
        <v/>
      </c>
      <c r="H426" t="str">
        <f>IF(C426="","",(C426/MEDIAN($C$2:D35987)))</f>
        <v/>
      </c>
    </row>
    <row r="427" spans="7:8" x14ac:dyDescent="0.2">
      <c r="G427" t="str">
        <f>IF(C427="","",(C427/AVERAGE($C$2:C35988)))</f>
        <v/>
      </c>
      <c r="H427" t="str">
        <f>IF(C427="","",(C427/MEDIAN($C$2:D35988)))</f>
        <v/>
      </c>
    </row>
    <row r="428" spans="7:8" x14ac:dyDescent="0.2">
      <c r="G428" t="str">
        <f>IF(C428="","",(C428/AVERAGE($C$2:C35989)))</f>
        <v/>
      </c>
      <c r="H428" t="str">
        <f>IF(C428="","",(C428/MEDIAN($C$2:D35989)))</f>
        <v/>
      </c>
    </row>
    <row r="429" spans="7:8" x14ac:dyDescent="0.2">
      <c r="G429" t="str">
        <f>IF(C429="","",(C429/AVERAGE($C$2:C35990)))</f>
        <v/>
      </c>
      <c r="H429" t="str">
        <f>IF(C429="","",(C429/MEDIAN($C$2:D35990)))</f>
        <v/>
      </c>
    </row>
    <row r="430" spans="7:8" x14ac:dyDescent="0.2">
      <c r="G430" t="str">
        <f>IF(C430="","",(C430/AVERAGE($C$2:C35991)))</f>
        <v/>
      </c>
      <c r="H430" t="str">
        <f>IF(C430="","",(C430/MEDIAN($C$2:D35991)))</f>
        <v/>
      </c>
    </row>
    <row r="431" spans="7:8" x14ac:dyDescent="0.2">
      <c r="G431" t="str">
        <f>IF(C431="","",(C431/AVERAGE($C$2:C35992)))</f>
        <v/>
      </c>
      <c r="H431" t="str">
        <f>IF(C431="","",(C431/MEDIAN($C$2:D35992)))</f>
        <v/>
      </c>
    </row>
    <row r="432" spans="7:8" x14ac:dyDescent="0.2">
      <c r="G432" t="str">
        <f>IF(C432="","",(C432/AVERAGE($C$2:C35993)))</f>
        <v/>
      </c>
      <c r="H432" t="str">
        <f>IF(C432="","",(C432/MEDIAN($C$2:D35993)))</f>
        <v/>
      </c>
    </row>
    <row r="433" spans="7:8" x14ac:dyDescent="0.2">
      <c r="G433" t="str">
        <f>IF(C433="","",(C433/AVERAGE($C$2:C35994)))</f>
        <v/>
      </c>
      <c r="H433" t="str">
        <f>IF(C433="","",(C433/MEDIAN($C$2:D35994)))</f>
        <v/>
      </c>
    </row>
    <row r="434" spans="7:8" x14ac:dyDescent="0.2">
      <c r="G434" t="str">
        <f>IF(C434="","",(C434/AVERAGE($C$2:C35995)))</f>
        <v/>
      </c>
      <c r="H434" t="str">
        <f>IF(C434="","",(C434/MEDIAN($C$2:D35995)))</f>
        <v/>
      </c>
    </row>
    <row r="435" spans="7:8" x14ac:dyDescent="0.2">
      <c r="G435" t="str">
        <f>IF(C435="","",(C435/AVERAGE($C$2:C35996)))</f>
        <v/>
      </c>
      <c r="H435" t="str">
        <f>IF(C435="","",(C435/MEDIAN($C$2:D35996)))</f>
        <v/>
      </c>
    </row>
    <row r="436" spans="7:8" x14ac:dyDescent="0.2">
      <c r="G436" t="str">
        <f>IF(C436="","",(C436/AVERAGE($C$2:C35997)))</f>
        <v/>
      </c>
      <c r="H436" t="str">
        <f>IF(C436="","",(C436/MEDIAN($C$2:D35997)))</f>
        <v/>
      </c>
    </row>
    <row r="437" spans="7:8" x14ac:dyDescent="0.2">
      <c r="G437" t="str">
        <f>IF(C437="","",(C437/AVERAGE($C$2:C35998)))</f>
        <v/>
      </c>
      <c r="H437" t="str">
        <f>IF(C437="","",(C437/MEDIAN($C$2:D35998)))</f>
        <v/>
      </c>
    </row>
    <row r="438" spans="7:8" x14ac:dyDescent="0.2">
      <c r="G438" t="str">
        <f>IF(C438="","",(C438/AVERAGE($C$2:C35999)))</f>
        <v/>
      </c>
      <c r="H438" t="str">
        <f>IF(C438="","",(C438/MEDIAN($C$2:D35999)))</f>
        <v/>
      </c>
    </row>
    <row r="439" spans="7:8" x14ac:dyDescent="0.2">
      <c r="G439" t="str">
        <f>IF(C439="","",(C439/AVERAGE($C$2:C36000)))</f>
        <v/>
      </c>
      <c r="H439" t="str">
        <f>IF(C439="","",(C439/MEDIAN($C$2:D36000)))</f>
        <v/>
      </c>
    </row>
    <row r="440" spans="7:8" x14ac:dyDescent="0.2">
      <c r="G440" t="str">
        <f>IF(C440="","",(C440/AVERAGE($C$2:C36001)))</f>
        <v/>
      </c>
      <c r="H440" t="str">
        <f>IF(C440="","",(C440/MEDIAN($C$2:D36001)))</f>
        <v/>
      </c>
    </row>
    <row r="441" spans="7:8" x14ac:dyDescent="0.2">
      <c r="G441" t="str">
        <f>IF(C441="","",(C441/AVERAGE($C$2:C36002)))</f>
        <v/>
      </c>
      <c r="H441" t="str">
        <f>IF(C441="","",(C441/MEDIAN($C$2:D36002)))</f>
        <v/>
      </c>
    </row>
    <row r="442" spans="7:8" x14ac:dyDescent="0.2">
      <c r="G442" t="str">
        <f>IF(C442="","",(C442/AVERAGE($C$2:C36003)))</f>
        <v/>
      </c>
      <c r="H442" t="str">
        <f>IF(C442="","",(C442/MEDIAN($C$2:D36003)))</f>
        <v/>
      </c>
    </row>
    <row r="443" spans="7:8" x14ac:dyDescent="0.2">
      <c r="G443" t="str">
        <f>IF(C443="","",(C443/AVERAGE($C$2:C36004)))</f>
        <v/>
      </c>
      <c r="H443" t="str">
        <f>IF(C443="","",(C443/MEDIAN($C$2:D36004)))</f>
        <v/>
      </c>
    </row>
    <row r="444" spans="7:8" x14ac:dyDescent="0.2">
      <c r="G444" t="str">
        <f>IF(C444="","",(C444/AVERAGE($C$2:C36005)))</f>
        <v/>
      </c>
      <c r="H444" t="str">
        <f>IF(C444="","",(C444/MEDIAN($C$2:D36005)))</f>
        <v/>
      </c>
    </row>
    <row r="445" spans="7:8" x14ac:dyDescent="0.2">
      <c r="G445" t="str">
        <f>IF(C445="","",(C445/AVERAGE($C$2:C36006)))</f>
        <v/>
      </c>
      <c r="H445" t="str">
        <f>IF(C445="","",(C445/MEDIAN($C$2:D36006)))</f>
        <v/>
      </c>
    </row>
    <row r="446" spans="7:8" x14ac:dyDescent="0.2">
      <c r="G446" t="str">
        <f>IF(C446="","",(C446/AVERAGE($C$2:C36007)))</f>
        <v/>
      </c>
      <c r="H446" t="str">
        <f>IF(C446="","",(C446/MEDIAN($C$2:D36007)))</f>
        <v/>
      </c>
    </row>
    <row r="447" spans="7:8" x14ac:dyDescent="0.2">
      <c r="G447" t="str">
        <f>IF(C447="","",(C447/AVERAGE($C$2:C36008)))</f>
        <v/>
      </c>
      <c r="H447" t="str">
        <f>IF(C447="","",(C447/MEDIAN($C$2:D36008)))</f>
        <v/>
      </c>
    </row>
    <row r="448" spans="7:8" x14ac:dyDescent="0.2">
      <c r="G448" t="str">
        <f>IF(C448="","",(C448/AVERAGE($C$2:C36009)))</f>
        <v/>
      </c>
      <c r="H448" t="str">
        <f>IF(C448="","",(C448/MEDIAN($C$2:D36009)))</f>
        <v/>
      </c>
    </row>
    <row r="449" spans="7:8" x14ac:dyDescent="0.2">
      <c r="G449" t="str">
        <f>IF(C449="","",(C449/AVERAGE($C$2:C36010)))</f>
        <v/>
      </c>
      <c r="H449" t="str">
        <f>IF(C449="","",(C449/MEDIAN($C$2:D36010)))</f>
        <v/>
      </c>
    </row>
    <row r="450" spans="7:8" x14ac:dyDescent="0.2">
      <c r="G450" t="str">
        <f>IF(C450="","",(C450/AVERAGE($C$2:C36011)))</f>
        <v/>
      </c>
      <c r="H450" t="str">
        <f>IF(C450="","",(C450/MEDIAN($C$2:D36011)))</f>
        <v/>
      </c>
    </row>
    <row r="451" spans="7:8" x14ac:dyDescent="0.2">
      <c r="G451" t="str">
        <f>IF(C451="","",(C451/AVERAGE($C$2:C36012)))</f>
        <v/>
      </c>
      <c r="H451" t="str">
        <f>IF(C451="","",(C451/MEDIAN($C$2:D36012)))</f>
        <v/>
      </c>
    </row>
    <row r="452" spans="7:8" x14ac:dyDescent="0.2">
      <c r="G452" t="str">
        <f>IF(C452="","",(C452/AVERAGE($C$2:C36013)))</f>
        <v/>
      </c>
      <c r="H452" t="str">
        <f>IF(C452="","",(C452/MEDIAN($C$2:D36013)))</f>
        <v/>
      </c>
    </row>
    <row r="453" spans="7:8" x14ac:dyDescent="0.2">
      <c r="G453" t="str">
        <f>IF(C453="","",(C453/AVERAGE($C$2:C36014)))</f>
        <v/>
      </c>
      <c r="H453" t="str">
        <f>IF(C453="","",(C453/MEDIAN($C$2:D36014)))</f>
        <v/>
      </c>
    </row>
    <row r="454" spans="7:8" x14ac:dyDescent="0.2">
      <c r="G454" t="str">
        <f>IF(C454="","",(C454/AVERAGE($C$2:C36015)))</f>
        <v/>
      </c>
      <c r="H454" t="str">
        <f>IF(C454="","",(C454/MEDIAN($C$2:D36015)))</f>
        <v/>
      </c>
    </row>
    <row r="455" spans="7:8" x14ac:dyDescent="0.2">
      <c r="G455" t="str">
        <f>IF(C455="","",(C455/AVERAGE($C$2:C36016)))</f>
        <v/>
      </c>
      <c r="H455" t="str">
        <f>IF(C455="","",(C455/MEDIAN($C$2:D36016)))</f>
        <v/>
      </c>
    </row>
    <row r="456" spans="7:8" x14ac:dyDescent="0.2">
      <c r="G456" t="str">
        <f>IF(C456="","",(C456/AVERAGE($C$2:C36017)))</f>
        <v/>
      </c>
      <c r="H456" t="str">
        <f>IF(C456="","",(C456/MEDIAN($C$2:D36017)))</f>
        <v/>
      </c>
    </row>
    <row r="457" spans="7:8" x14ac:dyDescent="0.2">
      <c r="G457" t="str">
        <f>IF(C457="","",(C457/AVERAGE($C$2:C36018)))</f>
        <v/>
      </c>
      <c r="H457" t="str">
        <f>IF(C457="","",(C457/MEDIAN($C$2:D36018)))</f>
        <v/>
      </c>
    </row>
    <row r="458" spans="7:8" x14ac:dyDescent="0.2">
      <c r="G458" t="str">
        <f>IF(C458="","",(C458/AVERAGE($C$2:C36019)))</f>
        <v/>
      </c>
      <c r="H458" t="str">
        <f>IF(C458="","",(C458/MEDIAN($C$2:D36019)))</f>
        <v/>
      </c>
    </row>
    <row r="459" spans="7:8" x14ac:dyDescent="0.2">
      <c r="G459" t="str">
        <f>IF(C459="","",(C459/AVERAGE($C$2:C36020)))</f>
        <v/>
      </c>
      <c r="H459" t="str">
        <f>IF(C459="","",(C459/MEDIAN($C$2:D36020)))</f>
        <v/>
      </c>
    </row>
    <row r="460" spans="7:8" x14ac:dyDescent="0.2">
      <c r="G460" t="str">
        <f>IF(C460="","",(C460/AVERAGE($C$2:C36021)))</f>
        <v/>
      </c>
      <c r="H460" t="str">
        <f>IF(C460="","",(C460/MEDIAN($C$2:D36021)))</f>
        <v/>
      </c>
    </row>
    <row r="461" spans="7:8" x14ac:dyDescent="0.2">
      <c r="G461" t="str">
        <f>IF(C461="","",(C461/AVERAGE($C$2:C36022)))</f>
        <v/>
      </c>
      <c r="H461" t="str">
        <f>IF(C461="","",(C461/MEDIAN($C$2:D36022)))</f>
        <v/>
      </c>
    </row>
    <row r="462" spans="7:8" x14ac:dyDescent="0.2">
      <c r="G462" t="str">
        <f>IF(C462="","",(C462/AVERAGE($C$2:C36023)))</f>
        <v/>
      </c>
      <c r="H462" t="str">
        <f>IF(C462="","",(C462/MEDIAN($C$2:D36023)))</f>
        <v/>
      </c>
    </row>
    <row r="463" spans="7:8" x14ac:dyDescent="0.2">
      <c r="G463" t="str">
        <f>IF(C463="","",(C463/AVERAGE($C$2:C36024)))</f>
        <v/>
      </c>
      <c r="H463" t="str">
        <f>IF(C463="","",(C463/MEDIAN($C$2:D36024)))</f>
        <v/>
      </c>
    </row>
    <row r="464" spans="7:8" x14ac:dyDescent="0.2">
      <c r="G464" t="str">
        <f>IF(C464="","",(C464/AVERAGE($C$2:C36025)))</f>
        <v/>
      </c>
      <c r="H464" t="str">
        <f>IF(C464="","",(C464/MEDIAN($C$2:D36025)))</f>
        <v/>
      </c>
    </row>
    <row r="465" spans="7:8" x14ac:dyDescent="0.2">
      <c r="G465" t="str">
        <f>IF(C465="","",(C465/AVERAGE($C$2:C36026)))</f>
        <v/>
      </c>
      <c r="H465" t="str">
        <f>IF(C465="","",(C465/MEDIAN($C$2:D36026)))</f>
        <v/>
      </c>
    </row>
    <row r="466" spans="7:8" x14ac:dyDescent="0.2">
      <c r="G466" t="str">
        <f>IF(C466="","",(C466/AVERAGE($C$2:C36027)))</f>
        <v/>
      </c>
      <c r="H466" t="str">
        <f>IF(C466="","",(C466/MEDIAN($C$2:D36027)))</f>
        <v/>
      </c>
    </row>
    <row r="467" spans="7:8" x14ac:dyDescent="0.2">
      <c r="G467" t="str">
        <f>IF(C467="","",(C467/AVERAGE($C$2:C36028)))</f>
        <v/>
      </c>
      <c r="H467" t="str">
        <f>IF(C467="","",(C467/MEDIAN($C$2:D36028)))</f>
        <v/>
      </c>
    </row>
    <row r="468" spans="7:8" x14ac:dyDescent="0.2">
      <c r="G468" t="str">
        <f>IF(C468="","",(C468/AVERAGE($C$2:C36029)))</f>
        <v/>
      </c>
      <c r="H468" t="str">
        <f>IF(C468="","",(C468/MEDIAN($C$2:D36029)))</f>
        <v/>
      </c>
    </row>
    <row r="469" spans="7:8" x14ac:dyDescent="0.2">
      <c r="G469" t="str">
        <f>IF(C469="","",(C469/AVERAGE($C$2:C36030)))</f>
        <v/>
      </c>
      <c r="H469" t="str">
        <f>IF(C469="","",(C469/MEDIAN($C$2:D36030)))</f>
        <v/>
      </c>
    </row>
    <row r="470" spans="7:8" x14ac:dyDescent="0.2">
      <c r="G470" t="str">
        <f>IF(C470="","",(C470/AVERAGE($C$2:C36031)))</f>
        <v/>
      </c>
      <c r="H470" t="str">
        <f>IF(C470="","",(C470/MEDIAN($C$2:D36031)))</f>
        <v/>
      </c>
    </row>
    <row r="471" spans="7:8" x14ac:dyDescent="0.2">
      <c r="G471" t="str">
        <f>IF(C471="","",(C471/AVERAGE($C$2:C36032)))</f>
        <v/>
      </c>
      <c r="H471" t="str">
        <f>IF(C471="","",(C471/MEDIAN($C$2:D36032)))</f>
        <v/>
      </c>
    </row>
    <row r="472" spans="7:8" x14ac:dyDescent="0.2">
      <c r="G472" t="str">
        <f>IF(C472="","",(C472/AVERAGE($C$2:C36033)))</f>
        <v/>
      </c>
      <c r="H472" t="str">
        <f>IF(C472="","",(C472/MEDIAN($C$2:D36033)))</f>
        <v/>
      </c>
    </row>
    <row r="473" spans="7:8" x14ac:dyDescent="0.2">
      <c r="G473" t="str">
        <f>IF(C473="","",(C473/AVERAGE($C$2:C36034)))</f>
        <v/>
      </c>
      <c r="H473" t="str">
        <f>IF(C473="","",(C473/MEDIAN($C$2:D36034)))</f>
        <v/>
      </c>
    </row>
    <row r="474" spans="7:8" x14ac:dyDescent="0.2">
      <c r="G474" t="str">
        <f>IF(C474="","",(C474/AVERAGE($C$2:C36035)))</f>
        <v/>
      </c>
      <c r="H474" t="str">
        <f>IF(C474="","",(C474/MEDIAN($C$2:D36035)))</f>
        <v/>
      </c>
    </row>
    <row r="475" spans="7:8" x14ac:dyDescent="0.2">
      <c r="G475" t="str">
        <f>IF(C475="","",(C475/AVERAGE($C$2:C36036)))</f>
        <v/>
      </c>
      <c r="H475" t="str">
        <f>IF(C475="","",(C475/MEDIAN($C$2:D36036)))</f>
        <v/>
      </c>
    </row>
    <row r="476" spans="7:8" x14ac:dyDescent="0.2">
      <c r="G476" t="str">
        <f>IF(C476="","",(C476/AVERAGE($C$2:C36037)))</f>
        <v/>
      </c>
      <c r="H476" t="str">
        <f>IF(C476="","",(C476/MEDIAN($C$2:D36037)))</f>
        <v/>
      </c>
    </row>
    <row r="477" spans="7:8" x14ac:dyDescent="0.2">
      <c r="G477" t="str">
        <f>IF(C477="","",(C477/AVERAGE($C$2:C36038)))</f>
        <v/>
      </c>
      <c r="H477" t="str">
        <f>IF(C477="","",(C477/MEDIAN($C$2:D36038)))</f>
        <v/>
      </c>
    </row>
    <row r="478" spans="7:8" x14ac:dyDescent="0.2">
      <c r="G478" t="str">
        <f>IF(C478="","",(C478/AVERAGE($C$2:C36039)))</f>
        <v/>
      </c>
      <c r="H478" t="str">
        <f>IF(C478="","",(C478/MEDIAN($C$2:D36039)))</f>
        <v/>
      </c>
    </row>
    <row r="479" spans="7:8" x14ac:dyDescent="0.2">
      <c r="G479" t="str">
        <f>IF(C479="","",(C479/AVERAGE($C$2:C36040)))</f>
        <v/>
      </c>
      <c r="H479" t="str">
        <f>IF(C479="","",(C479/MEDIAN($C$2:D36040)))</f>
        <v/>
      </c>
    </row>
    <row r="480" spans="7:8" x14ac:dyDescent="0.2">
      <c r="G480" t="str">
        <f>IF(C480="","",(C480/AVERAGE($C$2:C36041)))</f>
        <v/>
      </c>
      <c r="H480" t="str">
        <f>IF(C480="","",(C480/MEDIAN($C$2:D36041)))</f>
        <v/>
      </c>
    </row>
    <row r="481" spans="7:8" x14ac:dyDescent="0.2">
      <c r="G481" t="str">
        <f>IF(C481="","",(C481/AVERAGE($C$2:C36042)))</f>
        <v/>
      </c>
      <c r="H481" t="str">
        <f>IF(C481="","",(C481/MEDIAN($C$2:D36042)))</f>
        <v/>
      </c>
    </row>
    <row r="482" spans="7:8" x14ac:dyDescent="0.2">
      <c r="G482" t="str">
        <f>IF(C482="","",(C482/AVERAGE($C$2:C36043)))</f>
        <v/>
      </c>
      <c r="H482" t="str">
        <f>IF(C482="","",(C482/MEDIAN($C$2:D36043)))</f>
        <v/>
      </c>
    </row>
    <row r="483" spans="7:8" x14ac:dyDescent="0.2">
      <c r="G483" t="str">
        <f>IF(C483="","",(C483/AVERAGE($C$2:C36044)))</f>
        <v/>
      </c>
      <c r="H483" t="str">
        <f>IF(C483="","",(C483/MEDIAN($C$2:D36044)))</f>
        <v/>
      </c>
    </row>
    <row r="484" spans="7:8" x14ac:dyDescent="0.2">
      <c r="G484" t="str">
        <f>IF(C484="","",(C484/AVERAGE($C$2:C36045)))</f>
        <v/>
      </c>
      <c r="H484" t="str">
        <f>IF(C484="","",(C484/MEDIAN($C$2:D36045)))</f>
        <v/>
      </c>
    </row>
    <row r="485" spans="7:8" x14ac:dyDescent="0.2">
      <c r="G485" t="str">
        <f>IF(C485="","",(C485/AVERAGE($C$2:C36046)))</f>
        <v/>
      </c>
      <c r="H485" t="str">
        <f>IF(C485="","",(C485/MEDIAN($C$2:D36046)))</f>
        <v/>
      </c>
    </row>
    <row r="486" spans="7:8" x14ac:dyDescent="0.2">
      <c r="G486" t="str">
        <f>IF(C486="","",(C486/AVERAGE($C$2:C36047)))</f>
        <v/>
      </c>
      <c r="H486" t="str">
        <f>IF(C486="","",(C486/MEDIAN($C$2:D36047)))</f>
        <v/>
      </c>
    </row>
    <row r="487" spans="7:8" x14ac:dyDescent="0.2">
      <c r="G487" t="str">
        <f>IF(C487="","",(C487/AVERAGE($C$2:C36048)))</f>
        <v/>
      </c>
      <c r="H487" t="str">
        <f>IF(C487="","",(C487/MEDIAN($C$2:D36048)))</f>
        <v/>
      </c>
    </row>
    <row r="488" spans="7:8" x14ac:dyDescent="0.2">
      <c r="G488" t="str">
        <f>IF(C488="","",(C488/AVERAGE($C$2:C36049)))</f>
        <v/>
      </c>
      <c r="H488" t="str">
        <f>IF(C488="","",(C488/MEDIAN($C$2:D36049)))</f>
        <v/>
      </c>
    </row>
    <row r="489" spans="7:8" x14ac:dyDescent="0.2">
      <c r="G489" t="str">
        <f>IF(C489="","",(C489/AVERAGE($C$2:C36050)))</f>
        <v/>
      </c>
      <c r="H489" t="str">
        <f>IF(C489="","",(C489/MEDIAN($C$2:D36050)))</f>
        <v/>
      </c>
    </row>
    <row r="490" spans="7:8" x14ac:dyDescent="0.2">
      <c r="G490" t="str">
        <f>IF(C490="","",(C490/AVERAGE($C$2:C36051)))</f>
        <v/>
      </c>
      <c r="H490" t="str">
        <f>IF(C490="","",(C490/MEDIAN($C$2:D36051)))</f>
        <v/>
      </c>
    </row>
    <row r="491" spans="7:8" x14ac:dyDescent="0.2">
      <c r="G491" t="str">
        <f>IF(C491="","",(C491/AVERAGE($C$2:C36052)))</f>
        <v/>
      </c>
      <c r="H491" t="str">
        <f>IF(C491="","",(C491/MEDIAN($C$2:D36052)))</f>
        <v/>
      </c>
    </row>
    <row r="492" spans="7:8" x14ac:dyDescent="0.2">
      <c r="G492" t="str">
        <f>IF(C492="","",(C492/AVERAGE($C$2:C36053)))</f>
        <v/>
      </c>
      <c r="H492" t="str">
        <f>IF(C492="","",(C492/MEDIAN($C$2:D36053)))</f>
        <v/>
      </c>
    </row>
    <row r="493" spans="7:8" x14ac:dyDescent="0.2">
      <c r="G493" t="str">
        <f>IF(C493="","",(C493/AVERAGE($C$2:C36054)))</f>
        <v/>
      </c>
      <c r="H493" t="str">
        <f>IF(C493="","",(C493/MEDIAN($C$2:D36054)))</f>
        <v/>
      </c>
    </row>
    <row r="494" spans="7:8" x14ac:dyDescent="0.2">
      <c r="G494" t="str">
        <f>IF(C494="","",(C494/AVERAGE($C$2:C36055)))</f>
        <v/>
      </c>
      <c r="H494" t="str">
        <f>IF(C494="","",(C494/MEDIAN($C$2:D36055)))</f>
        <v/>
      </c>
    </row>
    <row r="495" spans="7:8" x14ac:dyDescent="0.2">
      <c r="G495" t="str">
        <f>IF(C495="","",(C495/AVERAGE($C$2:C36056)))</f>
        <v/>
      </c>
      <c r="H495" t="str">
        <f>IF(C495="","",(C495/MEDIAN($C$2:D36056)))</f>
        <v/>
      </c>
    </row>
    <row r="496" spans="7:8" x14ac:dyDescent="0.2">
      <c r="G496" t="str">
        <f>IF(C496="","",(C496/AVERAGE($C$2:C36057)))</f>
        <v/>
      </c>
      <c r="H496" t="str">
        <f>IF(C496="","",(C496/MEDIAN($C$2:D36057)))</f>
        <v/>
      </c>
    </row>
    <row r="497" spans="7:8" x14ac:dyDescent="0.2">
      <c r="G497" t="str">
        <f>IF(C497="","",(C497/AVERAGE($C$2:C36058)))</f>
        <v/>
      </c>
      <c r="H497" t="str">
        <f>IF(C497="","",(C497/MEDIAN($C$2:D36058)))</f>
        <v/>
      </c>
    </row>
    <row r="498" spans="7:8" x14ac:dyDescent="0.2">
      <c r="G498" t="str">
        <f>IF(C498="","",(C498/AVERAGE($C$2:C36059)))</f>
        <v/>
      </c>
      <c r="H498" t="str">
        <f>IF(C498="","",(C498/MEDIAN($C$2:D36059)))</f>
        <v/>
      </c>
    </row>
    <row r="499" spans="7:8" x14ac:dyDescent="0.2">
      <c r="G499" t="str">
        <f>IF(C499="","",(C499/AVERAGE($C$2:C36060)))</f>
        <v/>
      </c>
      <c r="H499" t="str">
        <f>IF(C499="","",(C499/MEDIAN($C$2:D36060)))</f>
        <v/>
      </c>
    </row>
    <row r="500" spans="7:8" x14ac:dyDescent="0.2">
      <c r="G500" t="str">
        <f>IF(C500="","",(C500/AVERAGE($C$2:C36061)))</f>
        <v/>
      </c>
      <c r="H500" t="str">
        <f>IF(C500="","",(C500/MEDIAN($C$2:D36061)))</f>
        <v/>
      </c>
    </row>
    <row r="501" spans="7:8" x14ac:dyDescent="0.2">
      <c r="G501" t="str">
        <f>IF(C501="","",(C501/AVERAGE($C$2:C36062)))</f>
        <v/>
      </c>
      <c r="H501" t="str">
        <f>IF(C501="","",(C501/MEDIAN($C$2:D36062)))</f>
        <v/>
      </c>
    </row>
    <row r="502" spans="7:8" x14ac:dyDescent="0.2">
      <c r="G502" t="str">
        <f>IF(C502="","",(C502/AVERAGE($C$2:C36063)))</f>
        <v/>
      </c>
      <c r="H502" t="str">
        <f>IF(C502="","",(C502/MEDIAN($C$2:D36063)))</f>
        <v/>
      </c>
    </row>
    <row r="503" spans="7:8" x14ac:dyDescent="0.2">
      <c r="G503" t="str">
        <f>IF(C503="","",(C503/AVERAGE($C$2:C36064)))</f>
        <v/>
      </c>
      <c r="H503" t="str">
        <f>IF(C503="","",(C503/MEDIAN($C$2:D36064)))</f>
        <v/>
      </c>
    </row>
    <row r="504" spans="7:8" x14ac:dyDescent="0.2">
      <c r="G504" t="str">
        <f>IF(C504="","",(C504/AVERAGE($C$2:C36065)))</f>
        <v/>
      </c>
      <c r="H504" t="str">
        <f>IF(C504="","",(C504/MEDIAN($C$2:D36065)))</f>
        <v/>
      </c>
    </row>
    <row r="505" spans="7:8" x14ac:dyDescent="0.2">
      <c r="G505" t="str">
        <f>IF(C505="","",(C505/AVERAGE($C$2:C36066)))</f>
        <v/>
      </c>
      <c r="H505" t="str">
        <f>IF(C505="","",(C505/MEDIAN($C$2:D36066)))</f>
        <v/>
      </c>
    </row>
    <row r="506" spans="7:8" x14ac:dyDescent="0.2">
      <c r="G506" t="str">
        <f>IF(C506="","",(C506/AVERAGE($C$2:C36067)))</f>
        <v/>
      </c>
      <c r="H506" t="str">
        <f>IF(C506="","",(C506/MEDIAN($C$2:D36067)))</f>
        <v/>
      </c>
    </row>
    <row r="507" spans="7:8" x14ac:dyDescent="0.2">
      <c r="G507" t="str">
        <f>IF(C507="","",(C507/AVERAGE($C$2:C36068)))</f>
        <v/>
      </c>
      <c r="H507" t="str">
        <f>IF(C507="","",(C507/MEDIAN($C$2:D36068)))</f>
        <v/>
      </c>
    </row>
    <row r="508" spans="7:8" x14ac:dyDescent="0.2">
      <c r="G508" t="str">
        <f>IF(C508="","",(C508/AVERAGE($C$2:C36069)))</f>
        <v/>
      </c>
      <c r="H508" t="str">
        <f>IF(C508="","",(C508/MEDIAN($C$2:D36069)))</f>
        <v/>
      </c>
    </row>
    <row r="509" spans="7:8" x14ac:dyDescent="0.2">
      <c r="G509" t="str">
        <f>IF(C509="","",(C509/AVERAGE($C$2:C36070)))</f>
        <v/>
      </c>
      <c r="H509" t="str">
        <f>IF(C509="","",(C509/MEDIAN($C$2:D36070)))</f>
        <v/>
      </c>
    </row>
    <row r="510" spans="7:8" x14ac:dyDescent="0.2">
      <c r="G510" t="str">
        <f>IF(C510="","",(C510/AVERAGE($C$2:C36071)))</f>
        <v/>
      </c>
      <c r="H510" t="str">
        <f>IF(C510="","",(C510/MEDIAN($C$2:D36071)))</f>
        <v/>
      </c>
    </row>
    <row r="511" spans="7:8" x14ac:dyDescent="0.2">
      <c r="G511" t="str">
        <f>IF(C511="","",(C511/AVERAGE($C$2:C36072)))</f>
        <v/>
      </c>
      <c r="H511" t="str">
        <f>IF(C511="","",(C511/MEDIAN($C$2:D36072)))</f>
        <v/>
      </c>
    </row>
    <row r="512" spans="7:8" x14ac:dyDescent="0.2">
      <c r="G512" t="str">
        <f>IF(C512="","",(C512/AVERAGE($C$2:C36073)))</f>
        <v/>
      </c>
      <c r="H512" t="str">
        <f>IF(C512="","",(C512/MEDIAN($C$2:D36073)))</f>
        <v/>
      </c>
    </row>
    <row r="513" spans="7:8" x14ac:dyDescent="0.2">
      <c r="G513" t="str">
        <f>IF(C513="","",(C513/AVERAGE($C$2:C36074)))</f>
        <v/>
      </c>
      <c r="H513" t="str">
        <f>IF(C513="","",(C513/MEDIAN($C$2:D36074)))</f>
        <v/>
      </c>
    </row>
    <row r="514" spans="7:8" x14ac:dyDescent="0.2">
      <c r="G514" t="str">
        <f>IF(C514="","",(C514/AVERAGE($C$2:C36075)))</f>
        <v/>
      </c>
      <c r="H514" t="str">
        <f>IF(C514="","",(C514/MEDIAN($C$2:D36075)))</f>
        <v/>
      </c>
    </row>
    <row r="515" spans="7:8" x14ac:dyDescent="0.2">
      <c r="G515" t="str">
        <f>IF(C515="","",(C515/AVERAGE($C$2:C36076)))</f>
        <v/>
      </c>
      <c r="H515" t="str">
        <f>IF(C515="","",(C515/MEDIAN($C$2:D36076)))</f>
        <v/>
      </c>
    </row>
    <row r="516" spans="7:8" x14ac:dyDescent="0.2">
      <c r="G516" t="str">
        <f>IF(C516="","",(C516/AVERAGE($C$2:C36077)))</f>
        <v/>
      </c>
      <c r="H516" t="str">
        <f>IF(C516="","",(C516/MEDIAN($C$2:D36077)))</f>
        <v/>
      </c>
    </row>
    <row r="517" spans="7:8" x14ac:dyDescent="0.2">
      <c r="G517" t="str">
        <f>IF(C517="","",(C517/AVERAGE($C$2:C36078)))</f>
        <v/>
      </c>
      <c r="H517" t="str">
        <f>IF(C517="","",(C517/MEDIAN($C$2:D36078)))</f>
        <v/>
      </c>
    </row>
    <row r="518" spans="7:8" x14ac:dyDescent="0.2">
      <c r="G518" t="str">
        <f>IF(C518="","",(C518/AVERAGE($C$2:C36079)))</f>
        <v/>
      </c>
      <c r="H518" t="str">
        <f>IF(C518="","",(C518/MEDIAN($C$2:D36079)))</f>
        <v/>
      </c>
    </row>
    <row r="519" spans="7:8" x14ac:dyDescent="0.2">
      <c r="G519" t="str">
        <f>IF(C519="","",(C519/AVERAGE($C$2:C36080)))</f>
        <v/>
      </c>
      <c r="H519" t="str">
        <f>IF(C519="","",(C519/MEDIAN($C$2:D36080)))</f>
        <v/>
      </c>
    </row>
    <row r="520" spans="7:8" x14ac:dyDescent="0.2">
      <c r="G520" t="str">
        <f>IF(C520="","",(C520/AVERAGE($C$2:C36081)))</f>
        <v/>
      </c>
      <c r="H520" t="str">
        <f>IF(C520="","",(C520/MEDIAN($C$2:D36081)))</f>
        <v/>
      </c>
    </row>
    <row r="521" spans="7:8" x14ac:dyDescent="0.2">
      <c r="G521" t="str">
        <f>IF(C521="","",(C521/AVERAGE($C$2:C36082)))</f>
        <v/>
      </c>
      <c r="H521" t="str">
        <f>IF(C521="","",(C521/MEDIAN($C$2:D36082)))</f>
        <v/>
      </c>
    </row>
    <row r="522" spans="7:8" x14ac:dyDescent="0.2">
      <c r="G522" t="str">
        <f>IF(C522="","",(C522/AVERAGE($C$2:C36083)))</f>
        <v/>
      </c>
      <c r="H522" t="str">
        <f>IF(C522="","",(C522/MEDIAN($C$2:D36083)))</f>
        <v/>
      </c>
    </row>
    <row r="523" spans="7:8" x14ac:dyDescent="0.2">
      <c r="G523" t="str">
        <f>IF(C523="","",(C523/AVERAGE($C$2:C36084)))</f>
        <v/>
      </c>
      <c r="H523" t="str">
        <f>IF(C523="","",(C523/MEDIAN($C$2:D36084)))</f>
        <v/>
      </c>
    </row>
    <row r="524" spans="7:8" x14ac:dyDescent="0.2">
      <c r="G524" t="str">
        <f>IF(C524="","",(C524/AVERAGE($C$2:C36085)))</f>
        <v/>
      </c>
      <c r="H524" t="str">
        <f>IF(C524="","",(C524/MEDIAN($C$2:D36085)))</f>
        <v/>
      </c>
    </row>
    <row r="525" spans="7:8" x14ac:dyDescent="0.2">
      <c r="G525" t="str">
        <f>IF(C525="","",(C525/AVERAGE($C$2:C36086)))</f>
        <v/>
      </c>
      <c r="H525" t="str">
        <f>IF(C525="","",(C525/MEDIAN($C$2:D36086)))</f>
        <v/>
      </c>
    </row>
    <row r="526" spans="7:8" x14ac:dyDescent="0.2">
      <c r="G526" t="str">
        <f>IF(C526="","",(C526/AVERAGE($C$2:C36087)))</f>
        <v/>
      </c>
      <c r="H526" t="str">
        <f>IF(C526="","",(C526/MEDIAN($C$2:D36087)))</f>
        <v/>
      </c>
    </row>
    <row r="527" spans="7:8" x14ac:dyDescent="0.2">
      <c r="G527" t="str">
        <f>IF(C527="","",(C527/AVERAGE($C$2:C36088)))</f>
        <v/>
      </c>
      <c r="H527" t="str">
        <f>IF(C527="","",(C527/MEDIAN($C$2:D36088)))</f>
        <v/>
      </c>
    </row>
    <row r="528" spans="7:8" x14ac:dyDescent="0.2">
      <c r="G528" t="str">
        <f>IF(C528="","",(C528/AVERAGE($C$2:C36089)))</f>
        <v/>
      </c>
      <c r="H528" t="str">
        <f>IF(C528="","",(C528/MEDIAN($C$2:D36089)))</f>
        <v/>
      </c>
    </row>
    <row r="529" spans="7:8" x14ac:dyDescent="0.2">
      <c r="G529" t="str">
        <f>IF(C529="","",(C529/AVERAGE($C$2:C36090)))</f>
        <v/>
      </c>
      <c r="H529" t="str">
        <f>IF(C529="","",(C529/MEDIAN($C$2:D36090)))</f>
        <v/>
      </c>
    </row>
    <row r="530" spans="7:8" x14ac:dyDescent="0.2">
      <c r="G530" t="str">
        <f>IF(C530="","",(C530/AVERAGE($C$2:C36091)))</f>
        <v/>
      </c>
      <c r="H530" t="str">
        <f>IF(C530="","",(C530/MEDIAN($C$2:D36091)))</f>
        <v/>
      </c>
    </row>
    <row r="531" spans="7:8" x14ac:dyDescent="0.2">
      <c r="G531" t="str">
        <f>IF(C531="","",(C531/AVERAGE($C$2:C36092)))</f>
        <v/>
      </c>
      <c r="H531" t="str">
        <f>IF(C531="","",(C531/MEDIAN($C$2:D36092)))</f>
        <v/>
      </c>
    </row>
    <row r="532" spans="7:8" x14ac:dyDescent="0.2">
      <c r="G532" t="str">
        <f>IF(C532="","",(C532/AVERAGE($C$2:C36093)))</f>
        <v/>
      </c>
      <c r="H532" t="str">
        <f>IF(C532="","",(C532/MEDIAN($C$2:D36093)))</f>
        <v/>
      </c>
    </row>
    <row r="533" spans="7:8" x14ac:dyDescent="0.2">
      <c r="G533" t="str">
        <f>IF(C533="","",(C533/AVERAGE($C$2:C36094)))</f>
        <v/>
      </c>
      <c r="H533" t="str">
        <f>IF(C533="","",(C533/MEDIAN($C$2:D36094)))</f>
        <v/>
      </c>
    </row>
    <row r="534" spans="7:8" x14ac:dyDescent="0.2">
      <c r="G534" t="str">
        <f>IF(C534="","",(C534/AVERAGE($C$2:C36095)))</f>
        <v/>
      </c>
      <c r="H534" t="str">
        <f>IF(C534="","",(C534/MEDIAN($C$2:D36095)))</f>
        <v/>
      </c>
    </row>
    <row r="535" spans="7:8" x14ac:dyDescent="0.2">
      <c r="G535" t="str">
        <f>IF(C535="","",(C535/AVERAGE($C$2:C36096)))</f>
        <v/>
      </c>
      <c r="H535" t="str">
        <f>IF(C535="","",(C535/MEDIAN($C$2:D36096)))</f>
        <v/>
      </c>
    </row>
    <row r="536" spans="7:8" x14ac:dyDescent="0.2">
      <c r="G536" t="str">
        <f>IF(C536="","",(C536/AVERAGE($C$2:C36097)))</f>
        <v/>
      </c>
      <c r="H536" t="str">
        <f>IF(C536="","",(C536/MEDIAN($C$2:D36097)))</f>
        <v/>
      </c>
    </row>
    <row r="537" spans="7:8" x14ac:dyDescent="0.2">
      <c r="G537" t="str">
        <f>IF(C537="","",(C537/AVERAGE($C$2:C36098)))</f>
        <v/>
      </c>
      <c r="H537" t="str">
        <f>IF(C537="","",(C537/MEDIAN($C$2:D36098)))</f>
        <v/>
      </c>
    </row>
    <row r="538" spans="7:8" x14ac:dyDescent="0.2">
      <c r="G538" t="str">
        <f>IF(C538="","",(C538/AVERAGE($C$2:C36099)))</f>
        <v/>
      </c>
      <c r="H538" t="str">
        <f>IF(C538="","",(C538/MEDIAN($C$2:D36099)))</f>
        <v/>
      </c>
    </row>
    <row r="539" spans="7:8" x14ac:dyDescent="0.2">
      <c r="G539" t="str">
        <f>IF(C539="","",(C539/AVERAGE($C$2:C36100)))</f>
        <v/>
      </c>
      <c r="H539" t="str">
        <f>IF(C539="","",(C539/MEDIAN($C$2:D36100)))</f>
        <v/>
      </c>
    </row>
    <row r="540" spans="7:8" x14ac:dyDescent="0.2">
      <c r="G540" t="str">
        <f>IF(C540="","",(C540/AVERAGE($C$2:C36101)))</f>
        <v/>
      </c>
      <c r="H540" t="str">
        <f>IF(C540="","",(C540/MEDIAN($C$2:D36101)))</f>
        <v/>
      </c>
    </row>
    <row r="541" spans="7:8" x14ac:dyDescent="0.2">
      <c r="G541" t="str">
        <f>IF(C541="","",(C541/AVERAGE($C$2:C36102)))</f>
        <v/>
      </c>
      <c r="H541" t="str">
        <f>IF(C541="","",(C541/MEDIAN($C$2:D36102)))</f>
        <v/>
      </c>
    </row>
    <row r="542" spans="7:8" x14ac:dyDescent="0.2">
      <c r="G542" t="str">
        <f>IF(C542="","",(C542/AVERAGE($C$2:C36103)))</f>
        <v/>
      </c>
      <c r="H542" t="str">
        <f>IF(C542="","",(C542/MEDIAN($C$2:D36103)))</f>
        <v/>
      </c>
    </row>
    <row r="543" spans="7:8" x14ac:dyDescent="0.2">
      <c r="G543" t="str">
        <f>IF(C543="","",(C543/AVERAGE($C$2:C36104)))</f>
        <v/>
      </c>
      <c r="H543" t="str">
        <f>IF(C543="","",(C543/MEDIAN($C$2:D36104)))</f>
        <v/>
      </c>
    </row>
    <row r="544" spans="7:8" x14ac:dyDescent="0.2">
      <c r="G544" t="str">
        <f>IF(C544="","",(C544/AVERAGE($C$2:C36105)))</f>
        <v/>
      </c>
      <c r="H544" t="str">
        <f>IF(C544="","",(C544/MEDIAN($C$2:D36105)))</f>
        <v/>
      </c>
    </row>
    <row r="545" spans="7:8" x14ac:dyDescent="0.2">
      <c r="G545" t="str">
        <f>IF(C545="","",(C545/AVERAGE($C$2:C36106)))</f>
        <v/>
      </c>
      <c r="H545" t="str">
        <f>IF(C545="","",(C545/MEDIAN($C$2:D36106)))</f>
        <v/>
      </c>
    </row>
    <row r="546" spans="7:8" x14ac:dyDescent="0.2">
      <c r="G546" t="str">
        <f>IF(C546="","",(C546/AVERAGE($C$2:C36107)))</f>
        <v/>
      </c>
      <c r="H546" t="str">
        <f>IF(C546="","",(C546/MEDIAN($C$2:D36107)))</f>
        <v/>
      </c>
    </row>
    <row r="547" spans="7:8" x14ac:dyDescent="0.2">
      <c r="G547" t="str">
        <f>IF(C547="","",(C547/AVERAGE($C$2:C36108)))</f>
        <v/>
      </c>
      <c r="H547" t="str">
        <f>IF(C547="","",(C547/MEDIAN($C$2:D36108)))</f>
        <v/>
      </c>
    </row>
    <row r="548" spans="7:8" x14ac:dyDescent="0.2">
      <c r="G548" t="str">
        <f>IF(C548="","",(C548/AVERAGE($C$2:C36109)))</f>
        <v/>
      </c>
      <c r="H548" t="str">
        <f>IF(C548="","",(C548/MEDIAN($C$2:D36109)))</f>
        <v/>
      </c>
    </row>
    <row r="549" spans="7:8" x14ac:dyDescent="0.2">
      <c r="G549" t="str">
        <f>IF(C549="","",(C549/AVERAGE($C$2:C36110)))</f>
        <v/>
      </c>
      <c r="H549" t="str">
        <f>IF(C549="","",(C549/MEDIAN($C$2:D36110)))</f>
        <v/>
      </c>
    </row>
    <row r="550" spans="7:8" x14ac:dyDescent="0.2">
      <c r="G550" t="str">
        <f>IF(C550="","",(C550/AVERAGE($C$2:C36111)))</f>
        <v/>
      </c>
      <c r="H550" t="str">
        <f>IF(C550="","",(C550/MEDIAN($C$2:D36111)))</f>
        <v/>
      </c>
    </row>
    <row r="551" spans="7:8" x14ac:dyDescent="0.2">
      <c r="G551" t="str">
        <f>IF(C551="","",(C551/AVERAGE($C$2:C36112)))</f>
        <v/>
      </c>
      <c r="H551" t="str">
        <f>IF(C551="","",(C551/MEDIAN($C$2:D36112)))</f>
        <v/>
      </c>
    </row>
    <row r="552" spans="7:8" x14ac:dyDescent="0.2">
      <c r="G552" t="str">
        <f>IF(C552="","",(C552/AVERAGE($C$2:C36113)))</f>
        <v/>
      </c>
      <c r="H552" t="str">
        <f>IF(C552="","",(C552/MEDIAN($C$2:D36113)))</f>
        <v/>
      </c>
    </row>
    <row r="553" spans="7:8" x14ac:dyDescent="0.2">
      <c r="G553" t="str">
        <f>IF(C553="","",(C553/AVERAGE($C$2:C36114)))</f>
        <v/>
      </c>
      <c r="H553" t="str">
        <f>IF(C553="","",(C553/MEDIAN($C$2:D36114)))</f>
        <v/>
      </c>
    </row>
    <row r="554" spans="7:8" x14ac:dyDescent="0.2">
      <c r="G554" t="str">
        <f>IF(C554="","",(C554/AVERAGE($C$2:C36115)))</f>
        <v/>
      </c>
      <c r="H554" t="str">
        <f>IF(C554="","",(C554/MEDIAN($C$2:D36115)))</f>
        <v/>
      </c>
    </row>
    <row r="555" spans="7:8" x14ac:dyDescent="0.2">
      <c r="G555" t="str">
        <f>IF(C555="","",(C555/AVERAGE($C$2:C36116)))</f>
        <v/>
      </c>
      <c r="H555" t="str">
        <f>IF(C555="","",(C555/MEDIAN($C$2:D36116)))</f>
        <v/>
      </c>
    </row>
    <row r="556" spans="7:8" x14ac:dyDescent="0.2">
      <c r="G556" t="str">
        <f>IF(C556="","",(C556/AVERAGE($C$2:C36117)))</f>
        <v/>
      </c>
      <c r="H556" t="str">
        <f>IF(C556="","",(C556/MEDIAN($C$2:D36117)))</f>
        <v/>
      </c>
    </row>
    <row r="557" spans="7:8" x14ac:dyDescent="0.2">
      <c r="G557" t="str">
        <f>IF(C557="","",(C557/AVERAGE($C$2:C36118)))</f>
        <v/>
      </c>
      <c r="H557" t="str">
        <f>IF(C557="","",(C557/MEDIAN($C$2:D36118)))</f>
        <v/>
      </c>
    </row>
    <row r="558" spans="7:8" x14ac:dyDescent="0.2">
      <c r="G558" t="str">
        <f>IF(C558="","",(C558/AVERAGE($C$2:C36119)))</f>
        <v/>
      </c>
      <c r="H558" t="str">
        <f>IF(C558="","",(C558/MEDIAN($C$2:D36119)))</f>
        <v/>
      </c>
    </row>
    <row r="559" spans="7:8" x14ac:dyDescent="0.2">
      <c r="G559" t="str">
        <f>IF(C559="","",(C559/AVERAGE($C$2:C36120)))</f>
        <v/>
      </c>
      <c r="H559" t="str">
        <f>IF(C559="","",(C559/MEDIAN($C$2:D36120)))</f>
        <v/>
      </c>
    </row>
    <row r="560" spans="7:8" x14ac:dyDescent="0.2">
      <c r="G560" t="str">
        <f>IF(C560="","",(C560/AVERAGE($C$2:C36121)))</f>
        <v/>
      </c>
      <c r="H560" t="str">
        <f>IF(C560="","",(C560/MEDIAN($C$2:D36121)))</f>
        <v/>
      </c>
    </row>
    <row r="561" spans="7:8" x14ac:dyDescent="0.2">
      <c r="G561" t="str">
        <f>IF(C561="","",(C561/AVERAGE($C$2:C36122)))</f>
        <v/>
      </c>
      <c r="H561" t="str">
        <f>IF(C561="","",(C561/MEDIAN($C$2:D36122)))</f>
        <v/>
      </c>
    </row>
    <row r="562" spans="7:8" x14ac:dyDescent="0.2">
      <c r="G562" t="str">
        <f>IF(C562="","",(C562/AVERAGE($C$2:C36123)))</f>
        <v/>
      </c>
      <c r="H562" t="str">
        <f>IF(C562="","",(C562/MEDIAN($C$2:D36123)))</f>
        <v/>
      </c>
    </row>
    <row r="563" spans="7:8" x14ac:dyDescent="0.2">
      <c r="G563" t="str">
        <f>IF(C563="","",(C563/AVERAGE($C$2:C36124)))</f>
        <v/>
      </c>
      <c r="H563" t="str">
        <f>IF(C563="","",(C563/MEDIAN($C$2:D36124)))</f>
        <v/>
      </c>
    </row>
    <row r="564" spans="7:8" x14ac:dyDescent="0.2">
      <c r="G564" t="str">
        <f>IF(C564="","",(C564/AVERAGE($C$2:C36125)))</f>
        <v/>
      </c>
      <c r="H564" t="str">
        <f>IF(C564="","",(C564/MEDIAN($C$2:D36125)))</f>
        <v/>
      </c>
    </row>
    <row r="565" spans="7:8" x14ac:dyDescent="0.2">
      <c r="G565" t="str">
        <f>IF(C565="","",(C565/AVERAGE($C$2:C36126)))</f>
        <v/>
      </c>
      <c r="H565" t="str">
        <f>IF(C565="","",(C565/MEDIAN($C$2:D36126)))</f>
        <v/>
      </c>
    </row>
    <row r="566" spans="7:8" x14ac:dyDescent="0.2">
      <c r="G566" t="str">
        <f>IF(C566="","",(C566/AVERAGE($C$2:C36127)))</f>
        <v/>
      </c>
      <c r="H566" t="str">
        <f>IF(C566="","",(C566/MEDIAN($C$2:D36127)))</f>
        <v/>
      </c>
    </row>
    <row r="567" spans="7:8" x14ac:dyDescent="0.2">
      <c r="G567" t="str">
        <f>IF(C567="","",(C567/AVERAGE($C$2:C36128)))</f>
        <v/>
      </c>
      <c r="H567" t="str">
        <f>IF(C567="","",(C567/MEDIAN($C$2:D36128)))</f>
        <v/>
      </c>
    </row>
    <row r="568" spans="7:8" x14ac:dyDescent="0.2">
      <c r="G568" t="str">
        <f>IF(C568="","",(C568/AVERAGE($C$2:C36129)))</f>
        <v/>
      </c>
      <c r="H568" t="str">
        <f>IF(C568="","",(C568/MEDIAN($C$2:D36129)))</f>
        <v/>
      </c>
    </row>
    <row r="569" spans="7:8" x14ac:dyDescent="0.2">
      <c r="G569" t="str">
        <f>IF(C569="","",(C569/AVERAGE($C$2:C36130)))</f>
        <v/>
      </c>
      <c r="H569" t="str">
        <f>IF(C569="","",(C569/MEDIAN($C$2:D36130)))</f>
        <v/>
      </c>
    </row>
    <row r="570" spans="7:8" x14ac:dyDescent="0.2">
      <c r="G570" t="str">
        <f>IF(C570="","",(C570/AVERAGE($C$2:C36131)))</f>
        <v/>
      </c>
      <c r="H570" t="str">
        <f>IF(C570="","",(C570/MEDIAN($C$2:D36131)))</f>
        <v/>
      </c>
    </row>
    <row r="571" spans="7:8" x14ac:dyDescent="0.2">
      <c r="G571" t="str">
        <f>IF(C571="","",(C571/AVERAGE($C$2:C36132)))</f>
        <v/>
      </c>
      <c r="H571" t="str">
        <f>IF(C571="","",(C571/MEDIAN($C$2:D36132)))</f>
        <v/>
      </c>
    </row>
    <row r="572" spans="7:8" x14ac:dyDescent="0.2">
      <c r="G572" t="str">
        <f>IF(C572="","",(C572/AVERAGE($C$2:C36133)))</f>
        <v/>
      </c>
      <c r="H572" t="str">
        <f>IF(C572="","",(C572/MEDIAN($C$2:D36133)))</f>
        <v/>
      </c>
    </row>
    <row r="573" spans="7:8" x14ac:dyDescent="0.2">
      <c r="G573" t="str">
        <f>IF(C573="","",(C573/AVERAGE($C$2:C36134)))</f>
        <v/>
      </c>
      <c r="H573" t="str">
        <f>IF(C573="","",(C573/MEDIAN($C$2:D36134)))</f>
        <v/>
      </c>
    </row>
    <row r="574" spans="7:8" x14ac:dyDescent="0.2">
      <c r="G574" t="str">
        <f>IF(C574="","",(C574/AVERAGE($C$2:C36135)))</f>
        <v/>
      </c>
      <c r="H574" t="str">
        <f>IF(C574="","",(C574/MEDIAN($C$2:D36135)))</f>
        <v/>
      </c>
    </row>
    <row r="575" spans="7:8" x14ac:dyDescent="0.2">
      <c r="G575" t="str">
        <f>IF(C575="","",(C575/AVERAGE($C$2:C36136)))</f>
        <v/>
      </c>
      <c r="H575" t="str">
        <f>IF(C575="","",(C575/MEDIAN($C$2:D36136)))</f>
        <v/>
      </c>
    </row>
    <row r="576" spans="7:8" x14ac:dyDescent="0.2">
      <c r="G576" t="str">
        <f>IF(C576="","",(C576/AVERAGE($C$2:C36137)))</f>
        <v/>
      </c>
      <c r="H576" t="str">
        <f>IF(C576="","",(C576/MEDIAN($C$2:D36137)))</f>
        <v/>
      </c>
    </row>
    <row r="577" spans="7:8" x14ac:dyDescent="0.2">
      <c r="G577" t="str">
        <f>IF(C577="","",(C577/AVERAGE($C$2:C36138)))</f>
        <v/>
      </c>
      <c r="H577" t="str">
        <f>IF(C577="","",(C577/MEDIAN($C$2:D36138)))</f>
        <v/>
      </c>
    </row>
    <row r="578" spans="7:8" x14ac:dyDescent="0.2">
      <c r="G578" t="str">
        <f>IF(C578="","",(C578/AVERAGE($C$2:C36139)))</f>
        <v/>
      </c>
      <c r="H578" t="str">
        <f>IF(C578="","",(C578/MEDIAN($C$2:D36139)))</f>
        <v/>
      </c>
    </row>
    <row r="579" spans="7:8" x14ac:dyDescent="0.2">
      <c r="G579" t="str">
        <f>IF(C579="","",(C579/AVERAGE($C$2:C36140)))</f>
        <v/>
      </c>
      <c r="H579" t="str">
        <f>IF(C579="","",(C579/MEDIAN($C$2:D36140)))</f>
        <v/>
      </c>
    </row>
    <row r="580" spans="7:8" x14ac:dyDescent="0.2">
      <c r="G580" t="str">
        <f>IF(C580="","",(C580/AVERAGE($C$2:C36141)))</f>
        <v/>
      </c>
      <c r="H580" t="str">
        <f>IF(C580="","",(C580/MEDIAN($C$2:D36141)))</f>
        <v/>
      </c>
    </row>
    <row r="581" spans="7:8" x14ac:dyDescent="0.2">
      <c r="G581" t="str">
        <f>IF(C581="","",(C581/AVERAGE($C$2:C36142)))</f>
        <v/>
      </c>
      <c r="H581" t="str">
        <f>IF(C581="","",(C581/MEDIAN($C$2:D36142)))</f>
        <v/>
      </c>
    </row>
    <row r="582" spans="7:8" x14ac:dyDescent="0.2">
      <c r="G582" t="str">
        <f>IF(C582="","",(C582/AVERAGE($C$2:C36143)))</f>
        <v/>
      </c>
      <c r="H582" t="str">
        <f>IF(C582="","",(C582/MEDIAN($C$2:D36143)))</f>
        <v/>
      </c>
    </row>
    <row r="583" spans="7:8" x14ac:dyDescent="0.2">
      <c r="G583" t="str">
        <f>IF(C583="","",(C583/AVERAGE($C$2:C36144)))</f>
        <v/>
      </c>
      <c r="H583" t="str">
        <f>IF(C583="","",(C583/MEDIAN($C$2:D36144)))</f>
        <v/>
      </c>
    </row>
    <row r="584" spans="7:8" x14ac:dyDescent="0.2">
      <c r="G584" t="str">
        <f>IF(C584="","",(C584/AVERAGE($C$2:C36145)))</f>
        <v/>
      </c>
      <c r="H584" t="str">
        <f>IF(C584="","",(C584/MEDIAN($C$2:D36145)))</f>
        <v/>
      </c>
    </row>
    <row r="585" spans="7:8" x14ac:dyDescent="0.2">
      <c r="G585" t="str">
        <f>IF(C585="","",(C585/AVERAGE($C$2:C36146)))</f>
        <v/>
      </c>
      <c r="H585" t="str">
        <f>IF(C585="","",(C585/MEDIAN($C$2:D36146)))</f>
        <v/>
      </c>
    </row>
    <row r="586" spans="7:8" x14ac:dyDescent="0.2">
      <c r="G586" t="str">
        <f>IF(C586="","",(C586/AVERAGE($C$2:C36147)))</f>
        <v/>
      </c>
      <c r="H586" t="str">
        <f>IF(C586="","",(C586/MEDIAN($C$2:D36147)))</f>
        <v/>
      </c>
    </row>
    <row r="587" spans="7:8" x14ac:dyDescent="0.2">
      <c r="G587" t="str">
        <f>IF(C587="","",(C587/AVERAGE($C$2:C36148)))</f>
        <v/>
      </c>
      <c r="H587" t="str">
        <f>IF(C587="","",(C587/MEDIAN($C$2:D36148)))</f>
        <v/>
      </c>
    </row>
    <row r="588" spans="7:8" x14ac:dyDescent="0.2">
      <c r="G588" t="str">
        <f>IF(C588="","",(C588/AVERAGE($C$2:C36149)))</f>
        <v/>
      </c>
      <c r="H588" t="str">
        <f>IF(C588="","",(C588/MEDIAN($C$2:D36149)))</f>
        <v/>
      </c>
    </row>
    <row r="589" spans="7:8" x14ac:dyDescent="0.2">
      <c r="G589" t="str">
        <f>IF(C589="","",(C589/AVERAGE($C$2:C36150)))</f>
        <v/>
      </c>
      <c r="H589" t="str">
        <f>IF(C589="","",(C589/MEDIAN($C$2:D36150)))</f>
        <v/>
      </c>
    </row>
    <row r="590" spans="7:8" x14ac:dyDescent="0.2">
      <c r="G590" t="str">
        <f>IF(C590="","",(C590/AVERAGE($C$2:C36151)))</f>
        <v/>
      </c>
      <c r="H590" t="str">
        <f>IF(C590="","",(C590/MEDIAN($C$2:D36151)))</f>
        <v/>
      </c>
    </row>
    <row r="591" spans="7:8" x14ac:dyDescent="0.2">
      <c r="G591" t="str">
        <f>IF(C591="","",(C591/AVERAGE($C$2:C36152)))</f>
        <v/>
      </c>
      <c r="H591" t="str">
        <f>IF(C591="","",(C591/MEDIAN($C$2:D36152)))</f>
        <v/>
      </c>
    </row>
    <row r="592" spans="7:8" x14ac:dyDescent="0.2">
      <c r="G592" t="str">
        <f>IF(C592="","",(C592/AVERAGE($C$2:C36153)))</f>
        <v/>
      </c>
      <c r="H592" t="str">
        <f>IF(C592="","",(C592/MEDIAN($C$2:D36153)))</f>
        <v/>
      </c>
    </row>
    <row r="593" spans="7:8" x14ac:dyDescent="0.2">
      <c r="G593" t="str">
        <f>IF(C593="","",(C593/AVERAGE($C$2:C36154)))</f>
        <v/>
      </c>
      <c r="H593" t="str">
        <f>IF(C593="","",(C593/MEDIAN($C$2:D36154)))</f>
        <v/>
      </c>
    </row>
    <row r="594" spans="7:8" x14ac:dyDescent="0.2">
      <c r="G594" t="str">
        <f>IF(C594="","",(C594/AVERAGE($C$2:C36155)))</f>
        <v/>
      </c>
      <c r="H594" t="str">
        <f>IF(C594="","",(C594/MEDIAN($C$2:D36155)))</f>
        <v/>
      </c>
    </row>
    <row r="595" spans="7:8" x14ac:dyDescent="0.2">
      <c r="G595" t="str">
        <f>IF(C595="","",(C595/AVERAGE($C$2:C36156)))</f>
        <v/>
      </c>
      <c r="H595" t="str">
        <f>IF(C595="","",(C595/MEDIAN($C$2:D36156)))</f>
        <v/>
      </c>
    </row>
    <row r="596" spans="7:8" x14ac:dyDescent="0.2">
      <c r="G596" t="str">
        <f>IF(C596="","",(C596/AVERAGE($C$2:C36157)))</f>
        <v/>
      </c>
      <c r="H596" t="str">
        <f>IF(C596="","",(C596/MEDIAN($C$2:D36157)))</f>
        <v/>
      </c>
    </row>
    <row r="597" spans="7:8" x14ac:dyDescent="0.2">
      <c r="G597" t="str">
        <f>IF(C597="","",(C597/AVERAGE($C$2:C36158)))</f>
        <v/>
      </c>
      <c r="H597" t="str">
        <f>IF(C597="","",(C597/MEDIAN($C$2:D36158)))</f>
        <v/>
      </c>
    </row>
    <row r="598" spans="7:8" x14ac:dyDescent="0.2">
      <c r="G598" t="str">
        <f>IF(C598="","",(C598/AVERAGE($C$2:C36159)))</f>
        <v/>
      </c>
      <c r="H598" t="str">
        <f>IF(C598="","",(C598/MEDIAN($C$2:D36159)))</f>
        <v/>
      </c>
    </row>
    <row r="599" spans="7:8" x14ac:dyDescent="0.2">
      <c r="G599" t="str">
        <f>IF(C599="","",(C599/AVERAGE($C$2:C36160)))</f>
        <v/>
      </c>
      <c r="H599" t="str">
        <f>IF(C599="","",(C599/MEDIAN($C$2:D36160)))</f>
        <v/>
      </c>
    </row>
    <row r="600" spans="7:8" x14ac:dyDescent="0.2">
      <c r="G600" t="str">
        <f>IF(C600="","",(C600/AVERAGE($C$2:C36161)))</f>
        <v/>
      </c>
      <c r="H600" t="str">
        <f>IF(C600="","",(C600/MEDIAN($C$2:D36161)))</f>
        <v/>
      </c>
    </row>
    <row r="601" spans="7:8" x14ac:dyDescent="0.2">
      <c r="G601" t="str">
        <f>IF(C601="","",(C601/AVERAGE($C$2:C36162)))</f>
        <v/>
      </c>
      <c r="H601" t="str">
        <f>IF(C601="","",(C601/MEDIAN($C$2:D36162)))</f>
        <v/>
      </c>
    </row>
    <row r="602" spans="7:8" x14ac:dyDescent="0.2">
      <c r="G602" t="str">
        <f>IF(C602="","",(C602/AVERAGE($C$2:C36163)))</f>
        <v/>
      </c>
      <c r="H602" t="str">
        <f>IF(C602="","",(C602/MEDIAN($C$2:D36163)))</f>
        <v/>
      </c>
    </row>
    <row r="603" spans="7:8" x14ac:dyDescent="0.2">
      <c r="G603" t="str">
        <f>IF(C603="","",(C603/AVERAGE($C$2:C36164)))</f>
        <v/>
      </c>
      <c r="H603" t="str">
        <f>IF(C603="","",(C603/MEDIAN($C$2:D36164)))</f>
        <v/>
      </c>
    </row>
    <row r="604" spans="7:8" x14ac:dyDescent="0.2">
      <c r="G604" t="str">
        <f>IF(C604="","",(C604/AVERAGE($C$2:C36165)))</f>
        <v/>
      </c>
      <c r="H604" t="str">
        <f>IF(C604="","",(C604/MEDIAN($C$2:D36165)))</f>
        <v/>
      </c>
    </row>
    <row r="605" spans="7:8" x14ac:dyDescent="0.2">
      <c r="G605" t="str">
        <f>IF(C605="","",(C605/AVERAGE($C$2:C36166)))</f>
        <v/>
      </c>
      <c r="H605" t="str">
        <f>IF(C605="","",(C605/MEDIAN($C$2:D36166)))</f>
        <v/>
      </c>
    </row>
    <row r="606" spans="7:8" x14ac:dyDescent="0.2">
      <c r="G606" t="str">
        <f>IF(C606="","",(C606/AVERAGE($C$2:C36167)))</f>
        <v/>
      </c>
      <c r="H606" t="str">
        <f>IF(C606="","",(C606/MEDIAN($C$2:D36167)))</f>
        <v/>
      </c>
    </row>
    <row r="607" spans="7:8" x14ac:dyDescent="0.2">
      <c r="G607" t="str">
        <f>IF(C607="","",(C607/AVERAGE($C$2:C36168)))</f>
        <v/>
      </c>
      <c r="H607" t="str">
        <f>IF(C607="","",(C607/MEDIAN($C$2:D36168)))</f>
        <v/>
      </c>
    </row>
    <row r="608" spans="7:8" x14ac:dyDescent="0.2">
      <c r="G608" t="str">
        <f>IF(C608="","",(C608/AVERAGE($C$2:C36169)))</f>
        <v/>
      </c>
      <c r="H608" t="str">
        <f>IF(C608="","",(C608/MEDIAN($C$2:D36169)))</f>
        <v/>
      </c>
    </row>
    <row r="609" spans="7:8" x14ac:dyDescent="0.2">
      <c r="G609" t="str">
        <f>IF(C609="","",(C609/AVERAGE($C$2:C36170)))</f>
        <v/>
      </c>
      <c r="H609" t="str">
        <f>IF(C609="","",(C609/MEDIAN($C$2:D36170)))</f>
        <v/>
      </c>
    </row>
    <row r="610" spans="7:8" x14ac:dyDescent="0.2">
      <c r="G610" t="str">
        <f>IF(C610="","",(C610/AVERAGE($C$2:C36171)))</f>
        <v/>
      </c>
      <c r="H610" t="str">
        <f>IF(C610="","",(C610/MEDIAN($C$2:D36171)))</f>
        <v/>
      </c>
    </row>
    <row r="611" spans="7:8" x14ac:dyDescent="0.2">
      <c r="G611" t="str">
        <f>IF(C611="","",(C611/AVERAGE($C$2:C36172)))</f>
        <v/>
      </c>
      <c r="H611" t="str">
        <f>IF(C611="","",(C611/MEDIAN($C$2:D36172)))</f>
        <v/>
      </c>
    </row>
    <row r="612" spans="7:8" x14ac:dyDescent="0.2">
      <c r="G612" t="str">
        <f>IF(C612="","",(C612/AVERAGE($C$2:C36173)))</f>
        <v/>
      </c>
      <c r="H612" t="str">
        <f>IF(C612="","",(C612/MEDIAN($C$2:D36173)))</f>
        <v/>
      </c>
    </row>
    <row r="613" spans="7:8" x14ac:dyDescent="0.2">
      <c r="G613" t="str">
        <f>IF(C613="","",(C613/AVERAGE($C$2:C36174)))</f>
        <v/>
      </c>
      <c r="H613" t="str">
        <f>IF(C613="","",(C613/MEDIAN($C$2:D36174)))</f>
        <v/>
      </c>
    </row>
    <row r="614" spans="7:8" x14ac:dyDescent="0.2">
      <c r="G614" t="str">
        <f>IF(C614="","",(C614/AVERAGE($C$2:C36175)))</f>
        <v/>
      </c>
      <c r="H614" t="str">
        <f>IF(C614="","",(C614/MEDIAN($C$2:D36175)))</f>
        <v/>
      </c>
    </row>
    <row r="615" spans="7:8" x14ac:dyDescent="0.2">
      <c r="G615" t="str">
        <f>IF(C615="","",(C615/AVERAGE($C$2:C36176)))</f>
        <v/>
      </c>
      <c r="H615" t="str">
        <f>IF(C615="","",(C615/MEDIAN($C$2:D36176)))</f>
        <v/>
      </c>
    </row>
    <row r="616" spans="7:8" x14ac:dyDescent="0.2">
      <c r="G616" t="str">
        <f>IF(C616="","",(C616/AVERAGE($C$2:C36177)))</f>
        <v/>
      </c>
      <c r="H616" t="str">
        <f>IF(C616="","",(C616/MEDIAN($C$2:D36177)))</f>
        <v/>
      </c>
    </row>
    <row r="617" spans="7:8" x14ac:dyDescent="0.2">
      <c r="G617" t="str">
        <f>IF(C617="","",(C617/AVERAGE($C$2:C36178)))</f>
        <v/>
      </c>
      <c r="H617" t="str">
        <f>IF(C617="","",(C617/MEDIAN($C$2:D36178)))</f>
        <v/>
      </c>
    </row>
    <row r="618" spans="7:8" x14ac:dyDescent="0.2">
      <c r="G618" t="str">
        <f>IF(C618="","",(C618/AVERAGE($C$2:C36179)))</f>
        <v/>
      </c>
      <c r="H618" t="str">
        <f>IF(C618="","",(C618/MEDIAN($C$2:D36179)))</f>
        <v/>
      </c>
    </row>
    <row r="619" spans="7:8" x14ac:dyDescent="0.2">
      <c r="G619" t="str">
        <f>IF(C619="","",(C619/AVERAGE($C$2:C36180)))</f>
        <v/>
      </c>
      <c r="H619" t="str">
        <f>IF(C619="","",(C619/MEDIAN($C$2:D36180)))</f>
        <v/>
      </c>
    </row>
    <row r="620" spans="7:8" x14ac:dyDescent="0.2">
      <c r="G620" t="str">
        <f>IF(C620="","",(C620/AVERAGE($C$2:C36181)))</f>
        <v/>
      </c>
      <c r="H620" t="str">
        <f>IF(C620="","",(C620/MEDIAN($C$2:D36181)))</f>
        <v/>
      </c>
    </row>
    <row r="621" spans="7:8" x14ac:dyDescent="0.2">
      <c r="G621" t="str">
        <f>IF(C621="","",(C621/AVERAGE($C$2:C36182)))</f>
        <v/>
      </c>
      <c r="H621" t="str">
        <f>IF(C621="","",(C621/MEDIAN($C$2:D36182)))</f>
        <v/>
      </c>
    </row>
    <row r="622" spans="7:8" x14ac:dyDescent="0.2">
      <c r="G622" t="str">
        <f>IF(C622="","",(C622/AVERAGE($C$2:C36183)))</f>
        <v/>
      </c>
      <c r="H622" t="str">
        <f>IF(C622="","",(C622/MEDIAN($C$2:D36183)))</f>
        <v/>
      </c>
    </row>
    <row r="623" spans="7:8" x14ac:dyDescent="0.2">
      <c r="G623" t="str">
        <f>IF(C623="","",(C623/AVERAGE($C$2:C36184)))</f>
        <v/>
      </c>
      <c r="H623" t="str">
        <f>IF(C623="","",(C623/MEDIAN($C$2:D36184)))</f>
        <v/>
      </c>
    </row>
    <row r="624" spans="7:8" x14ac:dyDescent="0.2">
      <c r="G624" t="str">
        <f>IF(C624="","",(C624/AVERAGE($C$2:C36185)))</f>
        <v/>
      </c>
      <c r="H624" t="str">
        <f>IF(C624="","",(C624/MEDIAN($C$2:D36185)))</f>
        <v/>
      </c>
    </row>
    <row r="625" spans="7:8" x14ac:dyDescent="0.2">
      <c r="G625" t="str">
        <f>IF(C625="","",(C625/AVERAGE($C$2:C36186)))</f>
        <v/>
      </c>
      <c r="H625" t="str">
        <f>IF(C625="","",(C625/MEDIAN($C$2:D36186)))</f>
        <v/>
      </c>
    </row>
    <row r="626" spans="7:8" x14ac:dyDescent="0.2">
      <c r="G626" t="str">
        <f>IF(C626="","",(C626/AVERAGE($C$2:C36187)))</f>
        <v/>
      </c>
      <c r="H626" t="str">
        <f>IF(C626="","",(C626/MEDIAN($C$2:D36187)))</f>
        <v/>
      </c>
    </row>
    <row r="627" spans="7:8" x14ac:dyDescent="0.2">
      <c r="G627" t="str">
        <f>IF(C627="","",(C627/AVERAGE($C$2:C36188)))</f>
        <v/>
      </c>
      <c r="H627" t="str">
        <f>IF(C627="","",(C627/MEDIAN($C$2:D36188)))</f>
        <v/>
      </c>
    </row>
    <row r="628" spans="7:8" x14ac:dyDescent="0.2">
      <c r="G628" t="str">
        <f>IF(C628="","",(C628/AVERAGE($C$2:C36189)))</f>
        <v/>
      </c>
      <c r="H628" t="str">
        <f>IF(C628="","",(C628/MEDIAN($C$2:D36189)))</f>
        <v/>
      </c>
    </row>
    <row r="629" spans="7:8" x14ac:dyDescent="0.2">
      <c r="G629" t="str">
        <f>IF(C629="","",(C629/AVERAGE($C$2:C36190)))</f>
        <v/>
      </c>
      <c r="H629" t="str">
        <f>IF(C629="","",(C629/MEDIAN($C$2:D36190)))</f>
        <v/>
      </c>
    </row>
    <row r="630" spans="7:8" x14ac:dyDescent="0.2">
      <c r="G630" t="str">
        <f>IF(C630="","",(C630/AVERAGE($C$2:C36191)))</f>
        <v/>
      </c>
      <c r="H630" t="str">
        <f>IF(C630="","",(C630/MEDIAN($C$2:D36191)))</f>
        <v/>
      </c>
    </row>
    <row r="631" spans="7:8" x14ac:dyDescent="0.2">
      <c r="G631" t="str">
        <f>IF(C631="","",(C631/AVERAGE($C$2:C36192)))</f>
        <v/>
      </c>
      <c r="H631" t="str">
        <f>IF(C631="","",(C631/MEDIAN($C$2:D36192)))</f>
        <v/>
      </c>
    </row>
    <row r="632" spans="7:8" x14ac:dyDescent="0.2">
      <c r="G632" t="str">
        <f>IF(C632="","",(C632/AVERAGE($C$2:C36193)))</f>
        <v/>
      </c>
      <c r="H632" t="str">
        <f>IF(C632="","",(C632/MEDIAN($C$2:D36193)))</f>
        <v/>
      </c>
    </row>
    <row r="633" spans="7:8" x14ac:dyDescent="0.2">
      <c r="G633" t="str">
        <f>IF(C633="","",(C633/AVERAGE($C$2:C36194)))</f>
        <v/>
      </c>
      <c r="H633" t="str">
        <f>IF(C633="","",(C633/MEDIAN($C$2:D36194)))</f>
        <v/>
      </c>
    </row>
    <row r="634" spans="7:8" x14ac:dyDescent="0.2">
      <c r="G634" t="str">
        <f>IF(C634="","",(C634/AVERAGE($C$2:C36195)))</f>
        <v/>
      </c>
      <c r="H634" t="str">
        <f>IF(C634="","",(C634/MEDIAN($C$2:D36195)))</f>
        <v/>
      </c>
    </row>
    <row r="635" spans="7:8" x14ac:dyDescent="0.2">
      <c r="G635" t="str">
        <f>IF(C635="","",(C635/AVERAGE($C$2:C36196)))</f>
        <v/>
      </c>
      <c r="H635" t="str">
        <f>IF(C635="","",(C635/MEDIAN($C$2:D36196)))</f>
        <v/>
      </c>
    </row>
    <row r="636" spans="7:8" x14ac:dyDescent="0.2">
      <c r="G636" t="str">
        <f>IF(C636="","",(C636/AVERAGE($C$2:C36197)))</f>
        <v/>
      </c>
      <c r="H636" t="str">
        <f>IF(C636="","",(C636/MEDIAN($C$2:D36197)))</f>
        <v/>
      </c>
    </row>
    <row r="637" spans="7:8" x14ac:dyDescent="0.2">
      <c r="G637" t="str">
        <f>IF(C637="","",(C637/AVERAGE($C$2:C36198)))</f>
        <v/>
      </c>
      <c r="H637" t="str">
        <f>IF(C637="","",(C637/MEDIAN($C$2:D36198)))</f>
        <v/>
      </c>
    </row>
    <row r="638" spans="7:8" x14ac:dyDescent="0.2">
      <c r="G638" t="str">
        <f>IF(C638="","",(C638/AVERAGE($C$2:C36199)))</f>
        <v/>
      </c>
      <c r="H638" t="str">
        <f>IF(C638="","",(C638/MEDIAN($C$2:D36199)))</f>
        <v/>
      </c>
    </row>
    <row r="639" spans="7:8" x14ac:dyDescent="0.2">
      <c r="G639" t="str">
        <f>IF(C639="","",(C639/AVERAGE($C$2:C36200)))</f>
        <v/>
      </c>
      <c r="H639" t="str">
        <f>IF(C639="","",(C639/MEDIAN($C$2:D36200)))</f>
        <v/>
      </c>
    </row>
    <row r="640" spans="7:8" x14ac:dyDescent="0.2">
      <c r="G640" t="str">
        <f>IF(C640="","",(C640/AVERAGE($C$2:C36201)))</f>
        <v/>
      </c>
      <c r="H640" t="str">
        <f>IF(C640="","",(C640/MEDIAN($C$2:D36201)))</f>
        <v/>
      </c>
    </row>
    <row r="641" spans="7:8" x14ac:dyDescent="0.2">
      <c r="G641" t="str">
        <f>IF(C641="","",(C641/AVERAGE($C$2:C36202)))</f>
        <v/>
      </c>
      <c r="H641" t="str">
        <f>IF(C641="","",(C641/MEDIAN($C$2:D36202)))</f>
        <v/>
      </c>
    </row>
    <row r="642" spans="7:8" x14ac:dyDescent="0.2">
      <c r="G642" t="str">
        <f>IF(C642="","",(C642/AVERAGE($C$2:C36203)))</f>
        <v/>
      </c>
      <c r="H642" t="str">
        <f>IF(C642="","",(C642/MEDIAN($C$2:D36203)))</f>
        <v/>
      </c>
    </row>
    <row r="643" spans="7:8" x14ac:dyDescent="0.2">
      <c r="G643" t="str">
        <f>IF(C643="","",(C643/AVERAGE($C$2:C36204)))</f>
        <v/>
      </c>
      <c r="H643" t="str">
        <f>IF(C643="","",(C643/MEDIAN($C$2:D36204)))</f>
        <v/>
      </c>
    </row>
    <row r="644" spans="7:8" x14ac:dyDescent="0.2">
      <c r="G644" t="str">
        <f>IF(C644="","",(C644/AVERAGE($C$2:C36205)))</f>
        <v/>
      </c>
      <c r="H644" t="str">
        <f>IF(C644="","",(C644/MEDIAN($C$2:D36205)))</f>
        <v/>
      </c>
    </row>
    <row r="645" spans="7:8" x14ac:dyDescent="0.2">
      <c r="G645" t="str">
        <f>IF(C645="","",(C645/AVERAGE($C$2:C36206)))</f>
        <v/>
      </c>
      <c r="H645" t="str">
        <f>IF(C645="","",(C645/MEDIAN($C$2:D36206)))</f>
        <v/>
      </c>
    </row>
    <row r="646" spans="7:8" x14ac:dyDescent="0.2">
      <c r="G646" t="str">
        <f>IF(C646="","",(C646/AVERAGE($C$2:C36207)))</f>
        <v/>
      </c>
      <c r="H646" t="str">
        <f>IF(C646="","",(C646/MEDIAN($C$2:D36207)))</f>
        <v/>
      </c>
    </row>
    <row r="647" spans="7:8" x14ac:dyDescent="0.2">
      <c r="G647" t="str">
        <f>IF(C647="","",(C647/AVERAGE($C$2:C36208)))</f>
        <v/>
      </c>
      <c r="H647" t="str">
        <f>IF(C647="","",(C647/MEDIAN($C$2:D36208)))</f>
        <v/>
      </c>
    </row>
    <row r="648" spans="7:8" x14ac:dyDescent="0.2">
      <c r="G648" t="str">
        <f>IF(C648="","",(C648/AVERAGE($C$2:C36209)))</f>
        <v/>
      </c>
      <c r="H648" t="str">
        <f>IF(C648="","",(C648/MEDIAN($C$2:D36209)))</f>
        <v/>
      </c>
    </row>
    <row r="649" spans="7:8" x14ac:dyDescent="0.2">
      <c r="G649" t="str">
        <f>IF(C649="","",(C649/AVERAGE($C$2:C36210)))</f>
        <v/>
      </c>
      <c r="H649" t="str">
        <f>IF(C649="","",(C649/MEDIAN($C$2:D36210)))</f>
        <v/>
      </c>
    </row>
    <row r="650" spans="7:8" x14ac:dyDescent="0.2">
      <c r="G650" t="str">
        <f>IF(C650="","",(C650/AVERAGE($C$2:C36211)))</f>
        <v/>
      </c>
      <c r="H650" t="str">
        <f>IF(C650="","",(C650/MEDIAN($C$2:D36211)))</f>
        <v/>
      </c>
    </row>
    <row r="651" spans="7:8" x14ac:dyDescent="0.2">
      <c r="G651" t="str">
        <f>IF(C651="","",(C651/AVERAGE($C$2:C36212)))</f>
        <v/>
      </c>
      <c r="H651" t="str">
        <f>IF(C651="","",(C651/MEDIAN($C$2:D36212)))</f>
        <v/>
      </c>
    </row>
    <row r="652" spans="7:8" x14ac:dyDescent="0.2">
      <c r="G652" t="str">
        <f>IF(C652="","",(C652/AVERAGE($C$2:C36213)))</f>
        <v/>
      </c>
      <c r="H652" t="str">
        <f>IF(C652="","",(C652/MEDIAN($C$2:D36213)))</f>
        <v/>
      </c>
    </row>
    <row r="653" spans="7:8" x14ac:dyDescent="0.2">
      <c r="G653" t="str">
        <f>IF(C653="","",(C653/AVERAGE($C$2:C36214)))</f>
        <v/>
      </c>
      <c r="H653" t="str">
        <f>IF(C653="","",(C653/MEDIAN($C$2:D36214)))</f>
        <v/>
      </c>
    </row>
    <row r="654" spans="7:8" x14ac:dyDescent="0.2">
      <c r="G654" t="str">
        <f>IF(C654="","",(C654/AVERAGE($C$2:C36215)))</f>
        <v/>
      </c>
      <c r="H654" t="str">
        <f>IF(C654="","",(C654/MEDIAN($C$2:D36215)))</f>
        <v/>
      </c>
    </row>
    <row r="655" spans="7:8" x14ac:dyDescent="0.2">
      <c r="G655" t="str">
        <f>IF(C655="","",(C655/AVERAGE($C$2:C36216)))</f>
        <v/>
      </c>
      <c r="H655" t="str">
        <f>IF(C655="","",(C655/MEDIAN($C$2:D36216)))</f>
        <v/>
      </c>
    </row>
    <row r="656" spans="7:8" x14ac:dyDescent="0.2">
      <c r="G656" t="str">
        <f>IF(C656="","",(C656/AVERAGE($C$2:C36217)))</f>
        <v/>
      </c>
      <c r="H656" t="str">
        <f>IF(C656="","",(C656/MEDIAN($C$2:D36217)))</f>
        <v/>
      </c>
    </row>
    <row r="657" spans="7:8" x14ac:dyDescent="0.2">
      <c r="G657" t="str">
        <f>IF(C657="","",(C657/AVERAGE($C$2:C36218)))</f>
        <v/>
      </c>
      <c r="H657" t="str">
        <f>IF(C657="","",(C657/MEDIAN($C$2:D36218)))</f>
        <v/>
      </c>
    </row>
    <row r="658" spans="7:8" x14ac:dyDescent="0.2">
      <c r="G658" t="str">
        <f>IF(C658="","",(C658/AVERAGE($C$2:C36219)))</f>
        <v/>
      </c>
      <c r="H658" t="str">
        <f>IF(C658="","",(C658/MEDIAN($C$2:D36219)))</f>
        <v/>
      </c>
    </row>
    <row r="659" spans="7:8" x14ac:dyDescent="0.2">
      <c r="G659" t="str">
        <f>IF(C659="","",(C659/AVERAGE($C$2:C36220)))</f>
        <v/>
      </c>
      <c r="H659" t="str">
        <f>IF(C659="","",(C659/MEDIAN($C$2:D36220)))</f>
        <v/>
      </c>
    </row>
    <row r="660" spans="7:8" x14ac:dyDescent="0.2">
      <c r="G660" t="str">
        <f>IF(C660="","",(C660/AVERAGE($C$2:C36221)))</f>
        <v/>
      </c>
      <c r="H660" t="str">
        <f>IF(C660="","",(C660/MEDIAN($C$2:D36221)))</f>
        <v/>
      </c>
    </row>
    <row r="661" spans="7:8" x14ac:dyDescent="0.2">
      <c r="G661" t="str">
        <f>IF(C661="","",(C661/AVERAGE($C$2:C36222)))</f>
        <v/>
      </c>
      <c r="H661" t="str">
        <f>IF(C661="","",(C661/MEDIAN($C$2:D36222)))</f>
        <v/>
      </c>
    </row>
    <row r="662" spans="7:8" x14ac:dyDescent="0.2">
      <c r="G662" t="str">
        <f>IF(C662="","",(C662/AVERAGE($C$2:C36223)))</f>
        <v/>
      </c>
      <c r="H662" t="str">
        <f>IF(C662="","",(C662/MEDIAN($C$2:D36223)))</f>
        <v/>
      </c>
    </row>
    <row r="663" spans="7:8" x14ac:dyDescent="0.2">
      <c r="G663" t="str">
        <f>IF(C663="","",(C663/AVERAGE($C$2:C36224)))</f>
        <v/>
      </c>
      <c r="H663" t="str">
        <f>IF(C663="","",(C663/MEDIAN($C$2:D36224)))</f>
        <v/>
      </c>
    </row>
    <row r="664" spans="7:8" x14ac:dyDescent="0.2">
      <c r="G664" t="str">
        <f>IF(C664="","",(C664/AVERAGE($C$2:C36225)))</f>
        <v/>
      </c>
      <c r="H664" t="str">
        <f>IF(C664="","",(C664/MEDIAN($C$2:D36225)))</f>
        <v/>
      </c>
    </row>
    <row r="665" spans="7:8" x14ac:dyDescent="0.2">
      <c r="G665" t="str">
        <f>IF(C665="","",(C665/AVERAGE($C$2:C36226)))</f>
        <v/>
      </c>
      <c r="H665" t="str">
        <f>IF(C665="","",(C665/MEDIAN($C$2:D36226)))</f>
        <v/>
      </c>
    </row>
    <row r="666" spans="7:8" x14ac:dyDescent="0.2">
      <c r="G666" t="str">
        <f>IF(C666="","",(C666/AVERAGE($C$2:C36227)))</f>
        <v/>
      </c>
      <c r="H666" t="str">
        <f>IF(C666="","",(C666/MEDIAN($C$2:D36227)))</f>
        <v/>
      </c>
    </row>
    <row r="667" spans="7:8" x14ac:dyDescent="0.2">
      <c r="G667" t="str">
        <f>IF(C667="","",(C667/AVERAGE($C$2:C36228)))</f>
        <v/>
      </c>
      <c r="H667" t="str">
        <f>IF(C667="","",(C667/MEDIAN($C$2:D36228)))</f>
        <v/>
      </c>
    </row>
    <row r="668" spans="7:8" x14ac:dyDescent="0.2">
      <c r="G668" t="str">
        <f>IF(C668="","",(C668/AVERAGE($C$2:C36229)))</f>
        <v/>
      </c>
      <c r="H668" t="str">
        <f>IF(C668="","",(C668/MEDIAN($C$2:D36229)))</f>
        <v/>
      </c>
    </row>
    <row r="669" spans="7:8" x14ac:dyDescent="0.2">
      <c r="G669" t="str">
        <f>IF(C669="","",(C669/AVERAGE($C$2:C36230)))</f>
        <v/>
      </c>
      <c r="H669" t="str">
        <f>IF(C669="","",(C669/MEDIAN($C$2:D36230)))</f>
        <v/>
      </c>
    </row>
    <row r="670" spans="7:8" x14ac:dyDescent="0.2">
      <c r="G670" t="str">
        <f>IF(C670="","",(C670/AVERAGE($C$2:C36231)))</f>
        <v/>
      </c>
      <c r="H670" t="str">
        <f>IF(C670="","",(C670/MEDIAN($C$2:D36231)))</f>
        <v/>
      </c>
    </row>
    <row r="671" spans="7:8" x14ac:dyDescent="0.2">
      <c r="G671" t="str">
        <f>IF(C671="","",(C671/AVERAGE($C$2:C36232)))</f>
        <v/>
      </c>
      <c r="H671" t="str">
        <f>IF(C671="","",(C671/MEDIAN($C$2:D36232)))</f>
        <v/>
      </c>
    </row>
    <row r="672" spans="7:8" x14ac:dyDescent="0.2">
      <c r="G672" t="str">
        <f>IF(C672="","",(C672/AVERAGE($C$2:C36233)))</f>
        <v/>
      </c>
      <c r="H672" t="str">
        <f>IF(C672="","",(C672/MEDIAN($C$2:D36233)))</f>
        <v/>
      </c>
    </row>
    <row r="673" spans="7:8" x14ac:dyDescent="0.2">
      <c r="G673" t="str">
        <f>IF(C673="","",(C673/AVERAGE($C$2:C36234)))</f>
        <v/>
      </c>
      <c r="H673" t="str">
        <f>IF(C673="","",(C673/MEDIAN($C$2:D36234)))</f>
        <v/>
      </c>
    </row>
    <row r="674" spans="7:8" x14ac:dyDescent="0.2">
      <c r="G674" t="str">
        <f>IF(C674="","",(C674/AVERAGE($C$2:C36235)))</f>
        <v/>
      </c>
      <c r="H674" t="str">
        <f>IF(C674="","",(C674/MEDIAN($C$2:D36235)))</f>
        <v/>
      </c>
    </row>
    <row r="675" spans="7:8" x14ac:dyDescent="0.2">
      <c r="G675" t="str">
        <f>IF(C675="","",(C675/AVERAGE($C$2:C36236)))</f>
        <v/>
      </c>
      <c r="H675" t="str">
        <f>IF(C675="","",(C675/MEDIAN($C$2:D36236)))</f>
        <v/>
      </c>
    </row>
    <row r="676" spans="7:8" x14ac:dyDescent="0.2">
      <c r="G676" t="str">
        <f>IF(C676="","",(C676/AVERAGE($C$2:C36237)))</f>
        <v/>
      </c>
      <c r="H676" t="str">
        <f>IF(C676="","",(C676/MEDIAN($C$2:D36237)))</f>
        <v/>
      </c>
    </row>
    <row r="677" spans="7:8" x14ac:dyDescent="0.2">
      <c r="G677" t="str">
        <f>IF(C677="","",(C677/AVERAGE($C$2:C36238)))</f>
        <v/>
      </c>
      <c r="H677" t="str">
        <f>IF(C677="","",(C677/MEDIAN($C$2:D36238)))</f>
        <v/>
      </c>
    </row>
    <row r="678" spans="7:8" x14ac:dyDescent="0.2">
      <c r="G678" t="str">
        <f>IF(C678="","",(C678/AVERAGE($C$2:C36239)))</f>
        <v/>
      </c>
      <c r="H678" t="str">
        <f>IF(C678="","",(C678/MEDIAN($C$2:D36239)))</f>
        <v/>
      </c>
    </row>
    <row r="679" spans="7:8" x14ac:dyDescent="0.2">
      <c r="G679" t="str">
        <f>IF(C679="","",(C679/AVERAGE($C$2:C36240)))</f>
        <v/>
      </c>
      <c r="H679" t="str">
        <f>IF(C679="","",(C679/MEDIAN($C$2:D36240)))</f>
        <v/>
      </c>
    </row>
    <row r="680" spans="7:8" x14ac:dyDescent="0.2">
      <c r="G680" t="str">
        <f>IF(C680="","",(C680/AVERAGE($C$2:C36241)))</f>
        <v/>
      </c>
      <c r="H680" t="str">
        <f>IF(C680="","",(C680/MEDIAN($C$2:D36241)))</f>
        <v/>
      </c>
    </row>
    <row r="681" spans="7:8" x14ac:dyDescent="0.2">
      <c r="G681" t="str">
        <f>IF(C681="","",(C681/AVERAGE($C$2:C36242)))</f>
        <v/>
      </c>
      <c r="H681" t="str">
        <f>IF(C681="","",(C681/MEDIAN($C$2:D36242)))</f>
        <v/>
      </c>
    </row>
    <row r="682" spans="7:8" x14ac:dyDescent="0.2">
      <c r="G682" t="str">
        <f>IF(C682="","",(C682/AVERAGE($C$2:C36243)))</f>
        <v/>
      </c>
      <c r="H682" t="str">
        <f>IF(C682="","",(C682/MEDIAN($C$2:D36243)))</f>
        <v/>
      </c>
    </row>
    <row r="683" spans="7:8" x14ac:dyDescent="0.2">
      <c r="G683" t="str">
        <f>IF(C683="","",(C683/AVERAGE($C$2:C36244)))</f>
        <v/>
      </c>
      <c r="H683" t="str">
        <f>IF(C683="","",(C683/MEDIAN($C$2:D36244)))</f>
        <v/>
      </c>
    </row>
    <row r="684" spans="7:8" x14ac:dyDescent="0.2">
      <c r="G684" t="str">
        <f>IF(C684="","",(C684/AVERAGE($C$2:C36245)))</f>
        <v/>
      </c>
      <c r="H684" t="str">
        <f>IF(C684="","",(C684/MEDIAN($C$2:D36245)))</f>
        <v/>
      </c>
    </row>
    <row r="685" spans="7:8" x14ac:dyDescent="0.2">
      <c r="G685" t="str">
        <f>IF(C685="","",(C685/AVERAGE($C$2:C36246)))</f>
        <v/>
      </c>
      <c r="H685" t="str">
        <f>IF(C685="","",(C685/MEDIAN($C$2:D36246)))</f>
        <v/>
      </c>
    </row>
    <row r="686" spans="7:8" x14ac:dyDescent="0.2">
      <c r="G686" t="str">
        <f>IF(C686="","",(C686/AVERAGE($C$2:C36247)))</f>
        <v/>
      </c>
      <c r="H686" t="str">
        <f>IF(C686="","",(C686/MEDIAN($C$2:D36247)))</f>
        <v/>
      </c>
    </row>
    <row r="687" spans="7:8" x14ac:dyDescent="0.2">
      <c r="G687" t="str">
        <f>IF(C687="","",(C687/AVERAGE($C$2:C36248)))</f>
        <v/>
      </c>
      <c r="H687" t="str">
        <f>IF(C687="","",(C687/MEDIAN($C$2:D36248)))</f>
        <v/>
      </c>
    </row>
    <row r="688" spans="7:8" x14ac:dyDescent="0.2">
      <c r="G688" t="str">
        <f>IF(C688="","",(C688/AVERAGE($C$2:C36249)))</f>
        <v/>
      </c>
      <c r="H688" t="str">
        <f>IF(C688="","",(C688/MEDIAN($C$2:D36249)))</f>
        <v/>
      </c>
    </row>
    <row r="689" spans="7:8" x14ac:dyDescent="0.2">
      <c r="G689" t="str">
        <f>IF(C689="","",(C689/AVERAGE($C$2:C36250)))</f>
        <v/>
      </c>
      <c r="H689" t="str">
        <f>IF(C689="","",(C689/MEDIAN($C$2:D36250)))</f>
        <v/>
      </c>
    </row>
    <row r="690" spans="7:8" x14ac:dyDescent="0.2">
      <c r="G690" t="str">
        <f>IF(C690="","",(C690/AVERAGE($C$2:C36251)))</f>
        <v/>
      </c>
      <c r="H690" t="str">
        <f>IF(C690="","",(C690/MEDIAN($C$2:D36251)))</f>
        <v/>
      </c>
    </row>
    <row r="691" spans="7:8" x14ac:dyDescent="0.2">
      <c r="G691" t="str">
        <f>IF(C691="","",(C691/AVERAGE($C$2:C36252)))</f>
        <v/>
      </c>
      <c r="H691" t="str">
        <f>IF(C691="","",(C691/MEDIAN($C$2:D36252)))</f>
        <v/>
      </c>
    </row>
    <row r="692" spans="7:8" x14ac:dyDescent="0.2">
      <c r="G692" t="str">
        <f>IF(C692="","",(C692/AVERAGE($C$2:C36253)))</f>
        <v/>
      </c>
      <c r="H692" t="str">
        <f>IF(C692="","",(C692/MEDIAN($C$2:D36253)))</f>
        <v/>
      </c>
    </row>
    <row r="693" spans="7:8" x14ac:dyDescent="0.2">
      <c r="G693" t="str">
        <f>IF(C693="","",(C693/AVERAGE($C$2:C36254)))</f>
        <v/>
      </c>
      <c r="H693" t="str">
        <f>IF(C693="","",(C693/MEDIAN($C$2:D36254)))</f>
        <v/>
      </c>
    </row>
    <row r="694" spans="7:8" x14ac:dyDescent="0.2">
      <c r="G694" t="str">
        <f>IF(C694="","",(C694/AVERAGE($C$2:C36255)))</f>
        <v/>
      </c>
      <c r="H694" t="str">
        <f>IF(C694="","",(C694/MEDIAN($C$2:D36255)))</f>
        <v/>
      </c>
    </row>
    <row r="695" spans="7:8" x14ac:dyDescent="0.2">
      <c r="G695" t="str">
        <f>IF(C695="","",(C695/AVERAGE($C$2:C36256)))</f>
        <v/>
      </c>
      <c r="H695" t="str">
        <f>IF(C695="","",(C695/MEDIAN($C$2:D36256)))</f>
        <v/>
      </c>
    </row>
    <row r="696" spans="7:8" x14ac:dyDescent="0.2">
      <c r="G696" t="str">
        <f>IF(C696="","",(C696/AVERAGE($C$2:C36257)))</f>
        <v/>
      </c>
      <c r="H696" t="str">
        <f>IF(C696="","",(C696/MEDIAN($C$2:D36257)))</f>
        <v/>
      </c>
    </row>
    <row r="697" spans="7:8" x14ac:dyDescent="0.2">
      <c r="G697" t="str">
        <f>IF(C697="","",(C697/AVERAGE($C$2:C36258)))</f>
        <v/>
      </c>
      <c r="H697" t="str">
        <f>IF(C697="","",(C697/MEDIAN($C$2:D36258)))</f>
        <v/>
      </c>
    </row>
    <row r="698" spans="7:8" x14ac:dyDescent="0.2">
      <c r="G698" t="str">
        <f>IF(C698="","",(C698/AVERAGE($C$2:C36259)))</f>
        <v/>
      </c>
      <c r="H698" t="str">
        <f>IF(C698="","",(C698/MEDIAN($C$2:D36259)))</f>
        <v/>
      </c>
    </row>
    <row r="699" spans="7:8" x14ac:dyDescent="0.2">
      <c r="G699" t="str">
        <f>IF(C699="","",(C699/AVERAGE($C$2:C36260)))</f>
        <v/>
      </c>
      <c r="H699" t="str">
        <f>IF(C699="","",(C699/MEDIAN($C$2:D36260)))</f>
        <v/>
      </c>
    </row>
    <row r="700" spans="7:8" x14ac:dyDescent="0.2">
      <c r="G700" t="str">
        <f>IF(C700="","",(C700/AVERAGE($C$2:C36261)))</f>
        <v/>
      </c>
      <c r="H700" t="str">
        <f>IF(C700="","",(C700/MEDIAN($C$2:D36261)))</f>
        <v/>
      </c>
    </row>
    <row r="701" spans="7:8" x14ac:dyDescent="0.2">
      <c r="G701" t="str">
        <f>IF(C701="","",(C701/AVERAGE($C$2:C36262)))</f>
        <v/>
      </c>
      <c r="H701" t="str">
        <f>IF(C701="","",(C701/MEDIAN($C$2:D36262)))</f>
        <v/>
      </c>
    </row>
    <row r="702" spans="7:8" x14ac:dyDescent="0.2">
      <c r="G702" t="str">
        <f>IF(C702="","",(C702/AVERAGE($C$2:C36263)))</f>
        <v/>
      </c>
      <c r="H702" t="str">
        <f>IF(C702="","",(C702/MEDIAN($C$2:D36263)))</f>
        <v/>
      </c>
    </row>
    <row r="703" spans="7:8" x14ac:dyDescent="0.2">
      <c r="G703" t="str">
        <f>IF(C703="","",(C703/AVERAGE($C$2:C36264)))</f>
        <v/>
      </c>
      <c r="H703" t="str">
        <f>IF(C703="","",(C703/MEDIAN($C$2:D36264)))</f>
        <v/>
      </c>
    </row>
    <row r="704" spans="7:8" x14ac:dyDescent="0.2">
      <c r="G704" t="str">
        <f>IF(C704="","",(C704/AVERAGE($C$2:C36265)))</f>
        <v/>
      </c>
      <c r="H704" t="str">
        <f>IF(C704="","",(C704/MEDIAN($C$2:D36265)))</f>
        <v/>
      </c>
    </row>
    <row r="705" spans="7:8" x14ac:dyDescent="0.2">
      <c r="G705" t="str">
        <f>IF(C705="","",(C705/AVERAGE($C$2:C36266)))</f>
        <v/>
      </c>
      <c r="H705" t="str">
        <f>IF(C705="","",(C705/MEDIAN($C$2:D36266)))</f>
        <v/>
      </c>
    </row>
    <row r="706" spans="7:8" x14ac:dyDescent="0.2">
      <c r="G706" t="str">
        <f>IF(C706="","",(C706/AVERAGE($C$2:C36267)))</f>
        <v/>
      </c>
      <c r="H706" t="str">
        <f>IF(C706="","",(C706/MEDIAN($C$2:D36267)))</f>
        <v/>
      </c>
    </row>
    <row r="707" spans="7:8" x14ac:dyDescent="0.2">
      <c r="G707" t="str">
        <f>IF(C707="","",(C707/AVERAGE($C$2:C36268)))</f>
        <v/>
      </c>
      <c r="H707" t="str">
        <f>IF(C707="","",(C707/MEDIAN($C$2:D36268)))</f>
        <v/>
      </c>
    </row>
    <row r="708" spans="7:8" x14ac:dyDescent="0.2">
      <c r="G708" t="str">
        <f>IF(C708="","",(C708/AVERAGE($C$2:C36269)))</f>
        <v/>
      </c>
      <c r="H708" t="str">
        <f>IF(C708="","",(C708/MEDIAN($C$2:D36269)))</f>
        <v/>
      </c>
    </row>
    <row r="709" spans="7:8" x14ac:dyDescent="0.2">
      <c r="G709" t="str">
        <f>IF(C709="","",(C709/AVERAGE($C$2:C36270)))</f>
        <v/>
      </c>
      <c r="H709" t="str">
        <f>IF(C709="","",(C709/MEDIAN($C$2:D36270)))</f>
        <v/>
      </c>
    </row>
    <row r="710" spans="7:8" x14ac:dyDescent="0.2">
      <c r="G710" t="str">
        <f>IF(C710="","",(C710/AVERAGE($C$2:C36271)))</f>
        <v/>
      </c>
      <c r="H710" t="str">
        <f>IF(C710="","",(C710/MEDIAN($C$2:D36271)))</f>
        <v/>
      </c>
    </row>
    <row r="711" spans="7:8" x14ac:dyDescent="0.2">
      <c r="G711" t="str">
        <f>IF(C711="","",(C711/AVERAGE($C$2:C36272)))</f>
        <v/>
      </c>
      <c r="H711" t="str">
        <f>IF(C711="","",(C711/MEDIAN($C$2:D36272)))</f>
        <v/>
      </c>
    </row>
    <row r="712" spans="7:8" x14ac:dyDescent="0.2">
      <c r="G712" t="str">
        <f>IF(C712="","",(C712/AVERAGE($C$2:C36273)))</f>
        <v/>
      </c>
      <c r="H712" t="str">
        <f>IF(C712="","",(C712/MEDIAN($C$2:D36273)))</f>
        <v/>
      </c>
    </row>
    <row r="713" spans="7:8" x14ac:dyDescent="0.2">
      <c r="G713" t="str">
        <f>IF(C713="","",(C713/AVERAGE($C$2:C36274)))</f>
        <v/>
      </c>
      <c r="H713" t="str">
        <f>IF(C713="","",(C713/MEDIAN($C$2:D36274)))</f>
        <v/>
      </c>
    </row>
    <row r="714" spans="7:8" x14ac:dyDescent="0.2">
      <c r="G714" t="str">
        <f>IF(C714="","",(C714/AVERAGE($C$2:C36275)))</f>
        <v/>
      </c>
      <c r="H714" t="str">
        <f>IF(C714="","",(C714/MEDIAN($C$2:D36275)))</f>
        <v/>
      </c>
    </row>
    <row r="715" spans="7:8" x14ac:dyDescent="0.2">
      <c r="G715" t="str">
        <f>IF(C715="","",(C715/AVERAGE($C$2:C36276)))</f>
        <v/>
      </c>
      <c r="H715" t="str">
        <f>IF(C715="","",(C715/MEDIAN($C$2:D36276)))</f>
        <v/>
      </c>
    </row>
    <row r="716" spans="7:8" x14ac:dyDescent="0.2">
      <c r="G716" t="str">
        <f>IF(C716="","",(C716/AVERAGE($C$2:C36277)))</f>
        <v/>
      </c>
      <c r="H716" t="str">
        <f>IF(C716="","",(C716/MEDIAN($C$2:D36277)))</f>
        <v/>
      </c>
    </row>
    <row r="717" spans="7:8" x14ac:dyDescent="0.2">
      <c r="G717" t="str">
        <f>IF(C717="","",(C717/AVERAGE($C$2:C36278)))</f>
        <v/>
      </c>
      <c r="H717" t="str">
        <f>IF(C717="","",(C717/MEDIAN($C$2:D36278)))</f>
        <v/>
      </c>
    </row>
    <row r="718" spans="7:8" x14ac:dyDescent="0.2">
      <c r="G718" t="str">
        <f>IF(C718="","",(C718/AVERAGE($C$2:C36279)))</f>
        <v/>
      </c>
      <c r="H718" t="str">
        <f>IF(C718="","",(C718/MEDIAN($C$2:D36279)))</f>
        <v/>
      </c>
    </row>
    <row r="719" spans="7:8" x14ac:dyDescent="0.2">
      <c r="G719" t="str">
        <f>IF(C719="","",(C719/AVERAGE($C$2:C36280)))</f>
        <v/>
      </c>
      <c r="H719" t="str">
        <f>IF(C719="","",(C719/MEDIAN($C$2:D36280)))</f>
        <v/>
      </c>
    </row>
    <row r="720" spans="7:8" x14ac:dyDescent="0.2">
      <c r="G720" t="str">
        <f>IF(C720="","",(C720/AVERAGE($C$2:C36281)))</f>
        <v/>
      </c>
      <c r="H720" t="str">
        <f>IF(C720="","",(C720/MEDIAN($C$2:D36281)))</f>
        <v/>
      </c>
    </row>
    <row r="721" spans="7:8" x14ac:dyDescent="0.2">
      <c r="G721" t="str">
        <f>IF(C721="","",(C721/AVERAGE($C$2:C36282)))</f>
        <v/>
      </c>
      <c r="H721" t="str">
        <f>IF(C721="","",(C721/MEDIAN($C$2:D36282)))</f>
        <v/>
      </c>
    </row>
    <row r="722" spans="7:8" x14ac:dyDescent="0.2">
      <c r="G722" t="str">
        <f>IF(C722="","",(C722/AVERAGE($C$2:C36283)))</f>
        <v/>
      </c>
      <c r="H722" t="str">
        <f>IF(C722="","",(C722/MEDIAN($C$2:D36283)))</f>
        <v/>
      </c>
    </row>
    <row r="723" spans="7:8" x14ac:dyDescent="0.2">
      <c r="G723" t="str">
        <f>IF(C723="","",(C723/AVERAGE($C$2:C36284)))</f>
        <v/>
      </c>
      <c r="H723" t="str">
        <f>IF(C723="","",(C723/MEDIAN($C$2:D36284)))</f>
        <v/>
      </c>
    </row>
    <row r="724" spans="7:8" x14ac:dyDescent="0.2">
      <c r="G724" t="str">
        <f>IF(C724="","",(C724/AVERAGE($C$2:C36285)))</f>
        <v/>
      </c>
      <c r="H724" t="str">
        <f>IF(C724="","",(C724/MEDIAN($C$2:D36285)))</f>
        <v/>
      </c>
    </row>
    <row r="725" spans="7:8" x14ac:dyDescent="0.2">
      <c r="G725" t="str">
        <f>IF(C725="","",(C725/AVERAGE($C$2:C36286)))</f>
        <v/>
      </c>
      <c r="H725" t="str">
        <f>IF(C725="","",(C725/MEDIAN($C$2:D36286)))</f>
        <v/>
      </c>
    </row>
    <row r="726" spans="7:8" x14ac:dyDescent="0.2">
      <c r="G726" t="str">
        <f>IF(C726="","",(C726/AVERAGE($C$2:C36287)))</f>
        <v/>
      </c>
      <c r="H726" t="str">
        <f>IF(C726="","",(C726/MEDIAN($C$2:D36287)))</f>
        <v/>
      </c>
    </row>
    <row r="727" spans="7:8" x14ac:dyDescent="0.2">
      <c r="G727" t="str">
        <f>IF(C727="","",(C727/AVERAGE($C$2:C36288)))</f>
        <v/>
      </c>
      <c r="H727" t="str">
        <f>IF(C727="","",(C727/MEDIAN($C$2:D36288)))</f>
        <v/>
      </c>
    </row>
    <row r="728" spans="7:8" x14ac:dyDescent="0.2">
      <c r="G728" t="str">
        <f>IF(C728="","",(C728/AVERAGE($C$2:C36289)))</f>
        <v/>
      </c>
      <c r="H728" t="str">
        <f>IF(C728="","",(C728/MEDIAN($C$2:D36289)))</f>
        <v/>
      </c>
    </row>
    <row r="729" spans="7:8" x14ac:dyDescent="0.2">
      <c r="G729" t="str">
        <f>IF(C729="","",(C729/AVERAGE($C$2:C36290)))</f>
        <v/>
      </c>
      <c r="H729" t="str">
        <f>IF(C729="","",(C729/MEDIAN($C$2:D36290)))</f>
        <v/>
      </c>
    </row>
    <row r="730" spans="7:8" x14ac:dyDescent="0.2">
      <c r="G730" t="str">
        <f>IF(C730="","",(C730/AVERAGE($C$2:C36291)))</f>
        <v/>
      </c>
      <c r="H730" t="str">
        <f>IF(C730="","",(C730/MEDIAN($C$2:D36291)))</f>
        <v/>
      </c>
    </row>
    <row r="731" spans="7:8" x14ac:dyDescent="0.2">
      <c r="G731" t="str">
        <f>IF(C731="","",(C731/AVERAGE($C$2:C36292)))</f>
        <v/>
      </c>
      <c r="H731" t="str">
        <f>IF(C731="","",(C731/MEDIAN($C$2:D36292)))</f>
        <v/>
      </c>
    </row>
    <row r="732" spans="7:8" x14ac:dyDescent="0.2">
      <c r="G732" t="str">
        <f>IF(C732="","",(C732/AVERAGE($C$2:C36293)))</f>
        <v/>
      </c>
      <c r="H732" t="str">
        <f>IF(C732="","",(C732/MEDIAN($C$2:D36293)))</f>
        <v/>
      </c>
    </row>
    <row r="733" spans="7:8" x14ac:dyDescent="0.2">
      <c r="G733" t="str">
        <f>IF(C733="","",(C733/AVERAGE($C$2:C36294)))</f>
        <v/>
      </c>
      <c r="H733" t="str">
        <f>IF(C733="","",(C733/MEDIAN($C$2:D36294)))</f>
        <v/>
      </c>
    </row>
    <row r="734" spans="7:8" x14ac:dyDescent="0.2">
      <c r="G734" t="str">
        <f>IF(C734="","",(C734/AVERAGE($C$2:C36295)))</f>
        <v/>
      </c>
      <c r="H734" t="str">
        <f>IF(C734="","",(C734/MEDIAN($C$2:D36295)))</f>
        <v/>
      </c>
    </row>
    <row r="735" spans="7:8" x14ac:dyDescent="0.2">
      <c r="G735" t="str">
        <f>IF(C735="","",(C735/AVERAGE($C$2:C36296)))</f>
        <v/>
      </c>
      <c r="H735" t="str">
        <f>IF(C735="","",(C735/MEDIAN($C$2:D36296)))</f>
        <v/>
      </c>
    </row>
    <row r="736" spans="7:8" x14ac:dyDescent="0.2">
      <c r="G736" t="str">
        <f>IF(C736="","",(C736/AVERAGE($C$2:C36297)))</f>
        <v/>
      </c>
      <c r="H736" t="str">
        <f>IF(C736="","",(C736/MEDIAN($C$2:D36297)))</f>
        <v/>
      </c>
    </row>
    <row r="737" spans="7:8" x14ac:dyDescent="0.2">
      <c r="G737" t="str">
        <f>IF(C737="","",(C737/AVERAGE($C$2:C36298)))</f>
        <v/>
      </c>
      <c r="H737" t="str">
        <f>IF(C737="","",(C737/MEDIAN($C$2:D36298)))</f>
        <v/>
      </c>
    </row>
    <row r="738" spans="7:8" x14ac:dyDescent="0.2">
      <c r="G738" t="str">
        <f>IF(C738="","",(C738/AVERAGE($C$2:C36299)))</f>
        <v/>
      </c>
      <c r="H738" t="str">
        <f>IF(C738="","",(C738/MEDIAN($C$2:D36299)))</f>
        <v/>
      </c>
    </row>
    <row r="739" spans="7:8" x14ac:dyDescent="0.2">
      <c r="G739" t="str">
        <f>IF(C739="","",(C739/AVERAGE($C$2:C36300)))</f>
        <v/>
      </c>
      <c r="H739" t="str">
        <f>IF(C739="","",(C739/MEDIAN($C$2:D36300)))</f>
        <v/>
      </c>
    </row>
    <row r="740" spans="7:8" x14ac:dyDescent="0.2">
      <c r="G740" t="str">
        <f>IF(C740="","",(C740/AVERAGE($C$2:C36301)))</f>
        <v/>
      </c>
      <c r="H740" t="str">
        <f>IF(C740="","",(C740/MEDIAN($C$2:D36301)))</f>
        <v/>
      </c>
    </row>
    <row r="741" spans="7:8" x14ac:dyDescent="0.2">
      <c r="G741" t="str">
        <f>IF(C741="","",(C741/AVERAGE($C$2:C36302)))</f>
        <v/>
      </c>
      <c r="H741" t="str">
        <f>IF(C741="","",(C741/MEDIAN($C$2:D36302)))</f>
        <v/>
      </c>
    </row>
    <row r="742" spans="7:8" x14ac:dyDescent="0.2">
      <c r="G742" t="str">
        <f>IF(C742="","",(C742/AVERAGE($C$2:C36303)))</f>
        <v/>
      </c>
      <c r="H742" t="str">
        <f>IF(C742="","",(C742/MEDIAN($C$2:D36303)))</f>
        <v/>
      </c>
    </row>
    <row r="743" spans="7:8" x14ac:dyDescent="0.2">
      <c r="G743" t="str">
        <f>IF(C743="","",(C743/AVERAGE($C$2:C36304)))</f>
        <v/>
      </c>
      <c r="H743" t="str">
        <f>IF(C743="","",(C743/MEDIAN($C$2:D36304)))</f>
        <v/>
      </c>
    </row>
    <row r="744" spans="7:8" x14ac:dyDescent="0.2">
      <c r="G744" t="str">
        <f>IF(C744="","",(C744/AVERAGE($C$2:C36305)))</f>
        <v/>
      </c>
      <c r="H744" t="str">
        <f>IF(C744="","",(C744/MEDIAN($C$2:D36305)))</f>
        <v/>
      </c>
    </row>
    <row r="745" spans="7:8" x14ac:dyDescent="0.2">
      <c r="G745" t="str">
        <f>IF(C745="","",(C745/AVERAGE($C$2:C36306)))</f>
        <v/>
      </c>
      <c r="H745" t="str">
        <f>IF(C745="","",(C745/MEDIAN($C$2:D36306)))</f>
        <v/>
      </c>
    </row>
    <row r="746" spans="7:8" x14ac:dyDescent="0.2">
      <c r="G746" t="str">
        <f>IF(C746="","",(C746/AVERAGE($C$2:C36307)))</f>
        <v/>
      </c>
      <c r="H746" t="str">
        <f>IF(C746="","",(C746/MEDIAN($C$2:D36307)))</f>
        <v/>
      </c>
    </row>
    <row r="747" spans="7:8" x14ac:dyDescent="0.2">
      <c r="G747" t="str">
        <f>IF(C747="","",(C747/AVERAGE($C$2:C36308)))</f>
        <v/>
      </c>
      <c r="H747" t="str">
        <f>IF(C747="","",(C747/MEDIAN($C$2:D36308)))</f>
        <v/>
      </c>
    </row>
    <row r="748" spans="7:8" x14ac:dyDescent="0.2">
      <c r="G748" t="str">
        <f>IF(C748="","",(C748/AVERAGE($C$2:C36309)))</f>
        <v/>
      </c>
      <c r="H748" t="str">
        <f>IF(C748="","",(C748/MEDIAN($C$2:D36309)))</f>
        <v/>
      </c>
    </row>
    <row r="749" spans="7:8" x14ac:dyDescent="0.2">
      <c r="G749" t="str">
        <f>IF(C749="","",(C749/AVERAGE($C$2:C36310)))</f>
        <v/>
      </c>
      <c r="H749" t="str">
        <f>IF(C749="","",(C749/MEDIAN($C$2:D36310)))</f>
        <v/>
      </c>
    </row>
    <row r="750" spans="7:8" x14ac:dyDescent="0.2">
      <c r="G750" t="str">
        <f>IF(C750="","",(C750/AVERAGE($C$2:C36311)))</f>
        <v/>
      </c>
      <c r="H750" t="str">
        <f>IF(C750="","",(C750/MEDIAN($C$2:D36311)))</f>
        <v/>
      </c>
    </row>
    <row r="751" spans="7:8" x14ac:dyDescent="0.2">
      <c r="G751" t="str">
        <f>IF(C751="","",(C751/AVERAGE($C$2:C36312)))</f>
        <v/>
      </c>
      <c r="H751" t="str">
        <f>IF(C751="","",(C751/MEDIAN($C$2:D36312)))</f>
        <v/>
      </c>
    </row>
    <row r="752" spans="7:8" x14ac:dyDescent="0.2">
      <c r="G752" t="str">
        <f>IF(C752="","",(C752/AVERAGE($C$2:C36313)))</f>
        <v/>
      </c>
      <c r="H752" t="str">
        <f>IF(C752="","",(C752/MEDIAN($C$2:D36313)))</f>
        <v/>
      </c>
    </row>
    <row r="753" spans="7:8" x14ac:dyDescent="0.2">
      <c r="G753" t="str">
        <f>IF(C753="","",(C753/AVERAGE($C$2:C36314)))</f>
        <v/>
      </c>
      <c r="H753" t="str">
        <f>IF(C753="","",(C753/MEDIAN($C$2:D36314)))</f>
        <v/>
      </c>
    </row>
    <row r="754" spans="7:8" x14ac:dyDescent="0.2">
      <c r="G754" t="str">
        <f>IF(C754="","",(C754/AVERAGE($C$2:C36315)))</f>
        <v/>
      </c>
      <c r="H754" t="str">
        <f>IF(C754="","",(C754/MEDIAN($C$2:D36315)))</f>
        <v/>
      </c>
    </row>
    <row r="755" spans="7:8" x14ac:dyDescent="0.2">
      <c r="G755" t="str">
        <f>IF(C755="","",(C755/AVERAGE($C$2:C36316)))</f>
        <v/>
      </c>
      <c r="H755" t="str">
        <f>IF(C755="","",(C755/MEDIAN($C$2:D36316)))</f>
        <v/>
      </c>
    </row>
    <row r="756" spans="7:8" x14ac:dyDescent="0.2">
      <c r="G756" t="str">
        <f>IF(C756="","",(C756/AVERAGE($C$2:C36317)))</f>
        <v/>
      </c>
      <c r="H756" t="str">
        <f>IF(C756="","",(C756/MEDIAN($C$2:D36317)))</f>
        <v/>
      </c>
    </row>
    <row r="757" spans="7:8" x14ac:dyDescent="0.2">
      <c r="G757" t="str">
        <f>IF(C757="","",(C757/AVERAGE($C$2:C36318)))</f>
        <v/>
      </c>
      <c r="H757" t="str">
        <f>IF(C757="","",(C757/MEDIAN($C$2:D36318)))</f>
        <v/>
      </c>
    </row>
    <row r="758" spans="7:8" x14ac:dyDescent="0.2">
      <c r="G758" t="str">
        <f>IF(C758="","",(C758/AVERAGE($C$2:C36319)))</f>
        <v/>
      </c>
      <c r="H758" t="str">
        <f>IF(C758="","",(C758/MEDIAN($C$2:D36319)))</f>
        <v/>
      </c>
    </row>
    <row r="759" spans="7:8" x14ac:dyDescent="0.2">
      <c r="G759" t="str">
        <f>IF(C759="","",(C759/AVERAGE($C$2:C36320)))</f>
        <v/>
      </c>
      <c r="H759" t="str">
        <f>IF(C759="","",(C759/MEDIAN($C$2:D36320)))</f>
        <v/>
      </c>
    </row>
    <row r="760" spans="7:8" x14ac:dyDescent="0.2">
      <c r="G760" t="str">
        <f>IF(C760="","",(C760/AVERAGE($C$2:C36321)))</f>
        <v/>
      </c>
      <c r="H760" t="str">
        <f>IF(C760="","",(C760/MEDIAN($C$2:D36321)))</f>
        <v/>
      </c>
    </row>
    <row r="761" spans="7:8" x14ac:dyDescent="0.2">
      <c r="G761" t="str">
        <f>IF(C761="","",(C761/AVERAGE($C$2:C36322)))</f>
        <v/>
      </c>
      <c r="H761" t="str">
        <f>IF(C761="","",(C761/MEDIAN($C$2:D36322)))</f>
        <v/>
      </c>
    </row>
    <row r="762" spans="7:8" x14ac:dyDescent="0.2">
      <c r="G762" t="str">
        <f>IF(C762="","",(C762/AVERAGE($C$2:C36323)))</f>
        <v/>
      </c>
      <c r="H762" t="str">
        <f>IF(C762="","",(C762/MEDIAN($C$2:D36323)))</f>
        <v/>
      </c>
    </row>
    <row r="763" spans="7:8" x14ac:dyDescent="0.2">
      <c r="G763" t="str">
        <f>IF(C763="","",(C763/AVERAGE($C$2:C36324)))</f>
        <v/>
      </c>
      <c r="H763" t="str">
        <f>IF(C763="","",(C763/MEDIAN($C$2:D36324)))</f>
        <v/>
      </c>
    </row>
    <row r="764" spans="7:8" x14ac:dyDescent="0.2">
      <c r="G764" t="str">
        <f>IF(C764="","",(C764/AVERAGE($C$2:C36325)))</f>
        <v/>
      </c>
      <c r="H764" t="str">
        <f>IF(C764="","",(C764/MEDIAN($C$2:D36325)))</f>
        <v/>
      </c>
    </row>
    <row r="765" spans="7:8" x14ac:dyDescent="0.2">
      <c r="G765" t="str">
        <f>IF(C765="","",(C765/AVERAGE($C$2:C36326)))</f>
        <v/>
      </c>
      <c r="H765" t="str">
        <f>IF(C765="","",(C765/MEDIAN($C$2:D36326)))</f>
        <v/>
      </c>
    </row>
    <row r="766" spans="7:8" x14ac:dyDescent="0.2">
      <c r="G766" t="str">
        <f>IF(C766="","",(C766/AVERAGE($C$2:C36327)))</f>
        <v/>
      </c>
      <c r="H766" t="str">
        <f>IF(C766="","",(C766/MEDIAN($C$2:D36327)))</f>
        <v/>
      </c>
    </row>
    <row r="767" spans="7:8" x14ac:dyDescent="0.2">
      <c r="G767" t="str">
        <f>IF(C767="","",(C767/AVERAGE($C$2:C36328)))</f>
        <v/>
      </c>
      <c r="H767" t="str">
        <f>IF(C767="","",(C767/MEDIAN($C$2:D36328)))</f>
        <v/>
      </c>
    </row>
    <row r="768" spans="7:8" x14ac:dyDescent="0.2">
      <c r="G768" t="str">
        <f>IF(C768="","",(C768/AVERAGE($C$2:C36329)))</f>
        <v/>
      </c>
      <c r="H768" t="str">
        <f>IF(C768="","",(C768/MEDIAN($C$2:D36329)))</f>
        <v/>
      </c>
    </row>
    <row r="769" spans="7:8" x14ac:dyDescent="0.2">
      <c r="G769" t="str">
        <f>IF(C769="","",(C769/AVERAGE($C$2:C36330)))</f>
        <v/>
      </c>
      <c r="H769" t="str">
        <f>IF(C769="","",(C769/MEDIAN($C$2:D36330)))</f>
        <v/>
      </c>
    </row>
    <row r="770" spans="7:8" x14ac:dyDescent="0.2">
      <c r="G770" t="str">
        <f>IF(C770="","",(C770/AVERAGE($C$2:C36331)))</f>
        <v/>
      </c>
      <c r="H770" t="str">
        <f>IF(C770="","",(C770/MEDIAN($C$2:D36331)))</f>
        <v/>
      </c>
    </row>
    <row r="771" spans="7:8" x14ac:dyDescent="0.2">
      <c r="G771" t="str">
        <f>IF(C771="","",(C771/AVERAGE($C$2:C36332)))</f>
        <v/>
      </c>
      <c r="H771" t="str">
        <f>IF(C771="","",(C771/MEDIAN($C$2:D36332)))</f>
        <v/>
      </c>
    </row>
    <row r="772" spans="7:8" x14ac:dyDescent="0.2">
      <c r="G772" t="str">
        <f>IF(C772="","",(C772/AVERAGE($C$2:C36333)))</f>
        <v/>
      </c>
      <c r="H772" t="str">
        <f>IF(C772="","",(C772/MEDIAN($C$2:D36333)))</f>
        <v/>
      </c>
    </row>
    <row r="773" spans="7:8" x14ac:dyDescent="0.2">
      <c r="G773" t="str">
        <f>IF(C773="","",(C773/AVERAGE($C$2:C36334)))</f>
        <v/>
      </c>
      <c r="H773" t="str">
        <f>IF(C773="","",(C773/MEDIAN($C$2:D36334)))</f>
        <v/>
      </c>
    </row>
    <row r="774" spans="7:8" x14ac:dyDescent="0.2">
      <c r="G774" t="str">
        <f>IF(C774="","",(C774/AVERAGE($C$2:C36335)))</f>
        <v/>
      </c>
      <c r="H774" t="str">
        <f>IF(C774="","",(C774/MEDIAN($C$2:D36335)))</f>
        <v/>
      </c>
    </row>
    <row r="775" spans="7:8" x14ac:dyDescent="0.2">
      <c r="G775" t="str">
        <f>IF(C775="","",(C775/AVERAGE($C$2:C36336)))</f>
        <v/>
      </c>
      <c r="H775" t="str">
        <f>IF(C775="","",(C775/MEDIAN($C$2:D36336)))</f>
        <v/>
      </c>
    </row>
    <row r="776" spans="7:8" x14ac:dyDescent="0.2">
      <c r="G776" t="str">
        <f>IF(C776="","",(C776/AVERAGE($C$2:C36337)))</f>
        <v/>
      </c>
      <c r="H776" t="str">
        <f>IF(C776="","",(C776/MEDIAN($C$2:D36337)))</f>
        <v/>
      </c>
    </row>
    <row r="777" spans="7:8" x14ac:dyDescent="0.2">
      <c r="G777" t="str">
        <f>IF(C777="","",(C777/AVERAGE($C$2:C36338)))</f>
        <v/>
      </c>
      <c r="H777" t="str">
        <f>IF(C777="","",(C777/MEDIAN($C$2:D36338)))</f>
        <v/>
      </c>
    </row>
    <row r="778" spans="7:8" x14ac:dyDescent="0.2">
      <c r="G778" t="str">
        <f>IF(C778="","",(C778/AVERAGE($C$2:C36339)))</f>
        <v/>
      </c>
      <c r="H778" t="str">
        <f>IF(C778="","",(C778/MEDIAN($C$2:D36339)))</f>
        <v/>
      </c>
    </row>
    <row r="779" spans="7:8" x14ac:dyDescent="0.2">
      <c r="G779" t="str">
        <f>IF(C779="","",(C779/AVERAGE($C$2:C36340)))</f>
        <v/>
      </c>
      <c r="H779" t="str">
        <f>IF(C779="","",(C779/MEDIAN($C$2:D36340)))</f>
        <v/>
      </c>
    </row>
    <row r="780" spans="7:8" x14ac:dyDescent="0.2">
      <c r="G780" t="str">
        <f>IF(C780="","",(C780/AVERAGE($C$2:C36341)))</f>
        <v/>
      </c>
      <c r="H780" t="str">
        <f>IF(C780="","",(C780/MEDIAN($C$2:D36341)))</f>
        <v/>
      </c>
    </row>
    <row r="781" spans="7:8" x14ac:dyDescent="0.2">
      <c r="G781" t="str">
        <f>IF(C781="","",(C781/AVERAGE($C$2:C36342)))</f>
        <v/>
      </c>
      <c r="H781" t="str">
        <f>IF(C781="","",(C781/MEDIAN($C$2:D36342)))</f>
        <v/>
      </c>
    </row>
    <row r="782" spans="7:8" x14ac:dyDescent="0.2">
      <c r="G782" t="str">
        <f>IF(C782="","",(C782/AVERAGE($C$2:C36343)))</f>
        <v/>
      </c>
      <c r="H782" t="str">
        <f>IF(C782="","",(C782/MEDIAN($C$2:D36343)))</f>
        <v/>
      </c>
    </row>
    <row r="783" spans="7:8" x14ac:dyDescent="0.2">
      <c r="G783" t="str">
        <f>IF(C783="","",(C783/AVERAGE($C$2:C36344)))</f>
        <v/>
      </c>
      <c r="H783" t="str">
        <f>IF(C783="","",(C783/MEDIAN($C$2:D36344)))</f>
        <v/>
      </c>
    </row>
    <row r="784" spans="7:8" x14ac:dyDescent="0.2">
      <c r="G784" t="str">
        <f>IF(C784="","",(C784/AVERAGE($C$2:C36345)))</f>
        <v/>
      </c>
      <c r="H784" t="str">
        <f>IF(C784="","",(C784/MEDIAN($C$2:D36345)))</f>
        <v/>
      </c>
    </row>
    <row r="785" spans="7:8" x14ac:dyDescent="0.2">
      <c r="G785" t="str">
        <f>IF(C785="","",(C785/AVERAGE($C$2:C36346)))</f>
        <v/>
      </c>
      <c r="H785" t="str">
        <f>IF(C785="","",(C785/MEDIAN($C$2:D36346)))</f>
        <v/>
      </c>
    </row>
    <row r="786" spans="7:8" x14ac:dyDescent="0.2">
      <c r="G786" t="str">
        <f>IF(C786="","",(C786/AVERAGE($C$2:C36347)))</f>
        <v/>
      </c>
      <c r="H786" t="str">
        <f>IF(C786="","",(C786/MEDIAN($C$2:D36347)))</f>
        <v/>
      </c>
    </row>
    <row r="787" spans="7:8" x14ac:dyDescent="0.2">
      <c r="G787" t="str">
        <f>IF(C787="","",(C787/AVERAGE($C$2:C36348)))</f>
        <v/>
      </c>
      <c r="H787" t="str">
        <f>IF(C787="","",(C787/MEDIAN($C$2:D36348)))</f>
        <v/>
      </c>
    </row>
    <row r="788" spans="7:8" x14ac:dyDescent="0.2">
      <c r="G788" t="str">
        <f>IF(C788="","",(C788/AVERAGE($C$2:C36349)))</f>
        <v/>
      </c>
      <c r="H788" t="str">
        <f>IF(C788="","",(C788/MEDIAN($C$2:D36349)))</f>
        <v/>
      </c>
    </row>
    <row r="789" spans="7:8" x14ac:dyDescent="0.2">
      <c r="G789" t="str">
        <f>IF(C789="","",(C789/AVERAGE($C$2:C36350)))</f>
        <v/>
      </c>
      <c r="H789" t="str">
        <f>IF(C789="","",(C789/MEDIAN($C$2:D36350)))</f>
        <v/>
      </c>
    </row>
    <row r="790" spans="7:8" x14ac:dyDescent="0.2">
      <c r="G790" t="str">
        <f>IF(C790="","",(C790/AVERAGE($C$2:C36351)))</f>
        <v/>
      </c>
      <c r="H790" t="str">
        <f>IF(C790="","",(C790/MEDIAN($C$2:D36351)))</f>
        <v/>
      </c>
    </row>
    <row r="791" spans="7:8" x14ac:dyDescent="0.2">
      <c r="G791" t="str">
        <f>IF(C791="","",(C791/AVERAGE($C$2:C36352)))</f>
        <v/>
      </c>
      <c r="H791" t="str">
        <f>IF(C791="","",(C791/MEDIAN($C$2:D36352)))</f>
        <v/>
      </c>
    </row>
    <row r="792" spans="7:8" x14ac:dyDescent="0.2">
      <c r="G792" t="str">
        <f>IF(C792="","",(C792/AVERAGE($C$2:C36353)))</f>
        <v/>
      </c>
      <c r="H792" t="str">
        <f>IF(C792="","",(C792/MEDIAN($C$2:D36353)))</f>
        <v/>
      </c>
    </row>
    <row r="793" spans="7:8" x14ac:dyDescent="0.2">
      <c r="G793" t="str">
        <f>IF(C793="","",(C793/AVERAGE($C$2:C36354)))</f>
        <v/>
      </c>
      <c r="H793" t="str">
        <f>IF(C793="","",(C793/MEDIAN($C$2:D36354)))</f>
        <v/>
      </c>
    </row>
    <row r="794" spans="7:8" x14ac:dyDescent="0.2">
      <c r="G794" t="str">
        <f>IF(C794="","",(C794/AVERAGE($C$2:C36355)))</f>
        <v/>
      </c>
      <c r="H794" t="str">
        <f>IF(C794="","",(C794/MEDIAN($C$2:D36355)))</f>
        <v/>
      </c>
    </row>
    <row r="795" spans="7:8" x14ac:dyDescent="0.2">
      <c r="G795" t="str">
        <f>IF(C795="","",(C795/AVERAGE($C$2:C36356)))</f>
        <v/>
      </c>
      <c r="H795" t="str">
        <f>IF(C795="","",(C795/MEDIAN($C$2:D36356)))</f>
        <v/>
      </c>
    </row>
    <row r="796" spans="7:8" x14ac:dyDescent="0.2">
      <c r="G796" t="str">
        <f>IF(C796="","",(C796/AVERAGE($C$2:C36357)))</f>
        <v/>
      </c>
      <c r="H796" t="str">
        <f>IF(C796="","",(C796/MEDIAN($C$2:D36357)))</f>
        <v/>
      </c>
    </row>
    <row r="797" spans="7:8" x14ac:dyDescent="0.2">
      <c r="G797" t="str">
        <f>IF(C797="","",(C797/AVERAGE($C$2:C36358)))</f>
        <v/>
      </c>
      <c r="H797" t="str">
        <f>IF(C797="","",(C797/MEDIAN($C$2:D36358)))</f>
        <v/>
      </c>
    </row>
    <row r="798" spans="7:8" x14ac:dyDescent="0.2">
      <c r="G798" t="str">
        <f>IF(C798="","",(C798/AVERAGE($C$2:C36359)))</f>
        <v/>
      </c>
      <c r="H798" t="str">
        <f>IF(C798="","",(C798/MEDIAN($C$2:D36359)))</f>
        <v/>
      </c>
    </row>
    <row r="799" spans="7:8" x14ac:dyDescent="0.2">
      <c r="G799" t="str">
        <f>IF(C799="","",(C799/AVERAGE($C$2:C36360)))</f>
        <v/>
      </c>
      <c r="H799" t="str">
        <f>IF(C799="","",(C799/MEDIAN($C$2:D36360)))</f>
        <v/>
      </c>
    </row>
    <row r="800" spans="7:8" x14ac:dyDescent="0.2">
      <c r="G800" t="str">
        <f>IF(C800="","",(C800/AVERAGE($C$2:C36361)))</f>
        <v/>
      </c>
      <c r="H800" t="str">
        <f>IF(C800="","",(C800/MEDIAN($C$2:D36361)))</f>
        <v/>
      </c>
    </row>
    <row r="801" spans="7:8" x14ac:dyDescent="0.2">
      <c r="G801" t="str">
        <f>IF(C801="","",(C801/AVERAGE($C$2:C36362)))</f>
        <v/>
      </c>
      <c r="H801" t="str">
        <f>IF(C801="","",(C801/MEDIAN($C$2:D36362)))</f>
        <v/>
      </c>
    </row>
    <row r="802" spans="7:8" x14ac:dyDescent="0.2">
      <c r="G802" t="str">
        <f>IF(C802="","",(C802/AVERAGE($C$2:C36363)))</f>
        <v/>
      </c>
      <c r="H802" t="str">
        <f>IF(C802="","",(C802/MEDIAN($C$2:D36363)))</f>
        <v/>
      </c>
    </row>
    <row r="803" spans="7:8" x14ac:dyDescent="0.2">
      <c r="G803" t="str">
        <f>IF(C803="","",(C803/AVERAGE($C$2:C36364)))</f>
        <v/>
      </c>
      <c r="H803" t="str">
        <f>IF(C803="","",(C803/MEDIAN($C$2:D36364)))</f>
        <v/>
      </c>
    </row>
    <row r="804" spans="7:8" x14ac:dyDescent="0.2">
      <c r="G804" t="str">
        <f>IF(C804="","",(C804/AVERAGE($C$2:C36365)))</f>
        <v/>
      </c>
      <c r="H804" t="str">
        <f>IF(C804="","",(C804/MEDIAN($C$2:D36365)))</f>
        <v/>
      </c>
    </row>
    <row r="805" spans="7:8" x14ac:dyDescent="0.2">
      <c r="G805" t="str">
        <f>IF(C805="","",(C805/AVERAGE($C$2:C36366)))</f>
        <v/>
      </c>
      <c r="H805" t="str">
        <f>IF(C805="","",(C805/MEDIAN($C$2:D36366)))</f>
        <v/>
      </c>
    </row>
    <row r="806" spans="7:8" x14ac:dyDescent="0.2">
      <c r="G806" t="str">
        <f>IF(C806="","",(C806/AVERAGE($C$2:C36367)))</f>
        <v/>
      </c>
      <c r="H806" t="str">
        <f>IF(C806="","",(C806/MEDIAN($C$2:D36367)))</f>
        <v/>
      </c>
    </row>
    <row r="807" spans="7:8" x14ac:dyDescent="0.2">
      <c r="G807" t="str">
        <f>IF(C807="","",(C807/AVERAGE($C$2:C36368)))</f>
        <v/>
      </c>
      <c r="H807" t="str">
        <f>IF(C807="","",(C807/MEDIAN($C$2:D36368)))</f>
        <v/>
      </c>
    </row>
    <row r="808" spans="7:8" x14ac:dyDescent="0.2">
      <c r="G808" t="str">
        <f>IF(C808="","",(C808/AVERAGE($C$2:C36369)))</f>
        <v/>
      </c>
      <c r="H808" t="str">
        <f>IF(C808="","",(C808/MEDIAN($C$2:D36369)))</f>
        <v/>
      </c>
    </row>
    <row r="809" spans="7:8" x14ac:dyDescent="0.2">
      <c r="G809" t="str">
        <f>IF(C809="","",(C809/AVERAGE($C$2:C36370)))</f>
        <v/>
      </c>
      <c r="H809" t="str">
        <f>IF(C809="","",(C809/MEDIAN($C$2:D36370)))</f>
        <v/>
      </c>
    </row>
    <row r="810" spans="7:8" x14ac:dyDescent="0.2">
      <c r="G810" t="str">
        <f>IF(C810="","",(C810/AVERAGE($C$2:C36371)))</f>
        <v/>
      </c>
      <c r="H810" t="str">
        <f>IF(C810="","",(C810/MEDIAN($C$2:D36371)))</f>
        <v/>
      </c>
    </row>
    <row r="811" spans="7:8" x14ac:dyDescent="0.2">
      <c r="G811" t="str">
        <f>IF(C811="","",(C811/AVERAGE($C$2:C36372)))</f>
        <v/>
      </c>
      <c r="H811" t="str">
        <f>IF(C811="","",(C811/MEDIAN($C$2:D36372)))</f>
        <v/>
      </c>
    </row>
    <row r="812" spans="7:8" x14ac:dyDescent="0.2">
      <c r="G812" t="str">
        <f>IF(C812="","",(C812/AVERAGE($C$2:C36373)))</f>
        <v/>
      </c>
      <c r="H812" t="str">
        <f>IF(C812="","",(C812/MEDIAN($C$2:D36373)))</f>
        <v/>
      </c>
    </row>
    <row r="813" spans="7:8" x14ac:dyDescent="0.2">
      <c r="G813" t="str">
        <f>IF(C813="","",(C813/AVERAGE($C$2:C36374)))</f>
        <v/>
      </c>
      <c r="H813" t="str">
        <f>IF(C813="","",(C813/MEDIAN($C$2:D36374)))</f>
        <v/>
      </c>
    </row>
    <row r="814" spans="7:8" x14ac:dyDescent="0.2">
      <c r="G814" t="str">
        <f>IF(C814="","",(C814/AVERAGE($C$2:C36375)))</f>
        <v/>
      </c>
      <c r="H814" t="str">
        <f>IF(C814="","",(C814/MEDIAN($C$2:D36375)))</f>
        <v/>
      </c>
    </row>
    <row r="815" spans="7:8" x14ac:dyDescent="0.2">
      <c r="G815" t="str">
        <f>IF(C815="","",(C815/AVERAGE($C$2:C36376)))</f>
        <v/>
      </c>
      <c r="H815" t="str">
        <f>IF(C815="","",(C815/MEDIAN($C$2:D36376)))</f>
        <v/>
      </c>
    </row>
    <row r="816" spans="7:8" x14ac:dyDescent="0.2">
      <c r="G816" t="str">
        <f>IF(C816="","",(C816/AVERAGE($C$2:C36377)))</f>
        <v/>
      </c>
      <c r="H816" t="str">
        <f>IF(C816="","",(C816/MEDIAN($C$2:D36377)))</f>
        <v/>
      </c>
    </row>
    <row r="817" spans="7:8" x14ac:dyDescent="0.2">
      <c r="G817" t="str">
        <f>IF(C817="","",(C817/AVERAGE($C$2:C36378)))</f>
        <v/>
      </c>
      <c r="H817" t="str">
        <f>IF(C817="","",(C817/MEDIAN($C$2:D36378)))</f>
        <v/>
      </c>
    </row>
    <row r="818" spans="7:8" x14ac:dyDescent="0.2">
      <c r="G818" t="str">
        <f>IF(C818="","",(C818/AVERAGE($C$2:C36379)))</f>
        <v/>
      </c>
      <c r="H818" t="str">
        <f>IF(C818="","",(C818/MEDIAN($C$2:D36379)))</f>
        <v/>
      </c>
    </row>
    <row r="819" spans="7:8" x14ac:dyDescent="0.2">
      <c r="G819" t="str">
        <f>IF(C819="","",(C819/AVERAGE($C$2:C36380)))</f>
        <v/>
      </c>
      <c r="H819" t="str">
        <f>IF(C819="","",(C819/MEDIAN($C$2:D36380)))</f>
        <v/>
      </c>
    </row>
    <row r="820" spans="7:8" x14ac:dyDescent="0.2">
      <c r="G820" t="str">
        <f>IF(C820="","",(C820/AVERAGE($C$2:C36381)))</f>
        <v/>
      </c>
      <c r="H820" t="str">
        <f>IF(C820="","",(C820/MEDIAN($C$2:D36381)))</f>
        <v/>
      </c>
    </row>
    <row r="821" spans="7:8" x14ac:dyDescent="0.2">
      <c r="G821" t="str">
        <f>IF(C821="","",(C821/AVERAGE($C$2:C36382)))</f>
        <v/>
      </c>
      <c r="H821" t="str">
        <f>IF(C821="","",(C821/MEDIAN($C$2:D36382)))</f>
        <v/>
      </c>
    </row>
    <row r="822" spans="7:8" x14ac:dyDescent="0.2">
      <c r="G822" t="str">
        <f>IF(C822="","",(C822/AVERAGE($C$2:C36383)))</f>
        <v/>
      </c>
      <c r="H822" t="str">
        <f>IF(C822="","",(C822/MEDIAN($C$2:D36383)))</f>
        <v/>
      </c>
    </row>
    <row r="823" spans="7:8" x14ac:dyDescent="0.2">
      <c r="G823" t="str">
        <f>IF(C823="","",(C823/AVERAGE($C$2:C36384)))</f>
        <v/>
      </c>
      <c r="H823" t="str">
        <f>IF(C823="","",(C823/MEDIAN($C$2:D36384)))</f>
        <v/>
      </c>
    </row>
    <row r="824" spans="7:8" x14ac:dyDescent="0.2">
      <c r="G824" t="str">
        <f>IF(C824="","",(C824/AVERAGE($C$2:C36385)))</f>
        <v/>
      </c>
      <c r="H824" t="str">
        <f>IF(C824="","",(C824/MEDIAN($C$2:D36385)))</f>
        <v/>
      </c>
    </row>
    <row r="825" spans="7:8" x14ac:dyDescent="0.2">
      <c r="G825" t="str">
        <f>IF(C825="","",(C825/AVERAGE($C$2:C36386)))</f>
        <v/>
      </c>
      <c r="H825" t="str">
        <f>IF(C825="","",(C825/MEDIAN($C$2:D36386)))</f>
        <v/>
      </c>
    </row>
    <row r="826" spans="7:8" x14ac:dyDescent="0.2">
      <c r="G826" t="str">
        <f>IF(C826="","",(C826/AVERAGE($C$2:C36387)))</f>
        <v/>
      </c>
      <c r="H826" t="str">
        <f>IF(C826="","",(C826/MEDIAN($C$2:D36387)))</f>
        <v/>
      </c>
    </row>
    <row r="827" spans="7:8" x14ac:dyDescent="0.2">
      <c r="G827" t="str">
        <f>IF(C827="","",(C827/AVERAGE($C$2:C36388)))</f>
        <v/>
      </c>
      <c r="H827" t="str">
        <f>IF(C827="","",(C827/MEDIAN($C$2:D36388)))</f>
        <v/>
      </c>
    </row>
    <row r="828" spans="7:8" x14ac:dyDescent="0.2">
      <c r="G828" t="str">
        <f>IF(C828="","",(C828/AVERAGE($C$2:C36389)))</f>
        <v/>
      </c>
      <c r="H828" t="str">
        <f>IF(C828="","",(C828/MEDIAN($C$2:D36389)))</f>
        <v/>
      </c>
    </row>
    <row r="829" spans="7:8" x14ac:dyDescent="0.2">
      <c r="G829" t="str">
        <f>IF(C829="","",(C829/AVERAGE($C$2:C36390)))</f>
        <v/>
      </c>
      <c r="H829" t="str">
        <f>IF(C829="","",(C829/MEDIAN($C$2:D36390)))</f>
        <v/>
      </c>
    </row>
    <row r="830" spans="7:8" x14ac:dyDescent="0.2">
      <c r="G830" t="str">
        <f>IF(C830="","",(C830/AVERAGE($C$2:C36391)))</f>
        <v/>
      </c>
      <c r="H830" t="str">
        <f>IF(C830="","",(C830/MEDIAN($C$2:D36391)))</f>
        <v/>
      </c>
    </row>
    <row r="831" spans="7:8" x14ac:dyDescent="0.2">
      <c r="G831" t="str">
        <f>IF(C831="","",(C831/AVERAGE($C$2:C36392)))</f>
        <v/>
      </c>
      <c r="H831" t="str">
        <f>IF(C831="","",(C831/MEDIAN($C$2:D36392)))</f>
        <v/>
      </c>
    </row>
    <row r="832" spans="7:8" x14ac:dyDescent="0.2">
      <c r="G832" t="str">
        <f>IF(C832="","",(C832/AVERAGE($C$2:C36393)))</f>
        <v/>
      </c>
      <c r="H832" t="str">
        <f>IF(C832="","",(C832/MEDIAN($C$2:D36393)))</f>
        <v/>
      </c>
    </row>
    <row r="833" spans="7:8" x14ac:dyDescent="0.2">
      <c r="G833" t="str">
        <f>IF(C833="","",(C833/AVERAGE($C$2:C36394)))</f>
        <v/>
      </c>
      <c r="H833" t="str">
        <f>IF(C833="","",(C833/MEDIAN($C$2:D36394)))</f>
        <v/>
      </c>
    </row>
    <row r="834" spans="7:8" x14ac:dyDescent="0.2">
      <c r="G834" t="str">
        <f>IF(C834="","",(C834/AVERAGE($C$2:C36395)))</f>
        <v/>
      </c>
      <c r="H834" t="str">
        <f>IF(C834="","",(C834/MEDIAN($C$2:D36395)))</f>
        <v/>
      </c>
    </row>
    <row r="835" spans="7:8" x14ac:dyDescent="0.2">
      <c r="G835" t="str">
        <f>IF(C835="","",(C835/AVERAGE($C$2:C36396)))</f>
        <v/>
      </c>
      <c r="H835" t="str">
        <f>IF(C835="","",(C835/MEDIAN($C$2:D36396)))</f>
        <v/>
      </c>
    </row>
    <row r="836" spans="7:8" x14ac:dyDescent="0.2">
      <c r="G836" t="str">
        <f>IF(C836="","",(C836/AVERAGE($C$2:C36397)))</f>
        <v/>
      </c>
      <c r="H836" t="str">
        <f>IF(C836="","",(C836/MEDIAN($C$2:D36397)))</f>
        <v/>
      </c>
    </row>
    <row r="837" spans="7:8" x14ac:dyDescent="0.2">
      <c r="G837" t="str">
        <f>IF(C837="","",(C837/AVERAGE($C$2:C36398)))</f>
        <v/>
      </c>
      <c r="H837" t="str">
        <f>IF(C837="","",(C837/MEDIAN($C$2:D36398)))</f>
        <v/>
      </c>
    </row>
    <row r="838" spans="7:8" x14ac:dyDescent="0.2">
      <c r="G838" t="str">
        <f>IF(C838="","",(C838/AVERAGE($C$2:C36399)))</f>
        <v/>
      </c>
      <c r="H838" t="str">
        <f>IF(C838="","",(C838/MEDIAN($C$2:D36399)))</f>
        <v/>
      </c>
    </row>
    <row r="839" spans="7:8" x14ac:dyDescent="0.2">
      <c r="G839" t="str">
        <f>IF(C839="","",(C839/AVERAGE($C$2:C36400)))</f>
        <v/>
      </c>
      <c r="H839" t="str">
        <f>IF(C839="","",(C839/MEDIAN($C$2:D36400)))</f>
        <v/>
      </c>
    </row>
    <row r="840" spans="7:8" x14ac:dyDescent="0.2">
      <c r="G840" t="str">
        <f>IF(C840="","",(C840/AVERAGE($C$2:C36401)))</f>
        <v/>
      </c>
      <c r="H840" t="str">
        <f>IF(C840="","",(C840/MEDIAN($C$2:D36401)))</f>
        <v/>
      </c>
    </row>
    <row r="841" spans="7:8" x14ac:dyDescent="0.2">
      <c r="G841" t="str">
        <f>IF(C841="","",(C841/AVERAGE($C$2:C36402)))</f>
        <v/>
      </c>
      <c r="H841" t="str">
        <f>IF(C841="","",(C841/MEDIAN($C$2:D36402)))</f>
        <v/>
      </c>
    </row>
    <row r="842" spans="7:8" x14ac:dyDescent="0.2">
      <c r="G842" t="str">
        <f>IF(C842="","",(C842/AVERAGE($C$2:C36403)))</f>
        <v/>
      </c>
      <c r="H842" t="str">
        <f>IF(C842="","",(C842/MEDIAN($C$2:D36403)))</f>
        <v/>
      </c>
    </row>
    <row r="843" spans="7:8" x14ac:dyDescent="0.2">
      <c r="G843" t="str">
        <f>IF(C843="","",(C843/AVERAGE($C$2:C36404)))</f>
        <v/>
      </c>
      <c r="H843" t="str">
        <f>IF(C843="","",(C843/MEDIAN($C$2:D36404)))</f>
        <v/>
      </c>
    </row>
    <row r="844" spans="7:8" x14ac:dyDescent="0.2">
      <c r="G844" t="str">
        <f>IF(C844="","",(C844/AVERAGE($C$2:C36405)))</f>
        <v/>
      </c>
      <c r="H844" t="str">
        <f>IF(C844="","",(C844/MEDIAN($C$2:D36405)))</f>
        <v/>
      </c>
    </row>
    <row r="845" spans="7:8" x14ac:dyDescent="0.2">
      <c r="G845" t="str">
        <f>IF(C845="","",(C845/AVERAGE($C$2:C36406)))</f>
        <v/>
      </c>
      <c r="H845" t="str">
        <f>IF(C845="","",(C845/MEDIAN($C$2:D36406)))</f>
        <v/>
      </c>
    </row>
    <row r="846" spans="7:8" x14ac:dyDescent="0.2">
      <c r="G846" t="str">
        <f>IF(C846="","",(C846/AVERAGE($C$2:C36407)))</f>
        <v/>
      </c>
      <c r="H846" t="str">
        <f>IF(C846="","",(C846/MEDIAN($C$2:D36407)))</f>
        <v/>
      </c>
    </row>
    <row r="847" spans="7:8" x14ac:dyDescent="0.2">
      <c r="G847" t="str">
        <f>IF(C847="","",(C847/AVERAGE($C$2:C36408)))</f>
        <v/>
      </c>
      <c r="H847" t="str">
        <f>IF(C847="","",(C847/MEDIAN($C$2:D36408)))</f>
        <v/>
      </c>
    </row>
    <row r="848" spans="7:8" x14ac:dyDescent="0.2">
      <c r="G848" t="str">
        <f>IF(C848="","",(C848/AVERAGE($C$2:C36409)))</f>
        <v/>
      </c>
      <c r="H848" t="str">
        <f>IF(C848="","",(C848/MEDIAN($C$2:D36409)))</f>
        <v/>
      </c>
    </row>
    <row r="849" spans="7:8" x14ac:dyDescent="0.2">
      <c r="G849" t="str">
        <f>IF(C849="","",(C849/AVERAGE($C$2:C36410)))</f>
        <v/>
      </c>
      <c r="H849" t="str">
        <f>IF(C849="","",(C849/MEDIAN($C$2:D36410)))</f>
        <v/>
      </c>
    </row>
    <row r="850" spans="7:8" x14ac:dyDescent="0.2">
      <c r="G850" t="str">
        <f>IF(C850="","",(C850/AVERAGE($C$2:C36411)))</f>
        <v/>
      </c>
      <c r="H850" t="str">
        <f>IF(C850="","",(C850/MEDIAN($C$2:D36411)))</f>
        <v/>
      </c>
    </row>
    <row r="851" spans="7:8" x14ac:dyDescent="0.2">
      <c r="G851" t="str">
        <f>IF(C851="","",(C851/AVERAGE($C$2:C36412)))</f>
        <v/>
      </c>
      <c r="H851" t="str">
        <f>IF(C851="","",(C851/MEDIAN($C$2:D36412)))</f>
        <v/>
      </c>
    </row>
    <row r="852" spans="7:8" x14ac:dyDescent="0.2">
      <c r="G852" t="str">
        <f>IF(C852="","",(C852/AVERAGE($C$2:C36413)))</f>
        <v/>
      </c>
      <c r="H852" t="str">
        <f>IF(C852="","",(C852/MEDIAN($C$2:D36413)))</f>
        <v/>
      </c>
    </row>
    <row r="853" spans="7:8" x14ac:dyDescent="0.2">
      <c r="G853" t="str">
        <f>IF(C853="","",(C853/AVERAGE($C$2:C36414)))</f>
        <v/>
      </c>
      <c r="H853" t="str">
        <f>IF(C853="","",(C853/MEDIAN($C$2:D36414)))</f>
        <v/>
      </c>
    </row>
    <row r="854" spans="7:8" x14ac:dyDescent="0.2">
      <c r="G854" t="str">
        <f>IF(C854="","",(C854/AVERAGE($C$2:C36415)))</f>
        <v/>
      </c>
      <c r="H854" t="str">
        <f>IF(C854="","",(C854/MEDIAN($C$2:D36415)))</f>
        <v/>
      </c>
    </row>
    <row r="855" spans="7:8" x14ac:dyDescent="0.2">
      <c r="G855" t="str">
        <f>IF(C855="","",(C855/AVERAGE($C$2:C36416)))</f>
        <v/>
      </c>
      <c r="H855" t="str">
        <f>IF(C855="","",(C855/MEDIAN($C$2:D36416)))</f>
        <v/>
      </c>
    </row>
    <row r="856" spans="7:8" x14ac:dyDescent="0.2">
      <c r="G856" t="str">
        <f>IF(C856="","",(C856/AVERAGE($C$2:C36417)))</f>
        <v/>
      </c>
      <c r="H856" t="str">
        <f>IF(C856="","",(C856/MEDIAN($C$2:D36417)))</f>
        <v/>
      </c>
    </row>
    <row r="857" spans="7:8" x14ac:dyDescent="0.2">
      <c r="G857" t="str">
        <f>IF(C857="","",(C857/AVERAGE($C$2:C36418)))</f>
        <v/>
      </c>
      <c r="H857" t="str">
        <f>IF(C857="","",(C857/MEDIAN($C$2:D36418)))</f>
        <v/>
      </c>
    </row>
    <row r="858" spans="7:8" x14ac:dyDescent="0.2">
      <c r="G858" t="str">
        <f>IF(C858="","",(C858/AVERAGE($C$2:C36419)))</f>
        <v/>
      </c>
      <c r="H858" t="str">
        <f>IF(C858="","",(C858/MEDIAN($C$2:D36419)))</f>
        <v/>
      </c>
    </row>
    <row r="859" spans="7:8" x14ac:dyDescent="0.2">
      <c r="G859" t="str">
        <f>IF(C859="","",(C859/AVERAGE($C$2:C36420)))</f>
        <v/>
      </c>
      <c r="H859" t="str">
        <f>IF(C859="","",(C859/MEDIAN($C$2:D36420)))</f>
        <v/>
      </c>
    </row>
    <row r="860" spans="7:8" x14ac:dyDescent="0.2">
      <c r="G860" t="str">
        <f>IF(C860="","",(C860/AVERAGE($C$2:C36421)))</f>
        <v/>
      </c>
      <c r="H860" t="str">
        <f>IF(C860="","",(C860/MEDIAN($C$2:D36421)))</f>
        <v/>
      </c>
    </row>
    <row r="861" spans="7:8" x14ac:dyDescent="0.2">
      <c r="G861" t="str">
        <f>IF(C861="","",(C861/AVERAGE($C$2:C36422)))</f>
        <v/>
      </c>
      <c r="H861" t="str">
        <f>IF(C861="","",(C861/MEDIAN($C$2:D36422)))</f>
        <v/>
      </c>
    </row>
    <row r="862" spans="7:8" x14ac:dyDescent="0.2">
      <c r="G862" t="str">
        <f>IF(C862="","",(C862/AVERAGE($C$2:C36423)))</f>
        <v/>
      </c>
      <c r="H862" t="str">
        <f>IF(C862="","",(C862/MEDIAN($C$2:D36423)))</f>
        <v/>
      </c>
    </row>
    <row r="863" spans="7:8" x14ac:dyDescent="0.2">
      <c r="G863" t="str">
        <f>IF(C863="","",(C863/AVERAGE($C$2:C36424)))</f>
        <v/>
      </c>
      <c r="H863" t="str">
        <f>IF(C863="","",(C863/MEDIAN($C$2:D36424)))</f>
        <v/>
      </c>
    </row>
    <row r="864" spans="7:8" x14ac:dyDescent="0.2">
      <c r="G864" t="str">
        <f>IF(C864="","",(C864/AVERAGE($C$2:C36425)))</f>
        <v/>
      </c>
      <c r="H864" t="str">
        <f>IF(C864="","",(C864/MEDIAN($C$2:D36425)))</f>
        <v/>
      </c>
    </row>
    <row r="865" spans="7:8" x14ac:dyDescent="0.2">
      <c r="G865" t="str">
        <f>IF(C865="","",(C865/AVERAGE($C$2:C36426)))</f>
        <v/>
      </c>
      <c r="H865" t="str">
        <f>IF(C865="","",(C865/MEDIAN($C$2:D36426)))</f>
        <v/>
      </c>
    </row>
    <row r="866" spans="7:8" x14ac:dyDescent="0.2">
      <c r="G866" t="str">
        <f>IF(C866="","",(C866/AVERAGE($C$2:C36427)))</f>
        <v/>
      </c>
      <c r="H866" t="str">
        <f>IF(C866="","",(C866/MEDIAN($C$2:D36427)))</f>
        <v/>
      </c>
    </row>
    <row r="867" spans="7:8" x14ac:dyDescent="0.2">
      <c r="G867" t="str">
        <f>IF(C867="","",(C867/AVERAGE($C$2:C36428)))</f>
        <v/>
      </c>
      <c r="H867" t="str">
        <f>IF(C867="","",(C867/MEDIAN($C$2:D36428)))</f>
        <v/>
      </c>
    </row>
    <row r="868" spans="7:8" x14ac:dyDescent="0.2">
      <c r="G868" t="str">
        <f>IF(C868="","",(C868/AVERAGE($C$2:C36429)))</f>
        <v/>
      </c>
      <c r="H868" t="str">
        <f>IF(C868="","",(C868/MEDIAN($C$2:D36429)))</f>
        <v/>
      </c>
    </row>
    <row r="869" spans="7:8" x14ac:dyDescent="0.2">
      <c r="G869" t="str">
        <f>IF(C869="","",(C869/AVERAGE($C$2:C36430)))</f>
        <v/>
      </c>
      <c r="H869" t="str">
        <f>IF(C869="","",(C869/MEDIAN($C$2:D36430)))</f>
        <v/>
      </c>
    </row>
    <row r="870" spans="7:8" x14ac:dyDescent="0.2">
      <c r="G870" t="str">
        <f>IF(C870="","",(C870/AVERAGE($C$2:C36431)))</f>
        <v/>
      </c>
      <c r="H870" t="str">
        <f>IF(C870="","",(C870/MEDIAN($C$2:D36431)))</f>
        <v/>
      </c>
    </row>
    <row r="871" spans="7:8" x14ac:dyDescent="0.2">
      <c r="G871" t="str">
        <f>IF(C871="","",(C871/AVERAGE($C$2:C36432)))</f>
        <v/>
      </c>
      <c r="H871" t="str">
        <f>IF(C871="","",(C871/MEDIAN($C$2:D36432)))</f>
        <v/>
      </c>
    </row>
    <row r="872" spans="7:8" x14ac:dyDescent="0.2">
      <c r="G872" t="str">
        <f>IF(C872="","",(C872/AVERAGE($C$2:C36433)))</f>
        <v/>
      </c>
      <c r="H872" t="str">
        <f>IF(C872="","",(C872/MEDIAN($C$2:D36433)))</f>
        <v/>
      </c>
    </row>
    <row r="873" spans="7:8" x14ac:dyDescent="0.2">
      <c r="G873" t="str">
        <f>IF(C873="","",(C873/AVERAGE($C$2:C36434)))</f>
        <v/>
      </c>
      <c r="H873" t="str">
        <f>IF(C873="","",(C873/MEDIAN($C$2:D36434)))</f>
        <v/>
      </c>
    </row>
    <row r="874" spans="7:8" x14ac:dyDescent="0.2">
      <c r="G874" t="str">
        <f>IF(C874="","",(C874/AVERAGE($C$2:C36435)))</f>
        <v/>
      </c>
      <c r="H874" t="str">
        <f>IF(C874="","",(C874/MEDIAN($C$2:D36435)))</f>
        <v/>
      </c>
    </row>
    <row r="875" spans="7:8" x14ac:dyDescent="0.2">
      <c r="G875" t="str">
        <f>IF(C875="","",(C875/AVERAGE($C$2:C36436)))</f>
        <v/>
      </c>
      <c r="H875" t="str">
        <f>IF(C875="","",(C875/MEDIAN($C$2:D36436)))</f>
        <v/>
      </c>
    </row>
    <row r="876" spans="7:8" x14ac:dyDescent="0.2">
      <c r="G876" t="str">
        <f>IF(C876="","",(C876/AVERAGE($C$2:C36437)))</f>
        <v/>
      </c>
      <c r="H876" t="str">
        <f>IF(C876="","",(C876/MEDIAN($C$2:D36437)))</f>
        <v/>
      </c>
    </row>
    <row r="877" spans="7:8" x14ac:dyDescent="0.2">
      <c r="G877" t="str">
        <f>IF(C877="","",(C877/AVERAGE($C$2:C36438)))</f>
        <v/>
      </c>
      <c r="H877" t="str">
        <f>IF(C877="","",(C877/MEDIAN($C$2:D36438)))</f>
        <v/>
      </c>
    </row>
    <row r="878" spans="7:8" x14ac:dyDescent="0.2">
      <c r="G878" t="str">
        <f>IF(C878="","",(C878/AVERAGE($C$2:C36439)))</f>
        <v/>
      </c>
      <c r="H878" t="str">
        <f>IF(C878="","",(C878/MEDIAN($C$2:D36439)))</f>
        <v/>
      </c>
    </row>
    <row r="879" spans="7:8" x14ac:dyDescent="0.2">
      <c r="G879" t="str">
        <f>IF(C879="","",(C879/AVERAGE($C$2:C36440)))</f>
        <v/>
      </c>
      <c r="H879" t="str">
        <f>IF(C879="","",(C879/MEDIAN($C$2:D36440)))</f>
        <v/>
      </c>
    </row>
    <row r="880" spans="7:8" x14ac:dyDescent="0.2">
      <c r="G880" t="str">
        <f>IF(C880="","",(C880/AVERAGE($C$2:C36441)))</f>
        <v/>
      </c>
      <c r="H880" t="str">
        <f>IF(C880="","",(C880/MEDIAN($C$2:D36441)))</f>
        <v/>
      </c>
    </row>
    <row r="881" spans="7:8" x14ac:dyDescent="0.2">
      <c r="G881" t="str">
        <f>IF(C881="","",(C881/AVERAGE($C$2:C36442)))</f>
        <v/>
      </c>
      <c r="H881" t="str">
        <f>IF(C881="","",(C881/MEDIAN($C$2:D36442)))</f>
        <v/>
      </c>
    </row>
    <row r="882" spans="7:8" x14ac:dyDescent="0.2">
      <c r="G882" t="str">
        <f>IF(C882="","",(C882/AVERAGE($C$2:C36443)))</f>
        <v/>
      </c>
      <c r="H882" t="str">
        <f>IF(C882="","",(C882/MEDIAN($C$2:D36443)))</f>
        <v/>
      </c>
    </row>
    <row r="883" spans="7:8" x14ac:dyDescent="0.2">
      <c r="G883" t="str">
        <f>IF(C883="","",(C883/AVERAGE($C$2:C36444)))</f>
        <v/>
      </c>
      <c r="H883" t="str">
        <f>IF(C883="","",(C883/MEDIAN($C$2:D36444)))</f>
        <v/>
      </c>
    </row>
    <row r="884" spans="7:8" x14ac:dyDescent="0.2">
      <c r="G884" t="str">
        <f>IF(C884="","",(C884/AVERAGE($C$2:C36445)))</f>
        <v/>
      </c>
      <c r="H884" t="str">
        <f>IF(C884="","",(C884/MEDIAN($C$2:D36445)))</f>
        <v/>
      </c>
    </row>
    <row r="885" spans="7:8" x14ac:dyDescent="0.2">
      <c r="G885" t="str">
        <f>IF(C885="","",(C885/AVERAGE($C$2:C36446)))</f>
        <v/>
      </c>
      <c r="H885" t="str">
        <f>IF(C885="","",(C885/MEDIAN($C$2:D36446)))</f>
        <v/>
      </c>
    </row>
    <row r="886" spans="7:8" x14ac:dyDescent="0.2">
      <c r="G886" t="str">
        <f>IF(C886="","",(C886/AVERAGE($C$2:C36447)))</f>
        <v/>
      </c>
      <c r="H886" t="str">
        <f>IF(C886="","",(C886/MEDIAN($C$2:D36447)))</f>
        <v/>
      </c>
    </row>
    <row r="887" spans="7:8" x14ac:dyDescent="0.2">
      <c r="G887" t="str">
        <f>IF(C887="","",(C887/AVERAGE($C$2:C36448)))</f>
        <v/>
      </c>
      <c r="H887" t="str">
        <f>IF(C887="","",(C887/MEDIAN($C$2:D36448)))</f>
        <v/>
      </c>
    </row>
    <row r="888" spans="7:8" x14ac:dyDescent="0.2">
      <c r="G888" t="str">
        <f>IF(C888="","",(C888/AVERAGE($C$2:C36449)))</f>
        <v/>
      </c>
      <c r="H888" t="str">
        <f>IF(C888="","",(C888/MEDIAN($C$2:D36449)))</f>
        <v/>
      </c>
    </row>
    <row r="889" spans="7:8" x14ac:dyDescent="0.2">
      <c r="G889" t="str">
        <f>IF(C889="","",(C889/AVERAGE($C$2:C36450)))</f>
        <v/>
      </c>
      <c r="H889" t="str">
        <f>IF(C889="","",(C889/MEDIAN($C$2:D36450)))</f>
        <v/>
      </c>
    </row>
    <row r="890" spans="7:8" x14ac:dyDescent="0.2">
      <c r="G890" t="str">
        <f>IF(C890="","",(C890/AVERAGE($C$2:C36451)))</f>
        <v/>
      </c>
      <c r="H890" t="str">
        <f>IF(C890="","",(C890/MEDIAN($C$2:D36451)))</f>
        <v/>
      </c>
    </row>
    <row r="891" spans="7:8" x14ac:dyDescent="0.2">
      <c r="G891" t="str">
        <f>IF(C891="","",(C891/AVERAGE($C$2:C36452)))</f>
        <v/>
      </c>
      <c r="H891" t="str">
        <f>IF(C891="","",(C891/MEDIAN($C$2:D36452)))</f>
        <v/>
      </c>
    </row>
    <row r="892" spans="7:8" x14ac:dyDescent="0.2">
      <c r="G892" t="str">
        <f>IF(C892="","",(C892/AVERAGE($C$2:C36453)))</f>
        <v/>
      </c>
      <c r="H892" t="str">
        <f>IF(C892="","",(C892/MEDIAN($C$2:D36453)))</f>
        <v/>
      </c>
    </row>
    <row r="893" spans="7:8" x14ac:dyDescent="0.2">
      <c r="G893" t="str">
        <f>IF(C893="","",(C893/AVERAGE($C$2:C36454)))</f>
        <v/>
      </c>
      <c r="H893" t="str">
        <f>IF(C893="","",(C893/MEDIAN($C$2:D36454)))</f>
        <v/>
      </c>
    </row>
    <row r="894" spans="7:8" x14ac:dyDescent="0.2">
      <c r="G894" t="str">
        <f>IF(C894="","",(C894/AVERAGE($C$2:C36455)))</f>
        <v/>
      </c>
      <c r="H894" t="str">
        <f>IF(C894="","",(C894/MEDIAN($C$2:D36455)))</f>
        <v/>
      </c>
    </row>
    <row r="895" spans="7:8" x14ac:dyDescent="0.2">
      <c r="G895" t="str">
        <f>IF(C895="","",(C895/AVERAGE($C$2:C36456)))</f>
        <v/>
      </c>
      <c r="H895" t="str">
        <f>IF(C895="","",(C895/MEDIAN($C$2:D36456)))</f>
        <v/>
      </c>
    </row>
    <row r="896" spans="7:8" x14ac:dyDescent="0.2">
      <c r="G896" t="str">
        <f>IF(C896="","",(C896/AVERAGE($C$2:C36457)))</f>
        <v/>
      </c>
      <c r="H896" t="str">
        <f>IF(C896="","",(C896/MEDIAN($C$2:D36457)))</f>
        <v/>
      </c>
    </row>
    <row r="897" spans="7:8" x14ac:dyDescent="0.2">
      <c r="G897" t="str">
        <f>IF(C897="","",(C897/AVERAGE($C$2:C36458)))</f>
        <v/>
      </c>
      <c r="H897" t="str">
        <f>IF(C897="","",(C897/MEDIAN($C$2:D36458)))</f>
        <v/>
      </c>
    </row>
    <row r="898" spans="7:8" x14ac:dyDescent="0.2">
      <c r="G898" t="str">
        <f>IF(C898="","",(C898/AVERAGE($C$2:C36459)))</f>
        <v/>
      </c>
      <c r="H898" t="str">
        <f>IF(C898="","",(C898/MEDIAN($C$2:D36459)))</f>
        <v/>
      </c>
    </row>
    <row r="899" spans="7:8" x14ac:dyDescent="0.2">
      <c r="G899" t="str">
        <f>IF(C899="","",(C899/AVERAGE($C$2:C36460)))</f>
        <v/>
      </c>
      <c r="H899" t="str">
        <f>IF(C899="","",(C899/MEDIAN($C$2:D36460)))</f>
        <v/>
      </c>
    </row>
    <row r="900" spans="7:8" x14ac:dyDescent="0.2">
      <c r="G900" t="str">
        <f>IF(C900="","",(C900/AVERAGE($C$2:C36461)))</f>
        <v/>
      </c>
      <c r="H900" t="str">
        <f>IF(C900="","",(C900/MEDIAN($C$2:D36461)))</f>
        <v/>
      </c>
    </row>
    <row r="901" spans="7:8" x14ac:dyDescent="0.2">
      <c r="G901" t="str">
        <f>IF(C901="","",(C901/AVERAGE($C$2:C36462)))</f>
        <v/>
      </c>
      <c r="H901" t="str">
        <f>IF(C901="","",(C901/MEDIAN($C$2:D36462)))</f>
        <v/>
      </c>
    </row>
    <row r="902" spans="7:8" x14ac:dyDescent="0.2">
      <c r="G902" t="str">
        <f>IF(C902="","",(C902/AVERAGE($C$2:C36463)))</f>
        <v/>
      </c>
      <c r="H902" t="str">
        <f>IF(C902="","",(C902/MEDIAN($C$2:D36463)))</f>
        <v/>
      </c>
    </row>
    <row r="903" spans="7:8" x14ac:dyDescent="0.2">
      <c r="G903" t="str">
        <f>IF(C903="","",(C903/AVERAGE($C$2:C36464)))</f>
        <v/>
      </c>
      <c r="H903" t="str">
        <f>IF(C903="","",(C903/MEDIAN($C$2:D36464)))</f>
        <v/>
      </c>
    </row>
    <row r="904" spans="7:8" x14ac:dyDescent="0.2">
      <c r="G904" t="str">
        <f>IF(C904="","",(C904/AVERAGE($C$2:C36465)))</f>
        <v/>
      </c>
      <c r="H904" t="str">
        <f>IF(C904="","",(C904/MEDIAN($C$2:D36465)))</f>
        <v/>
      </c>
    </row>
    <row r="905" spans="7:8" x14ac:dyDescent="0.2">
      <c r="G905" t="str">
        <f>IF(C905="","",(C905/AVERAGE($C$2:C36466)))</f>
        <v/>
      </c>
      <c r="H905" t="str">
        <f>IF(C905="","",(C905/MEDIAN($C$2:D36466)))</f>
        <v/>
      </c>
    </row>
    <row r="906" spans="7:8" x14ac:dyDescent="0.2">
      <c r="G906" t="str">
        <f>IF(C906="","",(C906/AVERAGE($C$2:C36467)))</f>
        <v/>
      </c>
      <c r="H906" t="str">
        <f>IF(C906="","",(C906/MEDIAN($C$2:D36467)))</f>
        <v/>
      </c>
    </row>
    <row r="907" spans="7:8" x14ac:dyDescent="0.2">
      <c r="G907" t="str">
        <f>IF(C907="","",(C907/AVERAGE($C$2:C36468)))</f>
        <v/>
      </c>
      <c r="H907" t="str">
        <f>IF(C907="","",(C907/MEDIAN($C$2:D36468)))</f>
        <v/>
      </c>
    </row>
    <row r="908" spans="7:8" x14ac:dyDescent="0.2">
      <c r="G908" t="str">
        <f>IF(C908="","",(C908/AVERAGE($C$2:C36469)))</f>
        <v/>
      </c>
      <c r="H908" t="str">
        <f>IF(C908="","",(C908/MEDIAN($C$2:D36469)))</f>
        <v/>
      </c>
    </row>
    <row r="909" spans="7:8" x14ac:dyDescent="0.2">
      <c r="G909" t="str">
        <f>IF(C909="","",(C909/AVERAGE($C$2:C36470)))</f>
        <v/>
      </c>
      <c r="H909" t="str">
        <f>IF(C909="","",(C909/MEDIAN($C$2:D36470)))</f>
        <v/>
      </c>
    </row>
    <row r="910" spans="7:8" x14ac:dyDescent="0.2">
      <c r="G910" t="str">
        <f>IF(C910="","",(C910/AVERAGE($C$2:C36471)))</f>
        <v/>
      </c>
      <c r="H910" t="str">
        <f>IF(C910="","",(C910/MEDIAN($C$2:D36471)))</f>
        <v/>
      </c>
    </row>
    <row r="911" spans="7:8" x14ac:dyDescent="0.2">
      <c r="G911" t="str">
        <f>IF(C911="","",(C911/AVERAGE($C$2:C36472)))</f>
        <v/>
      </c>
      <c r="H911" t="str">
        <f>IF(C911="","",(C911/MEDIAN($C$2:D36472)))</f>
        <v/>
      </c>
    </row>
    <row r="912" spans="7:8" x14ac:dyDescent="0.2">
      <c r="G912" t="str">
        <f>IF(C912="","",(C912/AVERAGE($C$2:C36473)))</f>
        <v/>
      </c>
      <c r="H912" t="str">
        <f>IF(C912="","",(C912/MEDIAN($C$2:D36473)))</f>
        <v/>
      </c>
    </row>
    <row r="913" spans="7:8" x14ac:dyDescent="0.2">
      <c r="G913" t="str">
        <f>IF(C913="","",(C913/AVERAGE($C$2:C36474)))</f>
        <v/>
      </c>
      <c r="H913" t="str">
        <f>IF(C913="","",(C913/MEDIAN($C$2:D36474)))</f>
        <v/>
      </c>
    </row>
    <row r="914" spans="7:8" x14ac:dyDescent="0.2">
      <c r="G914" t="str">
        <f>IF(C914="","",(C914/AVERAGE($C$2:C36475)))</f>
        <v/>
      </c>
      <c r="H914" t="str">
        <f>IF(C914="","",(C914/MEDIAN($C$2:D36475)))</f>
        <v/>
      </c>
    </row>
    <row r="915" spans="7:8" x14ac:dyDescent="0.2">
      <c r="G915" t="str">
        <f>IF(C915="","",(C915/AVERAGE($C$2:C36476)))</f>
        <v/>
      </c>
      <c r="H915" t="str">
        <f>IF(C915="","",(C915/MEDIAN($C$2:D36476)))</f>
        <v/>
      </c>
    </row>
    <row r="916" spans="7:8" x14ac:dyDescent="0.2">
      <c r="G916" t="str">
        <f>IF(C916="","",(C916/AVERAGE($C$2:C36477)))</f>
        <v/>
      </c>
      <c r="H916" t="str">
        <f>IF(C916="","",(C916/MEDIAN($C$2:D36477)))</f>
        <v/>
      </c>
    </row>
    <row r="917" spans="7:8" x14ac:dyDescent="0.2">
      <c r="G917" t="str">
        <f>IF(C917="","",(C917/AVERAGE($C$2:C36478)))</f>
        <v/>
      </c>
      <c r="H917" t="str">
        <f>IF(C917="","",(C917/MEDIAN($C$2:D36478)))</f>
        <v/>
      </c>
    </row>
    <row r="918" spans="7:8" x14ac:dyDescent="0.2">
      <c r="G918" t="str">
        <f>IF(C918="","",(C918/AVERAGE($C$2:C36479)))</f>
        <v/>
      </c>
      <c r="H918" t="str">
        <f>IF(C918="","",(C918/MEDIAN($C$2:D36479)))</f>
        <v/>
      </c>
    </row>
    <row r="919" spans="7:8" x14ac:dyDescent="0.2">
      <c r="G919" t="str">
        <f>IF(C919="","",(C919/AVERAGE($C$2:C36480)))</f>
        <v/>
      </c>
      <c r="H919" t="str">
        <f>IF(C919="","",(C919/MEDIAN($C$2:D36480)))</f>
        <v/>
      </c>
    </row>
    <row r="920" spans="7:8" x14ac:dyDescent="0.2">
      <c r="G920" t="str">
        <f>IF(C920="","",(C920/AVERAGE($C$2:C36481)))</f>
        <v/>
      </c>
      <c r="H920" t="str">
        <f>IF(C920="","",(C920/MEDIAN($C$2:D36481)))</f>
        <v/>
      </c>
    </row>
    <row r="921" spans="7:8" x14ac:dyDescent="0.2">
      <c r="G921" t="str">
        <f>IF(C921="","",(C921/AVERAGE($C$2:C36482)))</f>
        <v/>
      </c>
      <c r="H921" t="str">
        <f>IF(C921="","",(C921/MEDIAN($C$2:D36482)))</f>
        <v/>
      </c>
    </row>
    <row r="922" spans="7:8" x14ac:dyDescent="0.2">
      <c r="G922" t="str">
        <f>IF(C922="","",(C922/AVERAGE($C$2:C36483)))</f>
        <v/>
      </c>
      <c r="H922" t="str">
        <f>IF(C922="","",(C922/MEDIAN($C$2:D36483)))</f>
        <v/>
      </c>
    </row>
    <row r="923" spans="7:8" x14ac:dyDescent="0.2">
      <c r="G923" t="str">
        <f>IF(C923="","",(C923/AVERAGE($C$2:C36484)))</f>
        <v/>
      </c>
      <c r="H923" t="str">
        <f>IF(C923="","",(C923/MEDIAN($C$2:D36484)))</f>
        <v/>
      </c>
    </row>
    <row r="924" spans="7:8" x14ac:dyDescent="0.2">
      <c r="G924" t="str">
        <f>IF(C924="","",(C924/AVERAGE($C$2:C36485)))</f>
        <v/>
      </c>
      <c r="H924" t="str">
        <f>IF(C924="","",(C924/MEDIAN($C$2:D36485)))</f>
        <v/>
      </c>
    </row>
    <row r="925" spans="7:8" x14ac:dyDescent="0.2">
      <c r="G925" t="str">
        <f>IF(C925="","",(C925/AVERAGE($C$2:C36486)))</f>
        <v/>
      </c>
      <c r="H925" t="str">
        <f>IF(C925="","",(C925/MEDIAN($C$2:D36486)))</f>
        <v/>
      </c>
    </row>
    <row r="926" spans="7:8" x14ac:dyDescent="0.2">
      <c r="G926" t="str">
        <f>IF(C926="","",(C926/AVERAGE($C$2:C36487)))</f>
        <v/>
      </c>
      <c r="H926" t="str">
        <f>IF(C926="","",(C926/MEDIAN($C$2:D36487)))</f>
        <v/>
      </c>
    </row>
    <row r="927" spans="7:8" x14ac:dyDescent="0.2">
      <c r="G927" t="str">
        <f>IF(C927="","",(C927/AVERAGE($C$2:C36488)))</f>
        <v/>
      </c>
      <c r="H927" t="str">
        <f>IF(C927="","",(C927/MEDIAN($C$2:D36488)))</f>
        <v/>
      </c>
    </row>
    <row r="928" spans="7:8" x14ac:dyDescent="0.2">
      <c r="G928" t="str">
        <f>IF(C928="","",(C928/AVERAGE($C$2:C36489)))</f>
        <v/>
      </c>
      <c r="H928" t="str">
        <f>IF(C928="","",(C928/MEDIAN($C$2:D36489)))</f>
        <v/>
      </c>
    </row>
    <row r="929" spans="7:8" x14ac:dyDescent="0.2">
      <c r="G929" t="str">
        <f>IF(C929="","",(C929/AVERAGE($C$2:C36490)))</f>
        <v/>
      </c>
      <c r="H929" t="str">
        <f>IF(C929="","",(C929/MEDIAN($C$2:D36490)))</f>
        <v/>
      </c>
    </row>
    <row r="930" spans="7:8" x14ac:dyDescent="0.2">
      <c r="G930" t="str">
        <f>IF(C930="","",(C930/AVERAGE($C$2:C36491)))</f>
        <v/>
      </c>
      <c r="H930" t="str">
        <f>IF(C930="","",(C930/MEDIAN($C$2:D36491)))</f>
        <v/>
      </c>
    </row>
    <row r="931" spans="7:8" x14ac:dyDescent="0.2">
      <c r="G931" t="str">
        <f>IF(C931="","",(C931/AVERAGE($C$2:C36492)))</f>
        <v/>
      </c>
      <c r="H931" t="str">
        <f>IF(C931="","",(C931/MEDIAN($C$2:D36492)))</f>
        <v/>
      </c>
    </row>
    <row r="932" spans="7:8" x14ac:dyDescent="0.2">
      <c r="G932" t="str">
        <f>IF(C932="","",(C932/AVERAGE($C$2:C36493)))</f>
        <v/>
      </c>
      <c r="H932" t="str">
        <f>IF(C932="","",(C932/MEDIAN($C$2:D36493)))</f>
        <v/>
      </c>
    </row>
    <row r="933" spans="7:8" x14ac:dyDescent="0.2">
      <c r="G933" t="str">
        <f>IF(C933="","",(C933/AVERAGE($C$2:C36494)))</f>
        <v/>
      </c>
      <c r="H933" t="str">
        <f>IF(C933="","",(C933/MEDIAN($C$2:D36494)))</f>
        <v/>
      </c>
    </row>
    <row r="934" spans="7:8" x14ac:dyDescent="0.2">
      <c r="G934" t="str">
        <f>IF(C934="","",(C934/AVERAGE($C$2:C36495)))</f>
        <v/>
      </c>
      <c r="H934" t="str">
        <f>IF(C934="","",(C934/MEDIAN($C$2:D36495)))</f>
        <v/>
      </c>
    </row>
    <row r="935" spans="7:8" x14ac:dyDescent="0.2">
      <c r="G935" t="str">
        <f>IF(C935="","",(C935/AVERAGE($C$2:C36496)))</f>
        <v/>
      </c>
      <c r="H935" t="str">
        <f>IF(C935="","",(C935/MEDIAN($C$2:D36496)))</f>
        <v/>
      </c>
    </row>
    <row r="936" spans="7:8" x14ac:dyDescent="0.2">
      <c r="G936" t="str">
        <f>IF(C936="","",(C936/AVERAGE($C$2:C36497)))</f>
        <v/>
      </c>
      <c r="H936" t="str">
        <f>IF(C936="","",(C936/MEDIAN($C$2:D36497)))</f>
        <v/>
      </c>
    </row>
    <row r="937" spans="7:8" x14ac:dyDescent="0.2">
      <c r="G937" t="str">
        <f>IF(C937="","",(C937/AVERAGE($C$2:C36498)))</f>
        <v/>
      </c>
      <c r="H937" t="str">
        <f>IF(C937="","",(C937/MEDIAN($C$2:D36498)))</f>
        <v/>
      </c>
    </row>
    <row r="938" spans="7:8" x14ac:dyDescent="0.2">
      <c r="G938" t="str">
        <f>IF(C938="","",(C938/AVERAGE($C$2:C36499)))</f>
        <v/>
      </c>
      <c r="H938" t="str">
        <f>IF(C938="","",(C938/MEDIAN($C$2:D36499)))</f>
        <v/>
      </c>
    </row>
    <row r="939" spans="7:8" x14ac:dyDescent="0.2">
      <c r="G939" t="str">
        <f>IF(C939="","",(C939/AVERAGE($C$2:C36500)))</f>
        <v/>
      </c>
      <c r="H939" t="str">
        <f>IF(C939="","",(C939/MEDIAN($C$2:D36500)))</f>
        <v/>
      </c>
    </row>
    <row r="940" spans="7:8" x14ac:dyDescent="0.2">
      <c r="G940" t="str">
        <f>IF(C940="","",(C940/AVERAGE($C$2:C36501)))</f>
        <v/>
      </c>
      <c r="H940" t="str">
        <f>IF(C940="","",(C940/MEDIAN($C$2:D36501)))</f>
        <v/>
      </c>
    </row>
    <row r="941" spans="7:8" x14ac:dyDescent="0.2">
      <c r="G941" t="str">
        <f>IF(C941="","",(C941/AVERAGE($C$2:C36502)))</f>
        <v/>
      </c>
      <c r="H941" t="str">
        <f>IF(C941="","",(C941/MEDIAN($C$2:D36502)))</f>
        <v/>
      </c>
    </row>
    <row r="942" spans="7:8" x14ac:dyDescent="0.2">
      <c r="G942" t="str">
        <f>IF(C942="","",(C942/AVERAGE($C$2:C36503)))</f>
        <v/>
      </c>
      <c r="H942" t="str">
        <f>IF(C942="","",(C942/MEDIAN($C$2:D36503)))</f>
        <v/>
      </c>
    </row>
    <row r="943" spans="7:8" x14ac:dyDescent="0.2">
      <c r="G943" t="str">
        <f>IF(C943="","",(C943/AVERAGE($C$2:C36504)))</f>
        <v/>
      </c>
      <c r="H943" t="str">
        <f>IF(C943="","",(C943/MEDIAN($C$2:D36504)))</f>
        <v/>
      </c>
    </row>
    <row r="944" spans="7:8" x14ac:dyDescent="0.2">
      <c r="G944" t="str">
        <f>IF(C944="","",(C944/AVERAGE($C$2:C36505)))</f>
        <v/>
      </c>
      <c r="H944" t="str">
        <f>IF(C944="","",(C944/MEDIAN($C$2:D36505)))</f>
        <v/>
      </c>
    </row>
    <row r="945" spans="7:8" x14ac:dyDescent="0.2">
      <c r="G945" t="str">
        <f>IF(C945="","",(C945/AVERAGE($C$2:C36506)))</f>
        <v/>
      </c>
      <c r="H945" t="str">
        <f>IF(C945="","",(C945/MEDIAN($C$2:D36506)))</f>
        <v/>
      </c>
    </row>
    <row r="946" spans="7:8" x14ac:dyDescent="0.2">
      <c r="G946" t="str">
        <f>IF(C946="","",(C946/AVERAGE($C$2:C36507)))</f>
        <v/>
      </c>
      <c r="H946" t="str">
        <f>IF(C946="","",(C946/MEDIAN($C$2:D36507)))</f>
        <v/>
      </c>
    </row>
    <row r="947" spans="7:8" x14ac:dyDescent="0.2">
      <c r="G947" t="str">
        <f>IF(C947="","",(C947/AVERAGE($C$2:C36508)))</f>
        <v/>
      </c>
      <c r="H947" t="str">
        <f>IF(C947="","",(C947/MEDIAN($C$2:D36508)))</f>
        <v/>
      </c>
    </row>
    <row r="948" spans="7:8" x14ac:dyDescent="0.2">
      <c r="G948" t="str">
        <f>IF(C948="","",(C948/AVERAGE($C$2:C36509)))</f>
        <v/>
      </c>
      <c r="H948" t="str">
        <f>IF(C948="","",(C948/MEDIAN($C$2:D36509)))</f>
        <v/>
      </c>
    </row>
    <row r="949" spans="7:8" x14ac:dyDescent="0.2">
      <c r="G949" t="str">
        <f>IF(C949="","",(C949/AVERAGE($C$2:C36510)))</f>
        <v/>
      </c>
      <c r="H949" t="str">
        <f>IF(C949="","",(C949/MEDIAN($C$2:D36510)))</f>
        <v/>
      </c>
    </row>
    <row r="950" spans="7:8" x14ac:dyDescent="0.2">
      <c r="G950" t="str">
        <f>IF(C950="","",(C950/AVERAGE($C$2:C36511)))</f>
        <v/>
      </c>
      <c r="H950" t="str">
        <f>IF(C950="","",(C950/MEDIAN($C$2:D36511)))</f>
        <v/>
      </c>
    </row>
    <row r="951" spans="7:8" x14ac:dyDescent="0.2">
      <c r="G951" t="str">
        <f>IF(C951="","",(C951/AVERAGE($C$2:C36512)))</f>
        <v/>
      </c>
      <c r="H951" t="str">
        <f>IF(C951="","",(C951/MEDIAN($C$2:D36512)))</f>
        <v/>
      </c>
    </row>
    <row r="952" spans="7:8" x14ac:dyDescent="0.2">
      <c r="G952" t="str">
        <f>IF(C952="","",(C952/AVERAGE($C$2:C36513)))</f>
        <v/>
      </c>
      <c r="H952" t="str">
        <f>IF(C952="","",(C952/MEDIAN($C$2:D36513)))</f>
        <v/>
      </c>
    </row>
    <row r="953" spans="7:8" x14ac:dyDescent="0.2">
      <c r="G953" t="str">
        <f>IF(C953="","",(C953/AVERAGE($C$2:C36514)))</f>
        <v/>
      </c>
      <c r="H953" t="str">
        <f>IF(C953="","",(C953/MEDIAN($C$2:D36514)))</f>
        <v/>
      </c>
    </row>
    <row r="954" spans="7:8" x14ac:dyDescent="0.2">
      <c r="G954" t="str">
        <f>IF(C954="","",(C954/AVERAGE($C$2:C36515)))</f>
        <v/>
      </c>
      <c r="H954" t="str">
        <f>IF(C954="","",(C954/MEDIAN($C$2:D36515)))</f>
        <v/>
      </c>
    </row>
    <row r="955" spans="7:8" x14ac:dyDescent="0.2">
      <c r="G955" t="str">
        <f>IF(C955="","",(C955/AVERAGE($C$2:C36516)))</f>
        <v/>
      </c>
      <c r="H955" t="str">
        <f>IF(C955="","",(C955/MEDIAN($C$2:D36516)))</f>
        <v/>
      </c>
    </row>
    <row r="956" spans="7:8" x14ac:dyDescent="0.2">
      <c r="G956" t="str">
        <f>IF(C956="","",(C956/AVERAGE($C$2:C36517)))</f>
        <v/>
      </c>
      <c r="H956" t="str">
        <f>IF(C956="","",(C956/MEDIAN($C$2:D36517)))</f>
        <v/>
      </c>
    </row>
    <row r="957" spans="7:8" x14ac:dyDescent="0.2">
      <c r="G957" t="str">
        <f>IF(C957="","",(C957/AVERAGE($C$2:C36518)))</f>
        <v/>
      </c>
      <c r="H957" t="str">
        <f>IF(C957="","",(C957/MEDIAN($C$2:D36518)))</f>
        <v/>
      </c>
    </row>
    <row r="958" spans="7:8" x14ac:dyDescent="0.2">
      <c r="G958" t="str">
        <f>IF(C958="","",(C958/AVERAGE($C$2:C36519)))</f>
        <v/>
      </c>
      <c r="H958" t="str">
        <f>IF(C958="","",(C958/MEDIAN($C$2:D36519)))</f>
        <v/>
      </c>
    </row>
    <row r="959" spans="7:8" x14ac:dyDescent="0.2">
      <c r="G959" t="str">
        <f>IF(C959="","",(C959/AVERAGE($C$2:C36520)))</f>
        <v/>
      </c>
      <c r="H959" t="str">
        <f>IF(C959="","",(C959/MEDIAN($C$2:D36520)))</f>
        <v/>
      </c>
    </row>
    <row r="960" spans="7:8" x14ac:dyDescent="0.2">
      <c r="G960" t="str">
        <f>IF(C960="","",(C960/AVERAGE($C$2:C36521)))</f>
        <v/>
      </c>
      <c r="H960" t="str">
        <f>IF(C960="","",(C960/MEDIAN($C$2:D36521)))</f>
        <v/>
      </c>
    </row>
    <row r="961" spans="7:8" x14ac:dyDescent="0.2">
      <c r="G961" t="str">
        <f>IF(C961="","",(C961/AVERAGE($C$2:C36522)))</f>
        <v/>
      </c>
      <c r="H961" t="str">
        <f>IF(C961="","",(C961/MEDIAN($C$2:D36522)))</f>
        <v/>
      </c>
    </row>
    <row r="962" spans="7:8" x14ac:dyDescent="0.2">
      <c r="G962" t="str">
        <f>IF(C962="","",(C962/AVERAGE($C$2:C36523)))</f>
        <v/>
      </c>
      <c r="H962" t="str">
        <f>IF(C962="","",(C962/MEDIAN($C$2:D36523)))</f>
        <v/>
      </c>
    </row>
    <row r="963" spans="7:8" x14ac:dyDescent="0.2">
      <c r="G963" t="str">
        <f>IF(C963="","",(C963/AVERAGE($C$2:C36524)))</f>
        <v/>
      </c>
      <c r="H963" t="str">
        <f>IF(C963="","",(C963/MEDIAN($C$2:D36524)))</f>
        <v/>
      </c>
    </row>
    <row r="964" spans="7:8" x14ac:dyDescent="0.2">
      <c r="G964" t="str">
        <f>IF(C964="","",(C964/AVERAGE($C$2:C36525)))</f>
        <v/>
      </c>
      <c r="H964" t="str">
        <f>IF(C964="","",(C964/MEDIAN($C$2:D36525)))</f>
        <v/>
      </c>
    </row>
    <row r="965" spans="7:8" x14ac:dyDescent="0.2">
      <c r="G965" t="str">
        <f>IF(C965="","",(C965/AVERAGE($C$2:C36526)))</f>
        <v/>
      </c>
      <c r="H965" t="str">
        <f>IF(C965="","",(C965/MEDIAN($C$2:D36526)))</f>
        <v/>
      </c>
    </row>
    <row r="966" spans="7:8" x14ac:dyDescent="0.2">
      <c r="G966" t="str">
        <f>IF(C966="","",(C966/AVERAGE($C$2:C36527)))</f>
        <v/>
      </c>
      <c r="H966" t="str">
        <f>IF(C966="","",(C966/MEDIAN($C$2:D36527)))</f>
        <v/>
      </c>
    </row>
    <row r="967" spans="7:8" x14ac:dyDescent="0.2">
      <c r="G967" t="str">
        <f>IF(C967="","",(C967/AVERAGE($C$2:C36528)))</f>
        <v/>
      </c>
      <c r="H967" t="str">
        <f>IF(C967="","",(C967/MEDIAN($C$2:D36528)))</f>
        <v/>
      </c>
    </row>
    <row r="968" spans="7:8" x14ac:dyDescent="0.2">
      <c r="G968" t="str">
        <f>IF(C968="","",(C968/AVERAGE($C$2:C36529)))</f>
        <v/>
      </c>
      <c r="H968" t="str">
        <f>IF(C968="","",(C968/MEDIAN($C$2:D36529)))</f>
        <v/>
      </c>
    </row>
    <row r="969" spans="7:8" x14ac:dyDescent="0.2">
      <c r="G969" t="str">
        <f>IF(C969="","",(C969/AVERAGE($C$2:C36530)))</f>
        <v/>
      </c>
      <c r="H969" t="str">
        <f>IF(C969="","",(C969/MEDIAN($C$2:D36530)))</f>
        <v/>
      </c>
    </row>
    <row r="970" spans="7:8" x14ac:dyDescent="0.2">
      <c r="G970" t="str">
        <f>IF(C970="","",(C970/AVERAGE($C$2:C36531)))</f>
        <v/>
      </c>
      <c r="H970" t="str">
        <f>IF(C970="","",(C970/MEDIAN($C$2:D36531)))</f>
        <v/>
      </c>
    </row>
    <row r="971" spans="7:8" x14ac:dyDescent="0.2">
      <c r="G971" t="str">
        <f>IF(C971="","",(C971/AVERAGE($C$2:C36532)))</f>
        <v/>
      </c>
      <c r="H971" t="str">
        <f>IF(C971="","",(C971/MEDIAN($C$2:D36532)))</f>
        <v/>
      </c>
    </row>
    <row r="972" spans="7:8" x14ac:dyDescent="0.2">
      <c r="G972" t="str">
        <f>IF(C972="","",(C972/AVERAGE($C$2:C36533)))</f>
        <v/>
      </c>
      <c r="H972" t="str">
        <f>IF(C972="","",(C972/MEDIAN($C$2:D36533)))</f>
        <v/>
      </c>
    </row>
    <row r="973" spans="7:8" x14ac:dyDescent="0.2">
      <c r="G973" t="str">
        <f>IF(C973="","",(C973/AVERAGE($C$2:C36534)))</f>
        <v/>
      </c>
      <c r="H973" t="str">
        <f>IF(C973="","",(C973/MEDIAN($C$2:D36534)))</f>
        <v/>
      </c>
    </row>
    <row r="974" spans="7:8" x14ac:dyDescent="0.2">
      <c r="G974" t="str">
        <f>IF(C974="","",(C974/AVERAGE($C$2:C36535)))</f>
        <v/>
      </c>
      <c r="H974" t="str">
        <f>IF(C974="","",(C974/MEDIAN($C$2:D36535)))</f>
        <v/>
      </c>
    </row>
    <row r="975" spans="7:8" x14ac:dyDescent="0.2">
      <c r="G975" t="str">
        <f>IF(C975="","",(C975/AVERAGE($C$2:C36536)))</f>
        <v/>
      </c>
      <c r="H975" t="str">
        <f>IF(C975="","",(C975/MEDIAN($C$2:D36536)))</f>
        <v/>
      </c>
    </row>
    <row r="976" spans="7:8" x14ac:dyDescent="0.2">
      <c r="G976" t="str">
        <f>IF(C976="","",(C976/AVERAGE($C$2:C36537)))</f>
        <v/>
      </c>
      <c r="H976" t="str">
        <f>IF(C976="","",(C976/MEDIAN($C$2:D36537)))</f>
        <v/>
      </c>
    </row>
    <row r="977" spans="7:8" x14ac:dyDescent="0.2">
      <c r="G977" t="str">
        <f>IF(C977="","",(C977/AVERAGE($C$2:C36538)))</f>
        <v/>
      </c>
      <c r="H977" t="str">
        <f>IF(C977="","",(C977/MEDIAN($C$2:D36538)))</f>
        <v/>
      </c>
    </row>
    <row r="978" spans="7:8" x14ac:dyDescent="0.2">
      <c r="G978" t="str">
        <f>IF(C978="","",(C978/AVERAGE($C$2:C36539)))</f>
        <v/>
      </c>
      <c r="H978" t="str">
        <f>IF(C978="","",(C978/MEDIAN($C$2:D36539)))</f>
        <v/>
      </c>
    </row>
    <row r="979" spans="7:8" x14ac:dyDescent="0.2">
      <c r="G979" t="str">
        <f>IF(C979="","",(C979/AVERAGE($C$2:C36540)))</f>
        <v/>
      </c>
      <c r="H979" t="str">
        <f>IF(C979="","",(C979/MEDIAN($C$2:D36540)))</f>
        <v/>
      </c>
    </row>
    <row r="980" spans="7:8" x14ac:dyDescent="0.2">
      <c r="G980" t="str">
        <f>IF(C980="","",(C980/AVERAGE($C$2:C36541)))</f>
        <v/>
      </c>
      <c r="H980" t="str">
        <f>IF(C980="","",(C980/MEDIAN($C$2:D36541)))</f>
        <v/>
      </c>
    </row>
    <row r="981" spans="7:8" x14ac:dyDescent="0.2">
      <c r="G981" t="str">
        <f>IF(C981="","",(C981/AVERAGE($C$2:C36542)))</f>
        <v/>
      </c>
      <c r="H981" t="str">
        <f>IF(C981="","",(C981/MEDIAN($C$2:D36542)))</f>
        <v/>
      </c>
    </row>
    <row r="982" spans="7:8" x14ac:dyDescent="0.2">
      <c r="G982" t="str">
        <f>IF(C982="","",(C982/AVERAGE($C$2:C36543)))</f>
        <v/>
      </c>
      <c r="H982" t="str">
        <f>IF(C982="","",(C982/MEDIAN($C$2:D36543)))</f>
        <v/>
      </c>
    </row>
    <row r="983" spans="7:8" x14ac:dyDescent="0.2">
      <c r="G983" t="str">
        <f>IF(C983="","",(C983/AVERAGE($C$2:C36544)))</f>
        <v/>
      </c>
      <c r="H983" t="str">
        <f>IF(C983="","",(C983/MEDIAN($C$2:D36544)))</f>
        <v/>
      </c>
    </row>
    <row r="984" spans="7:8" x14ac:dyDescent="0.2">
      <c r="G984" t="str">
        <f>IF(C984="","",(C984/AVERAGE($C$2:C36545)))</f>
        <v/>
      </c>
      <c r="H984" t="str">
        <f>IF(C984="","",(C984/MEDIAN($C$2:D36545)))</f>
        <v/>
      </c>
    </row>
    <row r="985" spans="7:8" x14ac:dyDescent="0.2">
      <c r="G985" t="str">
        <f>IF(C985="","",(C985/AVERAGE($C$2:C36546)))</f>
        <v/>
      </c>
      <c r="H985" t="str">
        <f>IF(C985="","",(C985/MEDIAN($C$2:D36546)))</f>
        <v/>
      </c>
    </row>
    <row r="986" spans="7:8" x14ac:dyDescent="0.2">
      <c r="G986" t="str">
        <f>IF(C986="","",(C986/AVERAGE($C$2:C36547)))</f>
        <v/>
      </c>
      <c r="H986" t="str">
        <f>IF(C986="","",(C986/MEDIAN($C$2:D36547)))</f>
        <v/>
      </c>
    </row>
    <row r="987" spans="7:8" x14ac:dyDescent="0.2">
      <c r="G987" t="str">
        <f>IF(C987="","",(C987/AVERAGE($C$2:C36548)))</f>
        <v/>
      </c>
      <c r="H987" t="str">
        <f>IF(C987="","",(C987/MEDIAN($C$2:D36548)))</f>
        <v/>
      </c>
    </row>
    <row r="988" spans="7:8" x14ac:dyDescent="0.2">
      <c r="G988" t="str">
        <f>IF(C988="","",(C988/AVERAGE($C$2:C36549)))</f>
        <v/>
      </c>
      <c r="H988" t="str">
        <f>IF(C988="","",(C988/MEDIAN($C$2:D36549)))</f>
        <v/>
      </c>
    </row>
    <row r="989" spans="7:8" x14ac:dyDescent="0.2">
      <c r="G989" t="str">
        <f>IF(C989="","",(C989/AVERAGE($C$2:C36550)))</f>
        <v/>
      </c>
      <c r="H989" t="str">
        <f>IF(C989="","",(C989/MEDIAN($C$2:D36550)))</f>
        <v/>
      </c>
    </row>
    <row r="990" spans="7:8" x14ac:dyDescent="0.2">
      <c r="G990" t="str">
        <f>IF(C990="","",(C990/AVERAGE($C$2:C36551)))</f>
        <v/>
      </c>
      <c r="H990" t="str">
        <f>IF(C990="","",(C990/MEDIAN($C$2:D36551)))</f>
        <v/>
      </c>
    </row>
    <row r="991" spans="7:8" x14ac:dyDescent="0.2">
      <c r="G991" t="str">
        <f>IF(C991="","",(C991/AVERAGE($C$2:C36552)))</f>
        <v/>
      </c>
      <c r="H991" t="str">
        <f>IF(C991="","",(C991/MEDIAN($C$2:D36552)))</f>
        <v/>
      </c>
    </row>
    <row r="992" spans="7:8" x14ac:dyDescent="0.2">
      <c r="G992" t="str">
        <f>IF(C992="","",(C992/AVERAGE($C$2:C36553)))</f>
        <v/>
      </c>
      <c r="H992" t="str">
        <f>IF(C992="","",(C992/MEDIAN($C$2:D36553)))</f>
        <v/>
      </c>
    </row>
    <row r="993" spans="7:8" x14ac:dyDescent="0.2">
      <c r="G993" t="str">
        <f>IF(C993="","",(C993/AVERAGE($C$2:C36554)))</f>
        <v/>
      </c>
      <c r="H993" t="str">
        <f>IF(C993="","",(C993/MEDIAN($C$2:D36554)))</f>
        <v/>
      </c>
    </row>
    <row r="994" spans="7:8" x14ac:dyDescent="0.2">
      <c r="G994" t="str">
        <f>IF(C994="","",(C994/AVERAGE($C$2:C36555)))</f>
        <v/>
      </c>
      <c r="H994" t="str">
        <f>IF(C994="","",(C994/MEDIAN($C$2:D36555)))</f>
        <v/>
      </c>
    </row>
    <row r="995" spans="7:8" x14ac:dyDescent="0.2">
      <c r="G995" t="str">
        <f>IF(C995="","",(C995/AVERAGE($C$2:C36556)))</f>
        <v/>
      </c>
      <c r="H995" t="str">
        <f>IF(C995="","",(C995/MEDIAN($C$2:D36556)))</f>
        <v/>
      </c>
    </row>
    <row r="996" spans="7:8" x14ac:dyDescent="0.2">
      <c r="G996" t="str">
        <f>IF(C996="","",(C996/AVERAGE($C$2:C36557)))</f>
        <v/>
      </c>
      <c r="H996" t="str">
        <f>IF(C996="","",(C996/MEDIAN($C$2:D36557)))</f>
        <v/>
      </c>
    </row>
    <row r="997" spans="7:8" x14ac:dyDescent="0.2">
      <c r="G997" t="str">
        <f>IF(C997="","",(C997/AVERAGE($C$2:C36558)))</f>
        <v/>
      </c>
      <c r="H997" t="str">
        <f>IF(C997="","",(C997/MEDIAN($C$2:D36558)))</f>
        <v/>
      </c>
    </row>
    <row r="998" spans="7:8" x14ac:dyDescent="0.2">
      <c r="G998" t="str">
        <f>IF(C998="","",(C998/AVERAGE($C$2:C36559)))</f>
        <v/>
      </c>
      <c r="H998" t="str">
        <f>IF(C998="","",(C998/MEDIAN($C$2:D36559)))</f>
        <v/>
      </c>
    </row>
    <row r="999" spans="7:8" x14ac:dyDescent="0.2">
      <c r="G999" t="str">
        <f>IF(C999="","",(C999/AVERAGE($C$2:C36560)))</f>
        <v/>
      </c>
      <c r="H999" t="str">
        <f>IF(C999="","",(C999/MEDIAN($C$2:D36560)))</f>
        <v/>
      </c>
    </row>
    <row r="1000" spans="7:8" x14ac:dyDescent="0.2">
      <c r="G1000" t="str">
        <f>IF(C1000="","",(C1000/AVERAGE($C$2:C36561)))</f>
        <v/>
      </c>
      <c r="H1000" t="str">
        <f>IF(C1000="","",(C1000/MEDIAN($C$2:D36561)))</f>
        <v/>
      </c>
    </row>
    <row r="1001" spans="7:8" x14ac:dyDescent="0.2">
      <c r="G1001" t="str">
        <f>IF(C1001="","",(C1001/AVERAGE($C$2:C36562)))</f>
        <v/>
      </c>
      <c r="H1001" t="str">
        <f>IF(C1001="","",(C1001/MEDIAN($C$2:D36562)))</f>
        <v/>
      </c>
    </row>
    <row r="1002" spans="7:8" x14ac:dyDescent="0.2">
      <c r="G1002" t="str">
        <f>IF(C1002="","",(C1002/AVERAGE($C$2:C36563)))</f>
        <v/>
      </c>
      <c r="H1002" t="str">
        <f>IF(C1002="","",(C1002/MEDIAN($C$2:D36563)))</f>
        <v/>
      </c>
    </row>
    <row r="1003" spans="7:8" x14ac:dyDescent="0.2">
      <c r="G1003" t="str">
        <f>IF(C1003="","",(C1003/AVERAGE($C$2:C36564)))</f>
        <v/>
      </c>
      <c r="H1003" t="str">
        <f>IF(C1003="","",(C1003/MEDIAN($C$2:D36564)))</f>
        <v/>
      </c>
    </row>
    <row r="1004" spans="7:8" x14ac:dyDescent="0.2">
      <c r="G1004" t="str">
        <f>IF(C1004="","",(C1004/AVERAGE($C$2:C36565)))</f>
        <v/>
      </c>
      <c r="H1004" t="str">
        <f>IF(C1004="","",(C1004/MEDIAN($C$2:D36565)))</f>
        <v/>
      </c>
    </row>
    <row r="1005" spans="7:8" x14ac:dyDescent="0.2">
      <c r="G1005" t="str">
        <f>IF(C1005="","",(C1005/AVERAGE($C$2:C36566)))</f>
        <v/>
      </c>
      <c r="H1005" t="str">
        <f>IF(C1005="","",(C1005/MEDIAN($C$2:D36566)))</f>
        <v/>
      </c>
    </row>
    <row r="1006" spans="7:8" x14ac:dyDescent="0.2">
      <c r="G1006" t="str">
        <f>IF(C1006="","",(C1006/AVERAGE($C$2:C36567)))</f>
        <v/>
      </c>
      <c r="H1006" t="str">
        <f>IF(C1006="","",(C1006/MEDIAN($C$2:D36567)))</f>
        <v/>
      </c>
    </row>
    <row r="1007" spans="7:8" x14ac:dyDescent="0.2">
      <c r="G1007" t="str">
        <f>IF(C1007="","",(C1007/AVERAGE($C$2:C36568)))</f>
        <v/>
      </c>
      <c r="H1007" t="str">
        <f>IF(C1007="","",(C1007/MEDIAN($C$2:D36568)))</f>
        <v/>
      </c>
    </row>
    <row r="1008" spans="7:8" x14ac:dyDescent="0.2">
      <c r="G1008" t="str">
        <f>IF(C1008="","",(C1008/AVERAGE($C$2:C36569)))</f>
        <v/>
      </c>
      <c r="H1008" t="str">
        <f>IF(C1008="","",(C1008/MEDIAN($C$2:D36569)))</f>
        <v/>
      </c>
    </row>
    <row r="1009" spans="7:8" x14ac:dyDescent="0.2">
      <c r="G1009" t="str">
        <f>IF(C1009="","",(C1009/AVERAGE($C$2:C36570)))</f>
        <v/>
      </c>
      <c r="H1009" t="str">
        <f>IF(C1009="","",(C1009/MEDIAN($C$2:D36570)))</f>
        <v/>
      </c>
    </row>
    <row r="1010" spans="7:8" x14ac:dyDescent="0.2">
      <c r="G1010" t="str">
        <f>IF(C1010="","",(C1010/AVERAGE($C$2:C36571)))</f>
        <v/>
      </c>
      <c r="H1010" t="str">
        <f>IF(C1010="","",(C1010/MEDIAN($C$2:D36571)))</f>
        <v/>
      </c>
    </row>
    <row r="1011" spans="7:8" x14ac:dyDescent="0.2">
      <c r="G1011" t="str">
        <f>IF(C1011="","",(C1011/AVERAGE($C$2:C36572)))</f>
        <v/>
      </c>
      <c r="H1011" t="str">
        <f>IF(C1011="","",(C1011/MEDIAN($C$2:D36572)))</f>
        <v/>
      </c>
    </row>
    <row r="1012" spans="7:8" x14ac:dyDescent="0.2">
      <c r="G1012" t="str">
        <f>IF(C1012="","",(C1012/AVERAGE($C$2:C36573)))</f>
        <v/>
      </c>
      <c r="H1012" t="str">
        <f>IF(C1012="","",(C1012/MEDIAN($C$2:D36573)))</f>
        <v/>
      </c>
    </row>
    <row r="1013" spans="7:8" x14ac:dyDescent="0.2">
      <c r="G1013" t="str">
        <f>IF(C1013="","",(C1013/AVERAGE($C$2:C36574)))</f>
        <v/>
      </c>
      <c r="H1013" t="str">
        <f>IF(C1013="","",(C1013/MEDIAN($C$2:D36574)))</f>
        <v/>
      </c>
    </row>
    <row r="1014" spans="7:8" x14ac:dyDescent="0.2">
      <c r="G1014" t="str">
        <f>IF(C1014="","",(C1014/AVERAGE($C$2:C36575)))</f>
        <v/>
      </c>
      <c r="H1014" t="str">
        <f>IF(C1014="","",(C1014/MEDIAN($C$2:D36575)))</f>
        <v/>
      </c>
    </row>
    <row r="1015" spans="7:8" x14ac:dyDescent="0.2">
      <c r="G1015" t="str">
        <f>IF(C1015="","",(C1015/AVERAGE($C$2:C36576)))</f>
        <v/>
      </c>
      <c r="H1015" t="str">
        <f>IF(C1015="","",(C1015/MEDIAN($C$2:D36576)))</f>
        <v/>
      </c>
    </row>
    <row r="1016" spans="7:8" x14ac:dyDescent="0.2">
      <c r="G1016" t="str">
        <f>IF(C1016="","",(C1016/AVERAGE($C$2:C36577)))</f>
        <v/>
      </c>
      <c r="H1016" t="str">
        <f>IF(C1016="","",(C1016/MEDIAN($C$2:D36577)))</f>
        <v/>
      </c>
    </row>
    <row r="1017" spans="7:8" x14ac:dyDescent="0.2">
      <c r="G1017" t="str">
        <f>IF(C1017="","",(C1017/AVERAGE($C$2:C36578)))</f>
        <v/>
      </c>
      <c r="H1017" t="str">
        <f>IF(C1017="","",(C1017/MEDIAN($C$2:D36578)))</f>
        <v/>
      </c>
    </row>
    <row r="1018" spans="7:8" x14ac:dyDescent="0.2">
      <c r="G1018" t="str">
        <f>IF(C1018="","",(C1018/AVERAGE($C$2:C36579)))</f>
        <v/>
      </c>
      <c r="H1018" t="str">
        <f>IF(C1018="","",(C1018/MEDIAN($C$2:D36579)))</f>
        <v/>
      </c>
    </row>
    <row r="1019" spans="7:8" x14ac:dyDescent="0.2">
      <c r="G1019" t="str">
        <f>IF(C1019="","",(C1019/AVERAGE($C$2:C36580)))</f>
        <v/>
      </c>
      <c r="H1019" t="str">
        <f>IF(C1019="","",(C1019/MEDIAN($C$2:D36580)))</f>
        <v/>
      </c>
    </row>
    <row r="1020" spans="7:8" x14ac:dyDescent="0.2">
      <c r="G1020" t="str">
        <f>IF(C1020="","",(C1020/AVERAGE($C$2:C36581)))</f>
        <v/>
      </c>
      <c r="H1020" t="str">
        <f>IF(C1020="","",(C1020/MEDIAN($C$2:D36581)))</f>
        <v/>
      </c>
    </row>
    <row r="1021" spans="7:8" x14ac:dyDescent="0.2">
      <c r="G1021" t="str">
        <f>IF(C1021="","",(C1021/AVERAGE($C$2:C36582)))</f>
        <v/>
      </c>
      <c r="H1021" t="str">
        <f>IF(C1021="","",(C1021/MEDIAN($C$2:D36582)))</f>
        <v/>
      </c>
    </row>
    <row r="1022" spans="7:8" x14ac:dyDescent="0.2">
      <c r="G1022" t="str">
        <f>IF(C1022="","",(C1022/AVERAGE($C$2:C36583)))</f>
        <v/>
      </c>
      <c r="H1022" t="str">
        <f>IF(C1022="","",(C1022/MEDIAN($C$2:D36583)))</f>
        <v/>
      </c>
    </row>
    <row r="1023" spans="7:8" x14ac:dyDescent="0.2">
      <c r="G1023" t="str">
        <f>IF(C1023="","",(C1023/AVERAGE($C$2:C36584)))</f>
        <v/>
      </c>
      <c r="H1023" t="str">
        <f>IF(C1023="","",(C1023/MEDIAN($C$2:D36584)))</f>
        <v/>
      </c>
    </row>
    <row r="1024" spans="7:8" x14ac:dyDescent="0.2">
      <c r="G1024" t="str">
        <f>IF(C1024="","",(C1024/AVERAGE($C$2:C36585)))</f>
        <v/>
      </c>
      <c r="H1024" t="str">
        <f>IF(C1024="","",(C1024/MEDIAN($C$2:D36585)))</f>
        <v/>
      </c>
    </row>
    <row r="1025" spans="7:8" x14ac:dyDescent="0.2">
      <c r="G1025" t="str">
        <f>IF(C1025="","",(C1025/AVERAGE($C$2:C36586)))</f>
        <v/>
      </c>
      <c r="H1025" t="str">
        <f>IF(C1025="","",(C1025/MEDIAN($C$2:D36586)))</f>
        <v/>
      </c>
    </row>
    <row r="1026" spans="7:8" x14ac:dyDescent="0.2">
      <c r="G1026" t="str">
        <f>IF(C1026="","",(C1026/AVERAGE($C$2:C36587)))</f>
        <v/>
      </c>
      <c r="H1026" t="str">
        <f>IF(C1026="","",(C1026/MEDIAN($C$2:D36587)))</f>
        <v/>
      </c>
    </row>
    <row r="1027" spans="7:8" x14ac:dyDescent="0.2">
      <c r="G1027" t="str">
        <f>IF(C1027="","",(C1027/AVERAGE($C$2:C36588)))</f>
        <v/>
      </c>
      <c r="H1027" t="str">
        <f>IF(C1027="","",(C1027/MEDIAN($C$2:D36588)))</f>
        <v/>
      </c>
    </row>
    <row r="1028" spans="7:8" x14ac:dyDescent="0.2">
      <c r="G1028" t="str">
        <f>IF(C1028="","",(C1028/AVERAGE($C$2:C36589)))</f>
        <v/>
      </c>
      <c r="H1028" t="str">
        <f>IF(C1028="","",(C1028/MEDIAN($C$2:D36589)))</f>
        <v/>
      </c>
    </row>
    <row r="1029" spans="7:8" x14ac:dyDescent="0.2">
      <c r="G1029" t="str">
        <f>IF(C1029="","",(C1029/AVERAGE($C$2:C36590)))</f>
        <v/>
      </c>
      <c r="H1029" t="str">
        <f>IF(C1029="","",(C1029/MEDIAN($C$2:D36590)))</f>
        <v/>
      </c>
    </row>
    <row r="1030" spans="7:8" x14ac:dyDescent="0.2">
      <c r="G1030" t="str">
        <f>IF(C1030="","",(C1030/AVERAGE($C$2:C36591)))</f>
        <v/>
      </c>
      <c r="H1030" t="str">
        <f>IF(C1030="","",(C1030/MEDIAN($C$2:D36591)))</f>
        <v/>
      </c>
    </row>
    <row r="1031" spans="7:8" x14ac:dyDescent="0.2">
      <c r="G1031" t="str">
        <f>IF(C1031="","",(C1031/AVERAGE($C$2:C36592)))</f>
        <v/>
      </c>
      <c r="H1031" t="str">
        <f>IF(C1031="","",(C1031/MEDIAN($C$2:D36592)))</f>
        <v/>
      </c>
    </row>
    <row r="1032" spans="7:8" x14ac:dyDescent="0.2">
      <c r="G1032" t="str">
        <f>IF(C1032="","",(C1032/AVERAGE($C$2:C36593)))</f>
        <v/>
      </c>
      <c r="H1032" t="str">
        <f>IF(C1032="","",(C1032/MEDIAN($C$2:D36593)))</f>
        <v/>
      </c>
    </row>
    <row r="1033" spans="7:8" x14ac:dyDescent="0.2">
      <c r="G1033" t="str">
        <f>IF(C1033="","",(C1033/AVERAGE($C$2:C36594)))</f>
        <v/>
      </c>
      <c r="H1033" t="str">
        <f>IF(C1033="","",(C1033/MEDIAN($C$2:D36594)))</f>
        <v/>
      </c>
    </row>
    <row r="1034" spans="7:8" x14ac:dyDescent="0.2">
      <c r="G1034" t="str">
        <f>IF(C1034="","",(C1034/AVERAGE($C$2:C36595)))</f>
        <v/>
      </c>
      <c r="H1034" t="str">
        <f>IF(C1034="","",(C1034/MEDIAN($C$2:D36595)))</f>
        <v/>
      </c>
    </row>
    <row r="1035" spans="7:8" x14ac:dyDescent="0.2">
      <c r="G1035" t="str">
        <f>IF(C1035="","",(C1035/AVERAGE($C$2:C36596)))</f>
        <v/>
      </c>
      <c r="H1035" t="str">
        <f>IF(C1035="","",(C1035/MEDIAN($C$2:D36596)))</f>
        <v/>
      </c>
    </row>
    <row r="1036" spans="7:8" x14ac:dyDescent="0.2">
      <c r="G1036" t="str">
        <f>IF(C1036="","",(C1036/AVERAGE($C$2:C36597)))</f>
        <v/>
      </c>
      <c r="H1036" t="str">
        <f>IF(C1036="","",(C1036/MEDIAN($C$2:D36597)))</f>
        <v/>
      </c>
    </row>
    <row r="1037" spans="7:8" x14ac:dyDescent="0.2">
      <c r="G1037" t="str">
        <f>IF(C1037="","",(C1037/AVERAGE($C$2:C36598)))</f>
        <v/>
      </c>
      <c r="H1037" t="str">
        <f>IF(C1037="","",(C1037/MEDIAN($C$2:D36598)))</f>
        <v/>
      </c>
    </row>
    <row r="1038" spans="7:8" x14ac:dyDescent="0.2">
      <c r="G1038" t="str">
        <f>IF(C1038="","",(C1038/AVERAGE($C$2:C36599)))</f>
        <v/>
      </c>
      <c r="H1038" t="str">
        <f>IF(C1038="","",(C1038/MEDIAN($C$2:D36599)))</f>
        <v/>
      </c>
    </row>
    <row r="1039" spans="7:8" x14ac:dyDescent="0.2">
      <c r="G1039" t="str">
        <f>IF(C1039="","",(C1039/AVERAGE($C$2:C36600)))</f>
        <v/>
      </c>
      <c r="H1039" t="str">
        <f>IF(C1039="","",(C1039/MEDIAN($C$2:D36600)))</f>
        <v/>
      </c>
    </row>
    <row r="1040" spans="7:8" x14ac:dyDescent="0.2">
      <c r="G1040" t="str">
        <f>IF(C1040="","",(C1040/AVERAGE($C$2:C36601)))</f>
        <v/>
      </c>
      <c r="H1040" t="str">
        <f>IF(C1040="","",(C1040/MEDIAN($C$2:D36601)))</f>
        <v/>
      </c>
    </row>
    <row r="1041" spans="7:8" x14ac:dyDescent="0.2">
      <c r="G1041" t="str">
        <f>IF(C1041="","",(C1041/AVERAGE($C$2:C36602)))</f>
        <v/>
      </c>
      <c r="H1041" t="str">
        <f>IF(C1041="","",(C1041/MEDIAN($C$2:D36602)))</f>
        <v/>
      </c>
    </row>
    <row r="1042" spans="7:8" x14ac:dyDescent="0.2">
      <c r="G1042" t="str">
        <f>IF(C1042="","",(C1042/AVERAGE($C$2:C36603)))</f>
        <v/>
      </c>
      <c r="H1042" t="str">
        <f>IF(C1042="","",(C1042/MEDIAN($C$2:D36603)))</f>
        <v/>
      </c>
    </row>
    <row r="1043" spans="7:8" x14ac:dyDescent="0.2">
      <c r="G1043" t="str">
        <f>IF(C1043="","",(C1043/AVERAGE($C$2:C36604)))</f>
        <v/>
      </c>
      <c r="H1043" t="str">
        <f>IF(C1043="","",(C1043/MEDIAN($C$2:D36604)))</f>
        <v/>
      </c>
    </row>
    <row r="1044" spans="7:8" x14ac:dyDescent="0.2">
      <c r="G1044" t="str">
        <f>IF(C1044="","",(C1044/AVERAGE($C$2:C36605)))</f>
        <v/>
      </c>
      <c r="H1044" t="str">
        <f>IF(C1044="","",(C1044/MEDIAN($C$2:D36605)))</f>
        <v/>
      </c>
    </row>
    <row r="1045" spans="7:8" x14ac:dyDescent="0.2">
      <c r="G1045" t="str">
        <f>IF(C1045="","",(C1045/AVERAGE($C$2:C36606)))</f>
        <v/>
      </c>
      <c r="H1045" t="str">
        <f>IF(C1045="","",(C1045/MEDIAN($C$2:D36606)))</f>
        <v/>
      </c>
    </row>
    <row r="1046" spans="7:8" x14ac:dyDescent="0.2">
      <c r="G1046" t="str">
        <f>IF(C1046="","",(C1046/AVERAGE($C$2:C36607)))</f>
        <v/>
      </c>
      <c r="H1046" t="str">
        <f>IF(C1046="","",(C1046/MEDIAN($C$2:D36607)))</f>
        <v/>
      </c>
    </row>
    <row r="1047" spans="7:8" x14ac:dyDescent="0.2">
      <c r="G1047" t="str">
        <f>IF(C1047="","",(C1047/AVERAGE($C$2:C36608)))</f>
        <v/>
      </c>
      <c r="H1047" t="str">
        <f>IF(C1047="","",(C1047/MEDIAN($C$2:D36608)))</f>
        <v/>
      </c>
    </row>
    <row r="1048" spans="7:8" x14ac:dyDescent="0.2">
      <c r="G1048" t="str">
        <f>IF(C1048="","",(C1048/AVERAGE($C$2:C36609)))</f>
        <v/>
      </c>
      <c r="H1048" t="str">
        <f>IF(C1048="","",(C1048/MEDIAN($C$2:D36609)))</f>
        <v/>
      </c>
    </row>
    <row r="1049" spans="7:8" x14ac:dyDescent="0.2">
      <c r="G1049" t="str">
        <f>IF(C1049="","",(C1049/AVERAGE($C$2:C36610)))</f>
        <v/>
      </c>
      <c r="H1049" t="str">
        <f>IF(C1049="","",(C1049/MEDIAN($C$2:D36610)))</f>
        <v/>
      </c>
    </row>
    <row r="1050" spans="7:8" x14ac:dyDescent="0.2">
      <c r="G1050" t="str">
        <f>IF(C1050="","",(C1050/AVERAGE($C$2:C36611)))</f>
        <v/>
      </c>
      <c r="H1050" t="str">
        <f>IF(C1050="","",(C1050/MEDIAN($C$2:D36611)))</f>
        <v/>
      </c>
    </row>
    <row r="1051" spans="7:8" x14ac:dyDescent="0.2">
      <c r="G1051" t="str">
        <f>IF(C1051="","",(C1051/AVERAGE($C$2:C36612)))</f>
        <v/>
      </c>
      <c r="H1051" t="str">
        <f>IF(C1051="","",(C1051/MEDIAN($C$2:D36612)))</f>
        <v/>
      </c>
    </row>
    <row r="1052" spans="7:8" x14ac:dyDescent="0.2">
      <c r="G1052" t="str">
        <f>IF(C1052="","",(C1052/AVERAGE($C$2:C36613)))</f>
        <v/>
      </c>
      <c r="H1052" t="str">
        <f>IF(C1052="","",(C1052/MEDIAN($C$2:D36613)))</f>
        <v/>
      </c>
    </row>
    <row r="1053" spans="7:8" x14ac:dyDescent="0.2">
      <c r="G1053" t="str">
        <f>IF(C1053="","",(C1053/AVERAGE($C$2:C36614)))</f>
        <v/>
      </c>
      <c r="H1053" t="str">
        <f>IF(C1053="","",(C1053/MEDIAN($C$2:D36614)))</f>
        <v/>
      </c>
    </row>
    <row r="1054" spans="7:8" x14ac:dyDescent="0.2">
      <c r="G1054" t="str">
        <f>IF(C1054="","",(C1054/AVERAGE($C$2:C36615)))</f>
        <v/>
      </c>
      <c r="H1054" t="str">
        <f>IF(C1054="","",(C1054/MEDIAN($C$2:D36615)))</f>
        <v/>
      </c>
    </row>
    <row r="1055" spans="7:8" x14ac:dyDescent="0.2">
      <c r="G1055" t="str">
        <f>IF(C1055="","",(C1055/AVERAGE($C$2:C36616)))</f>
        <v/>
      </c>
      <c r="H1055" t="str">
        <f>IF(C1055="","",(C1055/MEDIAN($C$2:D36616)))</f>
        <v/>
      </c>
    </row>
    <row r="1056" spans="7:8" x14ac:dyDescent="0.2">
      <c r="G1056" t="str">
        <f>IF(C1056="","",(C1056/AVERAGE($C$2:C36617)))</f>
        <v/>
      </c>
      <c r="H1056" t="str">
        <f>IF(C1056="","",(C1056/MEDIAN($C$2:D36617)))</f>
        <v/>
      </c>
    </row>
    <row r="1057" spans="7:8" x14ac:dyDescent="0.2">
      <c r="G1057" t="str">
        <f>IF(C1057="","",(C1057/AVERAGE($C$2:C36618)))</f>
        <v/>
      </c>
      <c r="H1057" t="str">
        <f>IF(C1057="","",(C1057/MEDIAN($C$2:D36618)))</f>
        <v/>
      </c>
    </row>
    <row r="1058" spans="7:8" x14ac:dyDescent="0.2">
      <c r="G1058" t="str">
        <f>IF(C1058="","",(C1058/AVERAGE($C$2:C36619)))</f>
        <v/>
      </c>
      <c r="H1058" t="str">
        <f>IF(C1058="","",(C1058/MEDIAN($C$2:D36619)))</f>
        <v/>
      </c>
    </row>
    <row r="1059" spans="7:8" x14ac:dyDescent="0.2">
      <c r="G1059" t="str">
        <f>IF(C1059="","",(C1059/AVERAGE($C$2:C36620)))</f>
        <v/>
      </c>
      <c r="H1059" t="str">
        <f>IF(C1059="","",(C1059/MEDIAN($C$2:D36620)))</f>
        <v/>
      </c>
    </row>
    <row r="1060" spans="7:8" x14ac:dyDescent="0.2">
      <c r="G1060" t="str">
        <f>IF(C1060="","",(C1060/AVERAGE($C$2:C36621)))</f>
        <v/>
      </c>
      <c r="H1060" t="str">
        <f>IF(C1060="","",(C1060/MEDIAN($C$2:D36621)))</f>
        <v/>
      </c>
    </row>
    <row r="1061" spans="7:8" x14ac:dyDescent="0.2">
      <c r="G1061" t="str">
        <f>IF(C1061="","",(C1061/AVERAGE($C$2:C36622)))</f>
        <v/>
      </c>
      <c r="H1061" t="str">
        <f>IF(C1061="","",(C1061/MEDIAN($C$2:D36622)))</f>
        <v/>
      </c>
    </row>
    <row r="1062" spans="7:8" x14ac:dyDescent="0.2">
      <c r="G1062" t="str">
        <f>IF(C1062="","",(C1062/AVERAGE($C$2:C36623)))</f>
        <v/>
      </c>
      <c r="H1062" t="str">
        <f>IF(C1062="","",(C1062/MEDIAN($C$2:D36623)))</f>
        <v/>
      </c>
    </row>
    <row r="1063" spans="7:8" x14ac:dyDescent="0.2">
      <c r="G1063" t="str">
        <f>IF(C1063="","",(C1063/AVERAGE($C$2:C36624)))</f>
        <v/>
      </c>
      <c r="H1063" t="str">
        <f>IF(C1063="","",(C1063/MEDIAN($C$2:D36624)))</f>
        <v/>
      </c>
    </row>
    <row r="1064" spans="7:8" x14ac:dyDescent="0.2">
      <c r="G1064" t="str">
        <f>IF(C1064="","",(C1064/AVERAGE($C$2:C36625)))</f>
        <v/>
      </c>
      <c r="H1064" t="str">
        <f>IF(C1064="","",(C1064/MEDIAN($C$2:D36625)))</f>
        <v/>
      </c>
    </row>
    <row r="1065" spans="7:8" x14ac:dyDescent="0.2">
      <c r="G1065" t="str">
        <f>IF(C1065="","",(C1065/AVERAGE($C$2:C36626)))</f>
        <v/>
      </c>
      <c r="H1065" t="str">
        <f>IF(C1065="","",(C1065/MEDIAN($C$2:D36626)))</f>
        <v/>
      </c>
    </row>
    <row r="1066" spans="7:8" x14ac:dyDescent="0.2">
      <c r="G1066" t="str">
        <f>IF(C1066="","",(C1066/AVERAGE($C$2:C36627)))</f>
        <v/>
      </c>
      <c r="H1066" t="str">
        <f>IF(C1066="","",(C1066/MEDIAN($C$2:D36627)))</f>
        <v/>
      </c>
    </row>
    <row r="1067" spans="7:8" x14ac:dyDescent="0.2">
      <c r="G1067" t="str">
        <f>IF(C1067="","",(C1067/AVERAGE($C$2:C36628)))</f>
        <v/>
      </c>
      <c r="H1067" t="str">
        <f>IF(C1067="","",(C1067/MEDIAN($C$2:D36628)))</f>
        <v/>
      </c>
    </row>
    <row r="1068" spans="7:8" x14ac:dyDescent="0.2">
      <c r="G1068" t="str">
        <f>IF(C1068="","",(C1068/AVERAGE($C$2:C36629)))</f>
        <v/>
      </c>
      <c r="H1068" t="str">
        <f>IF(C1068="","",(C1068/MEDIAN($C$2:D36629)))</f>
        <v/>
      </c>
    </row>
    <row r="1069" spans="7:8" x14ac:dyDescent="0.2">
      <c r="G1069" t="str">
        <f>IF(C1069="","",(C1069/AVERAGE($C$2:C36630)))</f>
        <v/>
      </c>
      <c r="H1069" t="str">
        <f>IF(C1069="","",(C1069/MEDIAN($C$2:D36630)))</f>
        <v/>
      </c>
    </row>
    <row r="1070" spans="7:8" x14ac:dyDescent="0.2">
      <c r="G1070" t="str">
        <f>IF(C1070="","",(C1070/AVERAGE($C$2:C36631)))</f>
        <v/>
      </c>
      <c r="H1070" t="str">
        <f>IF(C1070="","",(C1070/MEDIAN($C$2:D36631)))</f>
        <v/>
      </c>
    </row>
    <row r="1071" spans="7:8" x14ac:dyDescent="0.2">
      <c r="G1071" t="str">
        <f>IF(C1071="","",(C1071/AVERAGE($C$2:C36632)))</f>
        <v/>
      </c>
      <c r="H1071" t="str">
        <f>IF(C1071="","",(C1071/MEDIAN($C$2:D36632)))</f>
        <v/>
      </c>
    </row>
    <row r="1072" spans="7:8" x14ac:dyDescent="0.2">
      <c r="G1072" t="str">
        <f>IF(C1072="","",(C1072/AVERAGE($C$2:C36633)))</f>
        <v/>
      </c>
      <c r="H1072" t="str">
        <f>IF(C1072="","",(C1072/MEDIAN($C$2:D36633)))</f>
        <v/>
      </c>
    </row>
    <row r="1073" spans="7:8" x14ac:dyDescent="0.2">
      <c r="G1073" t="str">
        <f>IF(C1073="","",(C1073/AVERAGE($C$2:C36634)))</f>
        <v/>
      </c>
      <c r="H1073" t="str">
        <f>IF(C1073="","",(C1073/MEDIAN($C$2:D36634)))</f>
        <v/>
      </c>
    </row>
    <row r="1074" spans="7:8" x14ac:dyDescent="0.2">
      <c r="G1074" t="str">
        <f>IF(C1074="","",(C1074/AVERAGE($C$2:C36635)))</f>
        <v/>
      </c>
      <c r="H1074" t="str">
        <f>IF(C1074="","",(C1074/MEDIAN($C$2:D36635)))</f>
        <v/>
      </c>
    </row>
    <row r="1075" spans="7:8" x14ac:dyDescent="0.2">
      <c r="G1075" t="str">
        <f>IF(C1075="","",(C1075/AVERAGE($C$2:C36636)))</f>
        <v/>
      </c>
      <c r="H1075" t="str">
        <f>IF(C1075="","",(C1075/MEDIAN($C$2:D36636)))</f>
        <v/>
      </c>
    </row>
    <row r="1076" spans="7:8" x14ac:dyDescent="0.2">
      <c r="G1076" t="str">
        <f>IF(C1076="","",(C1076/AVERAGE($C$2:C36637)))</f>
        <v/>
      </c>
      <c r="H1076" t="str">
        <f>IF(C1076="","",(C1076/MEDIAN($C$2:D36637)))</f>
        <v/>
      </c>
    </row>
    <row r="1077" spans="7:8" x14ac:dyDescent="0.2">
      <c r="G1077" t="str">
        <f>IF(C1077="","",(C1077/AVERAGE($C$2:C36638)))</f>
        <v/>
      </c>
      <c r="H1077" t="str">
        <f>IF(C1077="","",(C1077/MEDIAN($C$2:D36638)))</f>
        <v/>
      </c>
    </row>
    <row r="1078" spans="7:8" x14ac:dyDescent="0.2">
      <c r="G1078" t="str">
        <f>IF(C1078="","",(C1078/AVERAGE($C$2:C36639)))</f>
        <v/>
      </c>
      <c r="H1078" t="str">
        <f>IF(C1078="","",(C1078/MEDIAN($C$2:D36639)))</f>
        <v/>
      </c>
    </row>
    <row r="1079" spans="7:8" x14ac:dyDescent="0.2">
      <c r="G1079" t="str">
        <f>IF(C1079="","",(C1079/AVERAGE($C$2:C36640)))</f>
        <v/>
      </c>
      <c r="H1079" t="str">
        <f>IF(C1079="","",(C1079/MEDIAN($C$2:D36640)))</f>
        <v/>
      </c>
    </row>
    <row r="1080" spans="7:8" x14ac:dyDescent="0.2">
      <c r="G1080" t="str">
        <f>IF(C1080="","",(C1080/AVERAGE($C$2:C36641)))</f>
        <v/>
      </c>
      <c r="H1080" t="str">
        <f>IF(C1080="","",(C1080/MEDIAN($C$2:D36641)))</f>
        <v/>
      </c>
    </row>
    <row r="1081" spans="7:8" x14ac:dyDescent="0.2">
      <c r="G1081" t="str">
        <f>IF(C1081="","",(C1081/AVERAGE($C$2:C36642)))</f>
        <v/>
      </c>
      <c r="H1081" t="str">
        <f>IF(C1081="","",(C1081/MEDIAN($C$2:D36642)))</f>
        <v/>
      </c>
    </row>
    <row r="1082" spans="7:8" x14ac:dyDescent="0.2">
      <c r="G1082" t="str">
        <f>IF(C1082="","",(C1082/AVERAGE($C$2:C36643)))</f>
        <v/>
      </c>
      <c r="H1082" t="str">
        <f>IF(C1082="","",(C1082/MEDIAN($C$2:D36643)))</f>
        <v/>
      </c>
    </row>
    <row r="1083" spans="7:8" x14ac:dyDescent="0.2">
      <c r="G1083" t="str">
        <f>IF(C1083="","",(C1083/AVERAGE($C$2:C36644)))</f>
        <v/>
      </c>
      <c r="H1083" t="str">
        <f>IF(C1083="","",(C1083/MEDIAN($C$2:D36644)))</f>
        <v/>
      </c>
    </row>
    <row r="1084" spans="7:8" x14ac:dyDescent="0.2">
      <c r="G1084" t="str">
        <f>IF(C1084="","",(C1084/AVERAGE($C$2:C36645)))</f>
        <v/>
      </c>
      <c r="H1084" t="str">
        <f>IF(C1084="","",(C1084/MEDIAN($C$2:D36645)))</f>
        <v/>
      </c>
    </row>
    <row r="1085" spans="7:8" x14ac:dyDescent="0.2">
      <c r="G1085" t="str">
        <f>IF(C1085="","",(C1085/AVERAGE($C$2:C36646)))</f>
        <v/>
      </c>
      <c r="H1085" t="str">
        <f>IF(C1085="","",(C1085/MEDIAN($C$2:D36646)))</f>
        <v/>
      </c>
    </row>
    <row r="1086" spans="7:8" x14ac:dyDescent="0.2">
      <c r="G1086" t="str">
        <f>IF(C1086="","",(C1086/AVERAGE($C$2:C36647)))</f>
        <v/>
      </c>
      <c r="H1086" t="str">
        <f>IF(C1086="","",(C1086/MEDIAN($C$2:D36647)))</f>
        <v/>
      </c>
    </row>
    <row r="1087" spans="7:8" x14ac:dyDescent="0.2">
      <c r="G1087" t="str">
        <f>IF(C1087="","",(C1087/AVERAGE($C$2:C36648)))</f>
        <v/>
      </c>
      <c r="H1087" t="str">
        <f>IF(C1087="","",(C1087/MEDIAN($C$2:D36648)))</f>
        <v/>
      </c>
    </row>
    <row r="1088" spans="7:8" x14ac:dyDescent="0.2">
      <c r="G1088" t="str">
        <f>IF(C1088="","",(C1088/AVERAGE($C$2:C36649)))</f>
        <v/>
      </c>
      <c r="H1088" t="str">
        <f>IF(C1088="","",(C1088/MEDIAN($C$2:D36649)))</f>
        <v/>
      </c>
    </row>
    <row r="1089" spans="7:8" x14ac:dyDescent="0.2">
      <c r="G1089" t="str">
        <f>IF(C1089="","",(C1089/AVERAGE($C$2:C36650)))</f>
        <v/>
      </c>
      <c r="H1089" t="str">
        <f>IF(C1089="","",(C1089/MEDIAN($C$2:D36650)))</f>
        <v/>
      </c>
    </row>
    <row r="1090" spans="7:8" x14ac:dyDescent="0.2">
      <c r="G1090" t="str">
        <f>IF(C1090="","",(C1090/AVERAGE($C$2:C36651)))</f>
        <v/>
      </c>
      <c r="H1090" t="str">
        <f>IF(C1090="","",(C1090/MEDIAN($C$2:D36651)))</f>
        <v/>
      </c>
    </row>
    <row r="1091" spans="7:8" x14ac:dyDescent="0.2">
      <c r="G1091" t="str">
        <f>IF(C1091="","",(C1091/AVERAGE($C$2:C36652)))</f>
        <v/>
      </c>
      <c r="H1091" t="str">
        <f>IF(C1091="","",(C1091/MEDIAN($C$2:D36652)))</f>
        <v/>
      </c>
    </row>
    <row r="1092" spans="7:8" x14ac:dyDescent="0.2">
      <c r="G1092" t="str">
        <f>IF(C1092="","",(C1092/AVERAGE($C$2:C36653)))</f>
        <v/>
      </c>
      <c r="H1092" t="str">
        <f>IF(C1092="","",(C1092/MEDIAN($C$2:D36653)))</f>
        <v/>
      </c>
    </row>
    <row r="1093" spans="7:8" x14ac:dyDescent="0.2">
      <c r="G1093" t="str">
        <f>IF(C1093="","",(C1093/AVERAGE($C$2:C36654)))</f>
        <v/>
      </c>
      <c r="H1093" t="str">
        <f>IF(C1093="","",(C1093/MEDIAN($C$2:D36654)))</f>
        <v/>
      </c>
    </row>
    <row r="1094" spans="7:8" x14ac:dyDescent="0.2">
      <c r="G1094" t="str">
        <f>IF(C1094="","",(C1094/AVERAGE($C$2:C36655)))</f>
        <v/>
      </c>
      <c r="H1094" t="str">
        <f>IF(C1094="","",(C1094/MEDIAN($C$2:D36655)))</f>
        <v/>
      </c>
    </row>
    <row r="1095" spans="7:8" x14ac:dyDescent="0.2">
      <c r="G1095" t="str">
        <f>IF(C1095="","",(C1095/AVERAGE($C$2:C36656)))</f>
        <v/>
      </c>
      <c r="H1095" t="str">
        <f>IF(C1095="","",(C1095/MEDIAN($C$2:D36656)))</f>
        <v/>
      </c>
    </row>
    <row r="1096" spans="7:8" x14ac:dyDescent="0.2">
      <c r="G1096" t="str">
        <f>IF(C1096="","",(C1096/AVERAGE($C$2:C36657)))</f>
        <v/>
      </c>
      <c r="H1096" t="str">
        <f>IF(C1096="","",(C1096/MEDIAN($C$2:D36657)))</f>
        <v/>
      </c>
    </row>
    <row r="1097" spans="7:8" x14ac:dyDescent="0.2">
      <c r="G1097" t="str">
        <f>IF(C1097="","",(C1097/AVERAGE($C$2:C36658)))</f>
        <v/>
      </c>
      <c r="H1097" t="str">
        <f>IF(C1097="","",(C1097/MEDIAN($C$2:D36658)))</f>
        <v/>
      </c>
    </row>
    <row r="1098" spans="7:8" x14ac:dyDescent="0.2">
      <c r="G1098" t="str">
        <f>IF(C1098="","",(C1098/AVERAGE($C$2:C36659)))</f>
        <v/>
      </c>
      <c r="H1098" t="str">
        <f>IF(C1098="","",(C1098/MEDIAN($C$2:D36659)))</f>
        <v/>
      </c>
    </row>
    <row r="1099" spans="7:8" x14ac:dyDescent="0.2">
      <c r="G1099" t="str">
        <f>IF(C1099="","",(C1099/AVERAGE($C$2:C36660)))</f>
        <v/>
      </c>
      <c r="H1099" t="str">
        <f>IF(C1099="","",(C1099/MEDIAN($C$2:D36660)))</f>
        <v/>
      </c>
    </row>
    <row r="1100" spans="7:8" x14ac:dyDescent="0.2">
      <c r="G1100" t="str">
        <f>IF(C1100="","",(C1100/AVERAGE($C$2:C36661)))</f>
        <v/>
      </c>
      <c r="H1100" t="str">
        <f>IF(C1100="","",(C1100/MEDIAN($C$2:D36661)))</f>
        <v/>
      </c>
    </row>
    <row r="1101" spans="7:8" x14ac:dyDescent="0.2">
      <c r="G1101" t="str">
        <f>IF(C1101="","",(C1101/AVERAGE($C$2:C36662)))</f>
        <v/>
      </c>
      <c r="H1101" t="str">
        <f>IF(C1101="","",(C1101/MEDIAN($C$2:D36662)))</f>
        <v/>
      </c>
    </row>
    <row r="1102" spans="7:8" x14ac:dyDescent="0.2">
      <c r="G1102" t="str">
        <f>IF(C1102="","",(C1102/AVERAGE($C$2:C36663)))</f>
        <v/>
      </c>
      <c r="H1102" t="str">
        <f>IF(C1102="","",(C1102/MEDIAN($C$2:D36663)))</f>
        <v/>
      </c>
    </row>
    <row r="1103" spans="7:8" x14ac:dyDescent="0.2">
      <c r="G1103" t="str">
        <f>IF(C1103="","",(C1103/AVERAGE($C$2:C36664)))</f>
        <v/>
      </c>
      <c r="H1103" t="str">
        <f>IF(C1103="","",(C1103/MEDIAN($C$2:D36664)))</f>
        <v/>
      </c>
    </row>
    <row r="1104" spans="7:8" x14ac:dyDescent="0.2">
      <c r="G1104" t="str">
        <f>IF(C1104="","",(C1104/AVERAGE($C$2:C36665)))</f>
        <v/>
      </c>
      <c r="H1104" t="str">
        <f>IF(C1104="","",(C1104/MEDIAN($C$2:D36665)))</f>
        <v/>
      </c>
    </row>
    <row r="1105" spans="7:8" x14ac:dyDescent="0.2">
      <c r="G1105" t="str">
        <f>IF(C1105="","",(C1105/AVERAGE($C$2:C36666)))</f>
        <v/>
      </c>
      <c r="H1105" t="str">
        <f>IF(C1105="","",(C1105/MEDIAN($C$2:D36666)))</f>
        <v/>
      </c>
    </row>
    <row r="1106" spans="7:8" x14ac:dyDescent="0.2">
      <c r="G1106" t="str">
        <f>IF(C1106="","",(C1106/AVERAGE($C$2:C36667)))</f>
        <v/>
      </c>
      <c r="H1106" t="str">
        <f>IF(C1106="","",(C1106/MEDIAN($C$2:D36667)))</f>
        <v/>
      </c>
    </row>
    <row r="1107" spans="7:8" x14ac:dyDescent="0.2">
      <c r="G1107" t="str">
        <f>IF(C1107="","",(C1107/AVERAGE($C$2:C36668)))</f>
        <v/>
      </c>
      <c r="H1107" t="str">
        <f>IF(C1107="","",(C1107/MEDIAN($C$2:D36668)))</f>
        <v/>
      </c>
    </row>
    <row r="1108" spans="7:8" x14ac:dyDescent="0.2">
      <c r="G1108" t="str">
        <f>IF(C1108="","",(C1108/AVERAGE($C$2:C36669)))</f>
        <v/>
      </c>
      <c r="H1108" t="str">
        <f>IF(C1108="","",(C1108/MEDIAN($C$2:D36669)))</f>
        <v/>
      </c>
    </row>
    <row r="1109" spans="7:8" x14ac:dyDescent="0.2">
      <c r="G1109" t="str">
        <f>IF(C1109="","",(C1109/AVERAGE($C$2:C36670)))</f>
        <v/>
      </c>
      <c r="H1109" t="str">
        <f>IF(C1109="","",(C1109/MEDIAN($C$2:D36670)))</f>
        <v/>
      </c>
    </row>
    <row r="1110" spans="7:8" x14ac:dyDescent="0.2">
      <c r="G1110" t="str">
        <f>IF(C1110="","",(C1110/AVERAGE($C$2:C36671)))</f>
        <v/>
      </c>
      <c r="H1110" t="str">
        <f>IF(C1110="","",(C1110/MEDIAN($C$2:D36671)))</f>
        <v/>
      </c>
    </row>
    <row r="1111" spans="7:8" x14ac:dyDescent="0.2">
      <c r="G1111" t="str">
        <f>IF(C1111="","",(C1111/AVERAGE($C$2:C36672)))</f>
        <v/>
      </c>
      <c r="H1111" t="str">
        <f>IF(C1111="","",(C1111/MEDIAN($C$2:D36672)))</f>
        <v/>
      </c>
    </row>
    <row r="1112" spans="7:8" x14ac:dyDescent="0.2">
      <c r="G1112" t="str">
        <f>IF(C1112="","",(C1112/AVERAGE($C$2:C36673)))</f>
        <v/>
      </c>
      <c r="H1112" t="str">
        <f>IF(C1112="","",(C1112/MEDIAN($C$2:D36673)))</f>
        <v/>
      </c>
    </row>
    <row r="1113" spans="7:8" x14ac:dyDescent="0.2">
      <c r="G1113" t="str">
        <f>IF(C1113="","",(C1113/AVERAGE($C$2:C36674)))</f>
        <v/>
      </c>
      <c r="H1113" t="str">
        <f>IF(C1113="","",(C1113/MEDIAN($C$2:D36674)))</f>
        <v/>
      </c>
    </row>
    <row r="1114" spans="7:8" x14ac:dyDescent="0.2">
      <c r="G1114" t="str">
        <f>IF(C1114="","",(C1114/AVERAGE($C$2:C36675)))</f>
        <v/>
      </c>
      <c r="H1114" t="str">
        <f>IF(C1114="","",(C1114/MEDIAN($C$2:D36675)))</f>
        <v/>
      </c>
    </row>
    <row r="1115" spans="7:8" x14ac:dyDescent="0.2">
      <c r="G1115" t="str">
        <f>IF(C1115="","",(C1115/AVERAGE($C$2:C36676)))</f>
        <v/>
      </c>
      <c r="H1115" t="str">
        <f>IF(C1115="","",(C1115/MEDIAN($C$2:D36676)))</f>
        <v/>
      </c>
    </row>
    <row r="1116" spans="7:8" x14ac:dyDescent="0.2">
      <c r="G1116" t="str">
        <f>IF(C1116="","",(C1116/AVERAGE($C$2:C36677)))</f>
        <v/>
      </c>
      <c r="H1116" t="str">
        <f>IF(C1116="","",(C1116/MEDIAN($C$2:D36677)))</f>
        <v/>
      </c>
    </row>
    <row r="1117" spans="7:8" x14ac:dyDescent="0.2">
      <c r="G1117" t="str">
        <f>IF(C1117="","",(C1117/AVERAGE($C$2:C36678)))</f>
        <v/>
      </c>
      <c r="H1117" t="str">
        <f>IF(C1117="","",(C1117/MEDIAN($C$2:D36678)))</f>
        <v/>
      </c>
    </row>
    <row r="1118" spans="7:8" x14ac:dyDescent="0.2">
      <c r="G1118" t="str">
        <f>IF(C1118="","",(C1118/AVERAGE($C$2:C36679)))</f>
        <v/>
      </c>
      <c r="H1118" t="str">
        <f>IF(C1118="","",(C1118/MEDIAN($C$2:D36679)))</f>
        <v/>
      </c>
    </row>
    <row r="1119" spans="7:8" x14ac:dyDescent="0.2">
      <c r="G1119" t="str">
        <f>IF(C1119="","",(C1119/AVERAGE($C$2:C36680)))</f>
        <v/>
      </c>
      <c r="H1119" t="str">
        <f>IF(C1119="","",(C1119/MEDIAN($C$2:D36680)))</f>
        <v/>
      </c>
    </row>
    <row r="1120" spans="7:8" x14ac:dyDescent="0.2">
      <c r="G1120" t="str">
        <f>IF(C1120="","",(C1120/AVERAGE($C$2:C36681)))</f>
        <v/>
      </c>
      <c r="H1120" t="str">
        <f>IF(C1120="","",(C1120/MEDIAN($C$2:D36681)))</f>
        <v/>
      </c>
    </row>
    <row r="1121" spans="7:8" x14ac:dyDescent="0.2">
      <c r="G1121" t="str">
        <f>IF(C1121="","",(C1121/AVERAGE($C$2:C36682)))</f>
        <v/>
      </c>
      <c r="H1121" t="str">
        <f>IF(C1121="","",(C1121/MEDIAN($C$2:D36682)))</f>
        <v/>
      </c>
    </row>
    <row r="1122" spans="7:8" x14ac:dyDescent="0.2">
      <c r="G1122" t="str">
        <f>IF(C1122="","",(C1122/AVERAGE($C$2:C36683)))</f>
        <v/>
      </c>
      <c r="H1122" t="str">
        <f>IF(C1122="","",(C1122/MEDIAN($C$2:D36683)))</f>
        <v/>
      </c>
    </row>
    <row r="1123" spans="7:8" x14ac:dyDescent="0.2">
      <c r="G1123" t="str">
        <f>IF(C1123="","",(C1123/AVERAGE($C$2:C36684)))</f>
        <v/>
      </c>
      <c r="H1123" t="str">
        <f>IF(C1123="","",(C1123/MEDIAN($C$2:D36684)))</f>
        <v/>
      </c>
    </row>
    <row r="1124" spans="7:8" x14ac:dyDescent="0.2">
      <c r="G1124" t="str">
        <f>IF(C1124="","",(C1124/AVERAGE($C$2:C36685)))</f>
        <v/>
      </c>
      <c r="H1124" t="str">
        <f>IF(C1124="","",(C1124/MEDIAN($C$2:D36685)))</f>
        <v/>
      </c>
    </row>
    <row r="1125" spans="7:8" x14ac:dyDescent="0.2">
      <c r="G1125" t="str">
        <f>IF(C1125="","",(C1125/AVERAGE($C$2:C36686)))</f>
        <v/>
      </c>
      <c r="H1125" t="str">
        <f>IF(C1125="","",(C1125/MEDIAN($C$2:D36686)))</f>
        <v/>
      </c>
    </row>
    <row r="1126" spans="7:8" x14ac:dyDescent="0.2">
      <c r="G1126" t="str">
        <f>IF(C1126="","",(C1126/AVERAGE($C$2:C36687)))</f>
        <v/>
      </c>
      <c r="H1126" t="str">
        <f>IF(C1126="","",(C1126/MEDIAN($C$2:D36687)))</f>
        <v/>
      </c>
    </row>
    <row r="1127" spans="7:8" x14ac:dyDescent="0.2">
      <c r="G1127" t="str">
        <f>IF(C1127="","",(C1127/AVERAGE($C$2:C36688)))</f>
        <v/>
      </c>
      <c r="H1127" t="str">
        <f>IF(C1127="","",(C1127/MEDIAN($C$2:D36688)))</f>
        <v/>
      </c>
    </row>
    <row r="1128" spans="7:8" x14ac:dyDescent="0.2">
      <c r="G1128" t="str">
        <f>IF(C1128="","",(C1128/AVERAGE($C$2:C36689)))</f>
        <v/>
      </c>
      <c r="H1128" t="str">
        <f>IF(C1128="","",(C1128/MEDIAN($C$2:D36689)))</f>
        <v/>
      </c>
    </row>
    <row r="1129" spans="7:8" x14ac:dyDescent="0.2">
      <c r="G1129" t="str">
        <f>IF(C1129="","",(C1129/AVERAGE($C$2:C36690)))</f>
        <v/>
      </c>
      <c r="H1129" t="str">
        <f>IF(C1129="","",(C1129/MEDIAN($C$2:D36690)))</f>
        <v/>
      </c>
    </row>
    <row r="1130" spans="7:8" x14ac:dyDescent="0.2">
      <c r="G1130" t="str">
        <f>IF(C1130="","",(C1130/AVERAGE($C$2:C36691)))</f>
        <v/>
      </c>
      <c r="H1130" t="str">
        <f>IF(C1130="","",(C1130/MEDIAN($C$2:D36691)))</f>
        <v/>
      </c>
    </row>
    <row r="1131" spans="7:8" x14ac:dyDescent="0.2">
      <c r="G1131" t="str">
        <f>IF(C1131="","",(C1131/AVERAGE($C$2:C36692)))</f>
        <v/>
      </c>
      <c r="H1131" t="str">
        <f>IF(C1131="","",(C1131/MEDIAN($C$2:D36692)))</f>
        <v/>
      </c>
    </row>
    <row r="1132" spans="7:8" x14ac:dyDescent="0.2">
      <c r="G1132" t="str">
        <f>IF(C1132="","",(C1132/AVERAGE($C$2:C36693)))</f>
        <v/>
      </c>
      <c r="H1132" t="str">
        <f>IF(C1132="","",(C1132/MEDIAN($C$2:D36693)))</f>
        <v/>
      </c>
    </row>
    <row r="1133" spans="7:8" x14ac:dyDescent="0.2">
      <c r="G1133" t="str">
        <f>IF(C1133="","",(C1133/AVERAGE($C$2:C36694)))</f>
        <v/>
      </c>
      <c r="H1133" t="str">
        <f>IF(C1133="","",(C1133/MEDIAN($C$2:D36694)))</f>
        <v/>
      </c>
    </row>
    <row r="1134" spans="7:8" x14ac:dyDescent="0.2">
      <c r="G1134" t="str">
        <f>IF(C1134="","",(C1134/AVERAGE($C$2:C36695)))</f>
        <v/>
      </c>
      <c r="H1134" t="str">
        <f>IF(C1134="","",(C1134/MEDIAN($C$2:D36695)))</f>
        <v/>
      </c>
    </row>
    <row r="1135" spans="7:8" x14ac:dyDescent="0.2">
      <c r="G1135" t="str">
        <f>IF(C1135="","",(C1135/AVERAGE($C$2:C36696)))</f>
        <v/>
      </c>
      <c r="H1135" t="str">
        <f>IF(C1135="","",(C1135/MEDIAN($C$2:D36696)))</f>
        <v/>
      </c>
    </row>
    <row r="1136" spans="7:8" x14ac:dyDescent="0.2">
      <c r="G1136" t="str">
        <f>IF(C1136="","",(C1136/AVERAGE($C$2:C36697)))</f>
        <v/>
      </c>
      <c r="H1136" t="str">
        <f>IF(C1136="","",(C1136/MEDIAN($C$2:D36697)))</f>
        <v/>
      </c>
    </row>
    <row r="1137" spans="7:8" x14ac:dyDescent="0.2">
      <c r="G1137" t="str">
        <f>IF(C1137="","",(C1137/AVERAGE($C$2:C36698)))</f>
        <v/>
      </c>
      <c r="H1137" t="str">
        <f>IF(C1137="","",(C1137/MEDIAN($C$2:D36698)))</f>
        <v/>
      </c>
    </row>
    <row r="1138" spans="7:8" x14ac:dyDescent="0.2">
      <c r="G1138" t="str">
        <f>IF(C1138="","",(C1138/AVERAGE($C$2:C36699)))</f>
        <v/>
      </c>
      <c r="H1138" t="str">
        <f>IF(C1138="","",(C1138/MEDIAN($C$2:D36699)))</f>
        <v/>
      </c>
    </row>
    <row r="1139" spans="7:8" x14ac:dyDescent="0.2">
      <c r="G1139" t="str">
        <f>IF(C1139="","",(C1139/AVERAGE($C$2:C36700)))</f>
        <v/>
      </c>
      <c r="H1139" t="str">
        <f>IF(C1139="","",(C1139/MEDIAN($C$2:D36700)))</f>
        <v/>
      </c>
    </row>
    <row r="1140" spans="7:8" x14ac:dyDescent="0.2">
      <c r="G1140" t="str">
        <f>IF(C1140="","",(C1140/AVERAGE($C$2:C36701)))</f>
        <v/>
      </c>
      <c r="H1140" t="str">
        <f>IF(C1140="","",(C1140/MEDIAN($C$2:D36701)))</f>
        <v/>
      </c>
    </row>
    <row r="1141" spans="7:8" x14ac:dyDescent="0.2">
      <c r="G1141" t="str">
        <f>IF(C1141="","",(C1141/AVERAGE($C$2:C36702)))</f>
        <v/>
      </c>
      <c r="H1141" t="str">
        <f>IF(C1141="","",(C1141/MEDIAN($C$2:D36702)))</f>
        <v/>
      </c>
    </row>
    <row r="1142" spans="7:8" x14ac:dyDescent="0.2">
      <c r="G1142" t="str">
        <f>IF(C1142="","",(C1142/AVERAGE($C$2:C36703)))</f>
        <v/>
      </c>
      <c r="H1142" t="str">
        <f>IF(C1142="","",(C1142/MEDIAN($C$2:D36703)))</f>
        <v/>
      </c>
    </row>
    <row r="1143" spans="7:8" x14ac:dyDescent="0.2">
      <c r="G1143" t="str">
        <f>IF(C1143="","",(C1143/AVERAGE($C$2:C36704)))</f>
        <v/>
      </c>
      <c r="H1143" t="str">
        <f>IF(C1143="","",(C1143/MEDIAN($C$2:D36704)))</f>
        <v/>
      </c>
    </row>
    <row r="1144" spans="7:8" x14ac:dyDescent="0.2">
      <c r="G1144" t="str">
        <f>IF(C1144="","",(C1144/AVERAGE($C$2:C36705)))</f>
        <v/>
      </c>
      <c r="H1144" t="str">
        <f>IF(C1144="","",(C1144/MEDIAN($C$2:D36705)))</f>
        <v/>
      </c>
    </row>
    <row r="1145" spans="7:8" x14ac:dyDescent="0.2">
      <c r="G1145" t="str">
        <f>IF(C1145="","",(C1145/AVERAGE($C$2:C36706)))</f>
        <v/>
      </c>
      <c r="H1145" t="str">
        <f>IF(C1145="","",(C1145/MEDIAN($C$2:D36706)))</f>
        <v/>
      </c>
    </row>
    <row r="1146" spans="7:8" x14ac:dyDescent="0.2">
      <c r="G1146" t="str">
        <f>IF(C1146="","",(C1146/AVERAGE($C$2:C36707)))</f>
        <v/>
      </c>
      <c r="H1146" t="str">
        <f>IF(C1146="","",(C1146/MEDIAN($C$2:D36707)))</f>
        <v/>
      </c>
    </row>
    <row r="1147" spans="7:8" x14ac:dyDescent="0.2">
      <c r="G1147" t="str">
        <f>IF(C1147="","",(C1147/AVERAGE($C$2:C36708)))</f>
        <v/>
      </c>
      <c r="H1147" t="str">
        <f>IF(C1147="","",(C1147/MEDIAN($C$2:D36708)))</f>
        <v/>
      </c>
    </row>
    <row r="1148" spans="7:8" x14ac:dyDescent="0.2">
      <c r="G1148" t="str">
        <f>IF(C1148="","",(C1148/AVERAGE($C$2:C36709)))</f>
        <v/>
      </c>
      <c r="H1148" t="str">
        <f>IF(C1148="","",(C1148/MEDIAN($C$2:D36709)))</f>
        <v/>
      </c>
    </row>
    <row r="1149" spans="7:8" x14ac:dyDescent="0.2">
      <c r="G1149" t="str">
        <f>IF(C1149="","",(C1149/AVERAGE($C$2:C36710)))</f>
        <v/>
      </c>
      <c r="H1149" t="str">
        <f>IF(C1149="","",(C1149/MEDIAN($C$2:D36710)))</f>
        <v/>
      </c>
    </row>
    <row r="1150" spans="7:8" x14ac:dyDescent="0.2">
      <c r="G1150" t="str">
        <f>IF(C1150="","",(C1150/AVERAGE($C$2:C36711)))</f>
        <v/>
      </c>
      <c r="H1150" t="str">
        <f>IF(C1150="","",(C1150/MEDIAN($C$2:D36711)))</f>
        <v/>
      </c>
    </row>
    <row r="1151" spans="7:8" x14ac:dyDescent="0.2">
      <c r="G1151" t="str">
        <f>IF(C1151="","",(C1151/AVERAGE($C$2:C36712)))</f>
        <v/>
      </c>
      <c r="H1151" t="str">
        <f>IF(C1151="","",(C1151/MEDIAN($C$2:D36712)))</f>
        <v/>
      </c>
    </row>
    <row r="1152" spans="7:8" x14ac:dyDescent="0.2">
      <c r="G1152" t="str">
        <f>IF(C1152="","",(C1152/AVERAGE($C$2:C36713)))</f>
        <v/>
      </c>
      <c r="H1152" t="str">
        <f>IF(C1152="","",(C1152/MEDIAN($C$2:D36713)))</f>
        <v/>
      </c>
    </row>
    <row r="1153" spans="7:8" x14ac:dyDescent="0.2">
      <c r="G1153" t="str">
        <f>IF(C1153="","",(C1153/AVERAGE($C$2:C36714)))</f>
        <v/>
      </c>
      <c r="H1153" t="str">
        <f>IF(C1153="","",(C1153/MEDIAN($C$2:D36714)))</f>
        <v/>
      </c>
    </row>
    <row r="1154" spans="7:8" x14ac:dyDescent="0.2">
      <c r="G1154" t="str">
        <f>IF(C1154="","",(C1154/AVERAGE($C$2:C36715)))</f>
        <v/>
      </c>
      <c r="H1154" t="str">
        <f>IF(C1154="","",(C1154/MEDIAN($C$2:D36715)))</f>
        <v/>
      </c>
    </row>
    <row r="1155" spans="7:8" x14ac:dyDescent="0.2">
      <c r="G1155" t="str">
        <f>IF(C1155="","",(C1155/AVERAGE($C$2:C36716)))</f>
        <v/>
      </c>
      <c r="H1155" t="str">
        <f>IF(C1155="","",(C1155/MEDIAN($C$2:D36716)))</f>
        <v/>
      </c>
    </row>
    <row r="1156" spans="7:8" x14ac:dyDescent="0.2">
      <c r="G1156" t="str">
        <f>IF(C1156="","",(C1156/AVERAGE($C$2:C36717)))</f>
        <v/>
      </c>
      <c r="H1156" t="str">
        <f>IF(C1156="","",(C1156/MEDIAN($C$2:D36717)))</f>
        <v/>
      </c>
    </row>
    <row r="1157" spans="7:8" x14ac:dyDescent="0.2">
      <c r="G1157" t="str">
        <f>IF(C1157="","",(C1157/AVERAGE($C$2:C36718)))</f>
        <v/>
      </c>
      <c r="H1157" t="str">
        <f>IF(C1157="","",(C1157/MEDIAN($C$2:D36718)))</f>
        <v/>
      </c>
    </row>
    <row r="1158" spans="7:8" x14ac:dyDescent="0.2">
      <c r="G1158" t="str">
        <f>IF(C1158="","",(C1158/AVERAGE($C$2:C36719)))</f>
        <v/>
      </c>
      <c r="H1158" t="str">
        <f>IF(C1158="","",(C1158/MEDIAN($C$2:D36719)))</f>
        <v/>
      </c>
    </row>
    <row r="1159" spans="7:8" x14ac:dyDescent="0.2">
      <c r="G1159" t="str">
        <f>IF(C1159="","",(C1159/AVERAGE($C$2:C36720)))</f>
        <v/>
      </c>
      <c r="H1159" t="str">
        <f>IF(C1159="","",(C1159/MEDIAN($C$2:D36720)))</f>
        <v/>
      </c>
    </row>
    <row r="1160" spans="7:8" x14ac:dyDescent="0.2">
      <c r="G1160" t="str">
        <f>IF(C1160="","",(C1160/AVERAGE($C$2:C36721)))</f>
        <v/>
      </c>
      <c r="H1160" t="str">
        <f>IF(C1160="","",(C1160/MEDIAN($C$2:D36721)))</f>
        <v/>
      </c>
    </row>
    <row r="1161" spans="7:8" x14ac:dyDescent="0.2">
      <c r="G1161" t="str">
        <f>IF(C1161="","",(C1161/AVERAGE($C$2:C36722)))</f>
        <v/>
      </c>
      <c r="H1161" t="str">
        <f>IF(C1161="","",(C1161/MEDIAN($C$2:D36722)))</f>
        <v/>
      </c>
    </row>
    <row r="1162" spans="7:8" x14ac:dyDescent="0.2">
      <c r="G1162" t="str">
        <f>IF(C1162="","",(C1162/AVERAGE($C$2:C36723)))</f>
        <v/>
      </c>
      <c r="H1162" t="str">
        <f>IF(C1162="","",(C1162/MEDIAN($C$2:D36723)))</f>
        <v/>
      </c>
    </row>
    <row r="1163" spans="7:8" x14ac:dyDescent="0.2">
      <c r="G1163" t="str">
        <f>IF(C1163="","",(C1163/AVERAGE($C$2:C36724)))</f>
        <v/>
      </c>
      <c r="H1163" t="str">
        <f>IF(C1163="","",(C1163/MEDIAN($C$2:D36724)))</f>
        <v/>
      </c>
    </row>
    <row r="1164" spans="7:8" x14ac:dyDescent="0.2">
      <c r="G1164" t="str">
        <f>IF(C1164="","",(C1164/AVERAGE($C$2:C36725)))</f>
        <v/>
      </c>
      <c r="H1164" t="str">
        <f>IF(C1164="","",(C1164/MEDIAN($C$2:D36725)))</f>
        <v/>
      </c>
    </row>
    <row r="1165" spans="7:8" x14ac:dyDescent="0.2">
      <c r="G1165" t="str">
        <f>IF(C1165="","",(C1165/AVERAGE($C$2:C36726)))</f>
        <v/>
      </c>
      <c r="H1165" t="str">
        <f>IF(C1165="","",(C1165/MEDIAN($C$2:D36726)))</f>
        <v/>
      </c>
    </row>
    <row r="1166" spans="7:8" x14ac:dyDescent="0.2">
      <c r="G1166" t="str">
        <f>IF(C1166="","",(C1166/AVERAGE($C$2:C36727)))</f>
        <v/>
      </c>
      <c r="H1166" t="str">
        <f>IF(C1166="","",(C1166/MEDIAN($C$2:D36727)))</f>
        <v/>
      </c>
    </row>
    <row r="1167" spans="7:8" x14ac:dyDescent="0.2">
      <c r="G1167" t="str">
        <f>IF(C1167="","",(C1167/AVERAGE($C$2:C36728)))</f>
        <v/>
      </c>
      <c r="H1167" t="str">
        <f>IF(C1167="","",(C1167/MEDIAN($C$2:D36728)))</f>
        <v/>
      </c>
    </row>
    <row r="1168" spans="7:8" x14ac:dyDescent="0.2">
      <c r="G1168" t="str">
        <f>IF(C1168="","",(C1168/AVERAGE($C$2:C36729)))</f>
        <v/>
      </c>
      <c r="H1168" t="str">
        <f>IF(C1168="","",(C1168/MEDIAN($C$2:D36729)))</f>
        <v/>
      </c>
    </row>
    <row r="1169" spans="7:8" x14ac:dyDescent="0.2">
      <c r="G1169" t="str">
        <f>IF(C1169="","",(C1169/AVERAGE($C$2:C36730)))</f>
        <v/>
      </c>
      <c r="H1169" t="str">
        <f>IF(C1169="","",(C1169/MEDIAN($C$2:D36730)))</f>
        <v/>
      </c>
    </row>
    <row r="1170" spans="7:8" x14ac:dyDescent="0.2">
      <c r="G1170" t="str">
        <f>IF(C1170="","",(C1170/AVERAGE($C$2:C36731)))</f>
        <v/>
      </c>
      <c r="H1170" t="str">
        <f>IF(C1170="","",(C1170/MEDIAN($C$2:D36731)))</f>
        <v/>
      </c>
    </row>
    <row r="1171" spans="7:8" x14ac:dyDescent="0.2">
      <c r="G1171" t="str">
        <f>IF(C1171="","",(C1171/AVERAGE($C$2:C36732)))</f>
        <v/>
      </c>
      <c r="H1171" t="str">
        <f>IF(C1171="","",(C1171/MEDIAN($C$2:D36732)))</f>
        <v/>
      </c>
    </row>
    <row r="1172" spans="7:8" x14ac:dyDescent="0.2">
      <c r="G1172" t="str">
        <f>IF(C1172="","",(C1172/AVERAGE($C$2:C36733)))</f>
        <v/>
      </c>
      <c r="H1172" t="str">
        <f>IF(C1172="","",(C1172/MEDIAN($C$2:D36733)))</f>
        <v/>
      </c>
    </row>
    <row r="1173" spans="7:8" x14ac:dyDescent="0.2">
      <c r="G1173" t="str">
        <f>IF(C1173="","",(C1173/AVERAGE($C$2:C36734)))</f>
        <v/>
      </c>
      <c r="H1173" t="str">
        <f>IF(C1173="","",(C1173/MEDIAN($C$2:D36734)))</f>
        <v/>
      </c>
    </row>
    <row r="1174" spans="7:8" x14ac:dyDescent="0.2">
      <c r="G1174" t="str">
        <f>IF(C1174="","",(C1174/AVERAGE($C$2:C36735)))</f>
        <v/>
      </c>
      <c r="H1174" t="str">
        <f>IF(C1174="","",(C1174/MEDIAN($C$2:D36735)))</f>
        <v/>
      </c>
    </row>
    <row r="1175" spans="7:8" x14ac:dyDescent="0.2">
      <c r="G1175" t="str">
        <f>IF(C1175="","",(C1175/AVERAGE($C$2:C36736)))</f>
        <v/>
      </c>
      <c r="H1175" t="str">
        <f>IF(C1175="","",(C1175/MEDIAN($C$2:D36736)))</f>
        <v/>
      </c>
    </row>
    <row r="1176" spans="7:8" x14ac:dyDescent="0.2">
      <c r="G1176" t="str">
        <f>IF(C1176="","",(C1176/AVERAGE($C$2:C36737)))</f>
        <v/>
      </c>
      <c r="H1176" t="str">
        <f>IF(C1176="","",(C1176/MEDIAN($C$2:D36737)))</f>
        <v/>
      </c>
    </row>
    <row r="1177" spans="7:8" x14ac:dyDescent="0.2">
      <c r="G1177" t="str">
        <f>IF(C1177="","",(C1177/AVERAGE($C$2:C36738)))</f>
        <v/>
      </c>
      <c r="H1177" t="str">
        <f>IF(C1177="","",(C1177/MEDIAN($C$2:D36738)))</f>
        <v/>
      </c>
    </row>
    <row r="1178" spans="7:8" x14ac:dyDescent="0.2">
      <c r="G1178" t="str">
        <f>IF(C1178="","",(C1178/AVERAGE($C$2:C36739)))</f>
        <v/>
      </c>
      <c r="H1178" t="str">
        <f>IF(C1178="","",(C1178/MEDIAN($C$2:D36739)))</f>
        <v/>
      </c>
    </row>
    <row r="1179" spans="7:8" x14ac:dyDescent="0.2">
      <c r="G1179" t="str">
        <f>IF(C1179="","",(C1179/AVERAGE($C$2:C36740)))</f>
        <v/>
      </c>
      <c r="H1179" t="str">
        <f>IF(C1179="","",(C1179/MEDIAN($C$2:D36740)))</f>
        <v/>
      </c>
    </row>
    <row r="1180" spans="7:8" x14ac:dyDescent="0.2">
      <c r="G1180" t="str">
        <f>IF(C1180="","",(C1180/AVERAGE($C$2:C36741)))</f>
        <v/>
      </c>
      <c r="H1180" t="str">
        <f>IF(C1180="","",(C1180/MEDIAN($C$2:D36741)))</f>
        <v/>
      </c>
    </row>
    <row r="1181" spans="7:8" x14ac:dyDescent="0.2">
      <c r="G1181" t="str">
        <f>IF(C1181="","",(C1181/AVERAGE($C$2:C36742)))</f>
        <v/>
      </c>
      <c r="H1181" t="str">
        <f>IF(C1181="","",(C1181/MEDIAN($C$2:D36742)))</f>
        <v/>
      </c>
    </row>
    <row r="1182" spans="7:8" x14ac:dyDescent="0.2">
      <c r="G1182" t="str">
        <f>IF(C1182="","",(C1182/AVERAGE($C$2:C36743)))</f>
        <v/>
      </c>
      <c r="H1182" t="str">
        <f>IF(C1182="","",(C1182/MEDIAN($C$2:D36743)))</f>
        <v/>
      </c>
    </row>
    <row r="1183" spans="7:8" x14ac:dyDescent="0.2">
      <c r="G1183" t="str">
        <f>IF(C1183="","",(C1183/AVERAGE($C$2:C36744)))</f>
        <v/>
      </c>
      <c r="H1183" t="str">
        <f>IF(C1183="","",(C1183/MEDIAN($C$2:D36744)))</f>
        <v/>
      </c>
    </row>
    <row r="1184" spans="7:8" x14ac:dyDescent="0.2">
      <c r="G1184" t="str">
        <f>IF(C1184="","",(C1184/AVERAGE($C$2:C36745)))</f>
        <v/>
      </c>
      <c r="H1184" t="str">
        <f>IF(C1184="","",(C1184/MEDIAN($C$2:D36745)))</f>
        <v/>
      </c>
    </row>
    <row r="1185" spans="7:8" x14ac:dyDescent="0.2">
      <c r="G1185" t="str">
        <f>IF(C1185="","",(C1185/AVERAGE($C$2:C36746)))</f>
        <v/>
      </c>
      <c r="H1185" t="str">
        <f>IF(C1185="","",(C1185/MEDIAN($C$2:D36746)))</f>
        <v/>
      </c>
    </row>
    <row r="1186" spans="7:8" x14ac:dyDescent="0.2">
      <c r="G1186" t="str">
        <f>IF(C1186="","",(C1186/AVERAGE($C$2:C36747)))</f>
        <v/>
      </c>
      <c r="H1186" t="str">
        <f>IF(C1186="","",(C1186/MEDIAN($C$2:D36747)))</f>
        <v/>
      </c>
    </row>
    <row r="1187" spans="7:8" x14ac:dyDescent="0.2">
      <c r="G1187" t="str">
        <f>IF(C1187="","",(C1187/AVERAGE($C$2:C36748)))</f>
        <v/>
      </c>
      <c r="H1187" t="str">
        <f>IF(C1187="","",(C1187/MEDIAN($C$2:D36748)))</f>
        <v/>
      </c>
    </row>
    <row r="1188" spans="7:8" x14ac:dyDescent="0.2">
      <c r="G1188" t="str">
        <f>IF(C1188="","",(C1188/AVERAGE($C$2:C36749)))</f>
        <v/>
      </c>
      <c r="H1188" t="str">
        <f>IF(C1188="","",(C1188/MEDIAN($C$2:D36749)))</f>
        <v/>
      </c>
    </row>
    <row r="1189" spans="7:8" x14ac:dyDescent="0.2">
      <c r="G1189" t="str">
        <f>IF(C1189="","",(C1189/AVERAGE($C$2:C36750)))</f>
        <v/>
      </c>
      <c r="H1189" t="str">
        <f>IF(C1189="","",(C1189/MEDIAN($C$2:D36750)))</f>
        <v/>
      </c>
    </row>
    <row r="1190" spans="7:8" x14ac:dyDescent="0.2">
      <c r="G1190" t="str">
        <f>IF(C1190="","",(C1190/AVERAGE($C$2:C36751)))</f>
        <v/>
      </c>
      <c r="H1190" t="str">
        <f>IF(C1190="","",(C1190/MEDIAN($C$2:D36751)))</f>
        <v/>
      </c>
    </row>
    <row r="1191" spans="7:8" x14ac:dyDescent="0.2">
      <c r="G1191" t="str">
        <f>IF(C1191="","",(C1191/AVERAGE($C$2:C36752)))</f>
        <v/>
      </c>
      <c r="H1191" t="str">
        <f>IF(C1191="","",(C1191/MEDIAN($C$2:D36752)))</f>
        <v/>
      </c>
    </row>
    <row r="1192" spans="7:8" x14ac:dyDescent="0.2">
      <c r="G1192" t="str">
        <f>IF(C1192="","",(C1192/AVERAGE($C$2:C36753)))</f>
        <v/>
      </c>
      <c r="H1192" t="str">
        <f>IF(C1192="","",(C1192/MEDIAN($C$2:D36753)))</f>
        <v/>
      </c>
    </row>
    <row r="1193" spans="7:8" x14ac:dyDescent="0.2">
      <c r="G1193" t="str">
        <f>IF(C1193="","",(C1193/AVERAGE($C$2:C36754)))</f>
        <v/>
      </c>
      <c r="H1193" t="str">
        <f>IF(C1193="","",(C1193/MEDIAN($C$2:D36754)))</f>
        <v/>
      </c>
    </row>
    <row r="1194" spans="7:8" x14ac:dyDescent="0.2">
      <c r="G1194" t="str">
        <f>IF(C1194="","",(C1194/AVERAGE($C$2:C36755)))</f>
        <v/>
      </c>
      <c r="H1194" t="str">
        <f>IF(C1194="","",(C1194/MEDIAN($C$2:D36755)))</f>
        <v/>
      </c>
    </row>
    <row r="1195" spans="7:8" x14ac:dyDescent="0.2">
      <c r="G1195" t="str">
        <f>IF(C1195="","",(C1195/AVERAGE($C$2:C36756)))</f>
        <v/>
      </c>
      <c r="H1195" t="str">
        <f>IF(C1195="","",(C1195/MEDIAN($C$2:D36756)))</f>
        <v/>
      </c>
    </row>
    <row r="1196" spans="7:8" x14ac:dyDescent="0.2">
      <c r="G1196" t="str">
        <f>IF(C1196="","",(C1196/AVERAGE($C$2:C36757)))</f>
        <v/>
      </c>
      <c r="H1196" t="str">
        <f>IF(C1196="","",(C1196/MEDIAN($C$2:D36757)))</f>
        <v/>
      </c>
    </row>
    <row r="1197" spans="7:8" x14ac:dyDescent="0.2">
      <c r="G1197" t="str">
        <f>IF(C1197="","",(C1197/AVERAGE($C$2:C36758)))</f>
        <v/>
      </c>
      <c r="H1197" t="str">
        <f>IF(C1197="","",(C1197/MEDIAN($C$2:D36758)))</f>
        <v/>
      </c>
    </row>
    <row r="1198" spans="7:8" x14ac:dyDescent="0.2">
      <c r="G1198" t="str">
        <f>IF(C1198="","",(C1198/AVERAGE($C$2:C36759)))</f>
        <v/>
      </c>
      <c r="H1198" t="str">
        <f>IF(C1198="","",(C1198/MEDIAN($C$2:D36759)))</f>
        <v/>
      </c>
    </row>
    <row r="1199" spans="7:8" x14ac:dyDescent="0.2">
      <c r="G1199" t="str">
        <f>IF(C1199="","",(C1199/AVERAGE($C$2:C36760)))</f>
        <v/>
      </c>
      <c r="H1199" t="str">
        <f>IF(C1199="","",(C1199/MEDIAN($C$2:D36760)))</f>
        <v/>
      </c>
    </row>
    <row r="1200" spans="7:8" x14ac:dyDescent="0.2">
      <c r="G1200" t="str">
        <f>IF(C1200="","",(C1200/AVERAGE($C$2:C36761)))</f>
        <v/>
      </c>
      <c r="H1200" t="str">
        <f>IF(C1200="","",(C1200/MEDIAN($C$2:D36761)))</f>
        <v/>
      </c>
    </row>
    <row r="1201" spans="7:8" x14ac:dyDescent="0.2">
      <c r="G1201" t="str">
        <f>IF(C1201="","",(C1201/AVERAGE($C$2:C36762)))</f>
        <v/>
      </c>
      <c r="H1201" t="str">
        <f>IF(C1201="","",(C1201/MEDIAN($C$2:D36762)))</f>
        <v/>
      </c>
    </row>
    <row r="1202" spans="7:8" x14ac:dyDescent="0.2">
      <c r="G1202" t="str">
        <f>IF(C1202="","",(C1202/AVERAGE($C$2:C36763)))</f>
        <v/>
      </c>
      <c r="H1202" t="str">
        <f>IF(C1202="","",(C1202/MEDIAN($C$2:D36763)))</f>
        <v/>
      </c>
    </row>
    <row r="1203" spans="7:8" x14ac:dyDescent="0.2">
      <c r="G1203" t="str">
        <f>IF(C1203="","",(C1203/AVERAGE($C$2:C36764)))</f>
        <v/>
      </c>
      <c r="H1203" t="str">
        <f>IF(C1203="","",(C1203/MEDIAN($C$2:D36764)))</f>
        <v/>
      </c>
    </row>
    <row r="1204" spans="7:8" x14ac:dyDescent="0.2">
      <c r="G1204" t="str">
        <f>IF(C1204="","",(C1204/AVERAGE($C$2:C36765)))</f>
        <v/>
      </c>
      <c r="H1204" t="str">
        <f>IF(C1204="","",(C1204/MEDIAN($C$2:D36765)))</f>
        <v/>
      </c>
    </row>
    <row r="1205" spans="7:8" x14ac:dyDescent="0.2">
      <c r="G1205" t="str">
        <f>IF(C1205="","",(C1205/AVERAGE($C$2:C36766)))</f>
        <v/>
      </c>
      <c r="H1205" t="str">
        <f>IF(C1205="","",(C1205/MEDIAN($C$2:D36766)))</f>
        <v/>
      </c>
    </row>
    <row r="1206" spans="7:8" x14ac:dyDescent="0.2">
      <c r="G1206" t="str">
        <f>IF(C1206="","",(C1206/AVERAGE($C$2:C36767)))</f>
        <v/>
      </c>
      <c r="H1206" t="str">
        <f>IF(C1206="","",(C1206/MEDIAN($C$2:D36767)))</f>
        <v/>
      </c>
    </row>
    <row r="1207" spans="7:8" x14ac:dyDescent="0.2">
      <c r="G1207" t="str">
        <f>IF(C1207="","",(C1207/AVERAGE($C$2:C36768)))</f>
        <v/>
      </c>
      <c r="H1207" t="str">
        <f>IF(C1207="","",(C1207/MEDIAN($C$2:D36768)))</f>
        <v/>
      </c>
    </row>
    <row r="1208" spans="7:8" x14ac:dyDescent="0.2">
      <c r="G1208" t="str">
        <f>IF(C1208="","",(C1208/AVERAGE($C$2:C36769)))</f>
        <v/>
      </c>
      <c r="H1208" t="str">
        <f>IF(C1208="","",(C1208/MEDIAN($C$2:D36769)))</f>
        <v/>
      </c>
    </row>
    <row r="1209" spans="7:8" x14ac:dyDescent="0.2">
      <c r="G1209" t="str">
        <f>IF(C1209="","",(C1209/AVERAGE($C$2:C36770)))</f>
        <v/>
      </c>
      <c r="H1209" t="str">
        <f>IF(C1209="","",(C1209/MEDIAN($C$2:D36770)))</f>
        <v/>
      </c>
    </row>
    <row r="1210" spans="7:8" x14ac:dyDescent="0.2">
      <c r="G1210" t="str">
        <f>IF(C1210="","",(C1210/AVERAGE($C$2:C36771)))</f>
        <v/>
      </c>
      <c r="H1210" t="str">
        <f>IF(C1210="","",(C1210/MEDIAN($C$2:D36771)))</f>
        <v/>
      </c>
    </row>
    <row r="1211" spans="7:8" x14ac:dyDescent="0.2">
      <c r="G1211" t="str">
        <f>IF(C1211="","",(C1211/AVERAGE($C$2:C36772)))</f>
        <v/>
      </c>
      <c r="H1211" t="str">
        <f>IF(C1211="","",(C1211/MEDIAN($C$2:D36772)))</f>
        <v/>
      </c>
    </row>
    <row r="1212" spans="7:8" x14ac:dyDescent="0.2">
      <c r="G1212" t="str">
        <f>IF(C1212="","",(C1212/AVERAGE($C$2:C36773)))</f>
        <v/>
      </c>
      <c r="H1212" t="str">
        <f>IF(C1212="","",(C1212/MEDIAN($C$2:D36773)))</f>
        <v/>
      </c>
    </row>
    <row r="1213" spans="7:8" x14ac:dyDescent="0.2">
      <c r="G1213" t="str">
        <f>IF(C1213="","",(C1213/AVERAGE($C$2:C36774)))</f>
        <v/>
      </c>
      <c r="H1213" t="str">
        <f>IF(C1213="","",(C1213/MEDIAN($C$2:D36774)))</f>
        <v/>
      </c>
    </row>
    <row r="1214" spans="7:8" x14ac:dyDescent="0.2">
      <c r="G1214" t="str">
        <f>IF(C1214="","",(C1214/AVERAGE($C$2:C36775)))</f>
        <v/>
      </c>
      <c r="H1214" t="str">
        <f>IF(C1214="","",(C1214/MEDIAN($C$2:D36775)))</f>
        <v/>
      </c>
    </row>
    <row r="1215" spans="7:8" x14ac:dyDescent="0.2">
      <c r="G1215" t="str">
        <f>IF(C1215="","",(C1215/AVERAGE($C$2:C36776)))</f>
        <v/>
      </c>
      <c r="H1215" t="str">
        <f>IF(C1215="","",(C1215/MEDIAN($C$2:D36776)))</f>
        <v/>
      </c>
    </row>
    <row r="1216" spans="7:8" x14ac:dyDescent="0.2">
      <c r="G1216" t="str">
        <f>IF(C1216="","",(C1216/AVERAGE($C$2:C36777)))</f>
        <v/>
      </c>
      <c r="H1216" t="str">
        <f>IF(C1216="","",(C1216/MEDIAN($C$2:D36777)))</f>
        <v/>
      </c>
    </row>
    <row r="1217" spans="7:8" x14ac:dyDescent="0.2">
      <c r="G1217" t="str">
        <f>IF(C1217="","",(C1217/AVERAGE($C$2:C36778)))</f>
        <v/>
      </c>
      <c r="H1217" t="str">
        <f>IF(C1217="","",(C1217/MEDIAN($C$2:D36778)))</f>
        <v/>
      </c>
    </row>
    <row r="1218" spans="7:8" x14ac:dyDescent="0.2">
      <c r="G1218" t="str">
        <f>IF(C1218="","",(C1218/AVERAGE($C$2:C36779)))</f>
        <v/>
      </c>
      <c r="H1218" t="str">
        <f>IF(C1218="","",(C1218/MEDIAN($C$2:D36779)))</f>
        <v/>
      </c>
    </row>
    <row r="1219" spans="7:8" x14ac:dyDescent="0.2">
      <c r="G1219" t="str">
        <f>IF(C1219="","",(C1219/AVERAGE($C$2:C36780)))</f>
        <v/>
      </c>
      <c r="H1219" t="str">
        <f>IF(C1219="","",(C1219/MEDIAN($C$2:D36780)))</f>
        <v/>
      </c>
    </row>
    <row r="1220" spans="7:8" x14ac:dyDescent="0.2">
      <c r="G1220" t="str">
        <f>IF(C1220="","",(C1220/AVERAGE($C$2:C36781)))</f>
        <v/>
      </c>
      <c r="H1220" t="str">
        <f>IF(C1220="","",(C1220/MEDIAN($C$2:D36781)))</f>
        <v/>
      </c>
    </row>
    <row r="1221" spans="7:8" x14ac:dyDescent="0.2">
      <c r="G1221" t="str">
        <f>IF(C1221="","",(C1221/AVERAGE($C$2:C36782)))</f>
        <v/>
      </c>
      <c r="H1221" t="str">
        <f>IF(C1221="","",(C1221/MEDIAN($C$2:D36782)))</f>
        <v/>
      </c>
    </row>
    <row r="1222" spans="7:8" x14ac:dyDescent="0.2">
      <c r="G1222" t="str">
        <f>IF(C1222="","",(C1222/AVERAGE($C$2:C36783)))</f>
        <v/>
      </c>
      <c r="H1222" t="str">
        <f>IF(C1222="","",(C1222/MEDIAN($C$2:D36783)))</f>
        <v/>
      </c>
    </row>
    <row r="1223" spans="7:8" x14ac:dyDescent="0.2">
      <c r="G1223" t="str">
        <f>IF(C1223="","",(C1223/AVERAGE($C$2:C36784)))</f>
        <v/>
      </c>
      <c r="H1223" t="str">
        <f>IF(C1223="","",(C1223/MEDIAN($C$2:D36784)))</f>
        <v/>
      </c>
    </row>
    <row r="1224" spans="7:8" x14ac:dyDescent="0.2">
      <c r="G1224" t="str">
        <f>IF(C1224="","",(C1224/AVERAGE($C$2:C36785)))</f>
        <v/>
      </c>
      <c r="H1224" t="str">
        <f>IF(C1224="","",(C1224/MEDIAN($C$2:D36785)))</f>
        <v/>
      </c>
    </row>
    <row r="1225" spans="7:8" x14ac:dyDescent="0.2">
      <c r="G1225" t="str">
        <f>IF(C1225="","",(C1225/AVERAGE($C$2:C36786)))</f>
        <v/>
      </c>
      <c r="H1225" t="str">
        <f>IF(C1225="","",(C1225/MEDIAN($C$2:D36786)))</f>
        <v/>
      </c>
    </row>
    <row r="1226" spans="7:8" x14ac:dyDescent="0.2">
      <c r="G1226" t="str">
        <f>IF(C1226="","",(C1226/AVERAGE($C$2:C36787)))</f>
        <v/>
      </c>
      <c r="H1226" t="str">
        <f>IF(C1226="","",(C1226/MEDIAN($C$2:D36787)))</f>
        <v/>
      </c>
    </row>
    <row r="1227" spans="7:8" x14ac:dyDescent="0.2">
      <c r="G1227" t="str">
        <f>IF(C1227="","",(C1227/AVERAGE($C$2:C36788)))</f>
        <v/>
      </c>
      <c r="H1227" t="str">
        <f>IF(C1227="","",(C1227/MEDIAN($C$2:D36788)))</f>
        <v/>
      </c>
    </row>
    <row r="1228" spans="7:8" x14ac:dyDescent="0.2">
      <c r="G1228" t="str">
        <f>IF(C1228="","",(C1228/AVERAGE($C$2:C36789)))</f>
        <v/>
      </c>
      <c r="H1228" t="str">
        <f>IF(C1228="","",(C1228/MEDIAN($C$2:D36789)))</f>
        <v/>
      </c>
    </row>
    <row r="1229" spans="7:8" x14ac:dyDescent="0.2">
      <c r="G1229" t="str">
        <f>IF(C1229="","",(C1229/AVERAGE($C$2:C36790)))</f>
        <v/>
      </c>
      <c r="H1229" t="str">
        <f>IF(C1229="","",(C1229/MEDIAN($C$2:D36790)))</f>
        <v/>
      </c>
    </row>
    <row r="1230" spans="7:8" x14ac:dyDescent="0.2">
      <c r="G1230" t="str">
        <f>IF(C1230="","",(C1230/AVERAGE($C$2:C36791)))</f>
        <v/>
      </c>
      <c r="H1230" t="str">
        <f>IF(C1230="","",(C1230/MEDIAN($C$2:D36791)))</f>
        <v/>
      </c>
    </row>
    <row r="1231" spans="7:8" x14ac:dyDescent="0.2">
      <c r="G1231" t="str">
        <f>IF(C1231="","",(C1231/AVERAGE($C$2:C36792)))</f>
        <v/>
      </c>
      <c r="H1231" t="str">
        <f>IF(C1231="","",(C1231/MEDIAN($C$2:D36792)))</f>
        <v/>
      </c>
    </row>
    <row r="1232" spans="7:8" x14ac:dyDescent="0.2">
      <c r="G1232" t="str">
        <f>IF(C1232="","",(C1232/AVERAGE($C$2:C36793)))</f>
        <v/>
      </c>
      <c r="H1232" t="str">
        <f>IF(C1232="","",(C1232/MEDIAN($C$2:D36793)))</f>
        <v/>
      </c>
    </row>
    <row r="1233" spans="7:8" x14ac:dyDescent="0.2">
      <c r="G1233" t="str">
        <f>IF(C1233="","",(C1233/AVERAGE($C$2:C36794)))</f>
        <v/>
      </c>
      <c r="H1233" t="str">
        <f>IF(C1233="","",(C1233/MEDIAN($C$2:D36794)))</f>
        <v/>
      </c>
    </row>
    <row r="1234" spans="7:8" x14ac:dyDescent="0.2">
      <c r="G1234" t="str">
        <f>IF(C1234="","",(C1234/AVERAGE($C$2:C36795)))</f>
        <v/>
      </c>
      <c r="H1234" t="str">
        <f>IF(C1234="","",(C1234/MEDIAN($C$2:D36795)))</f>
        <v/>
      </c>
    </row>
    <row r="1235" spans="7:8" x14ac:dyDescent="0.2">
      <c r="G1235" t="str">
        <f>IF(C1235="","",(C1235/AVERAGE($C$2:C36796)))</f>
        <v/>
      </c>
      <c r="H1235" t="str">
        <f>IF(C1235="","",(C1235/MEDIAN($C$2:D36796)))</f>
        <v/>
      </c>
    </row>
    <row r="1236" spans="7:8" x14ac:dyDescent="0.2">
      <c r="G1236" t="str">
        <f>IF(C1236="","",(C1236/AVERAGE($C$2:C36797)))</f>
        <v/>
      </c>
      <c r="H1236" t="str">
        <f>IF(C1236="","",(C1236/MEDIAN($C$2:D36797)))</f>
        <v/>
      </c>
    </row>
    <row r="1237" spans="7:8" x14ac:dyDescent="0.2">
      <c r="G1237" t="str">
        <f>IF(C1237="","",(C1237/AVERAGE($C$2:C36798)))</f>
        <v/>
      </c>
      <c r="H1237" t="str">
        <f>IF(C1237="","",(C1237/MEDIAN($C$2:D36798)))</f>
        <v/>
      </c>
    </row>
    <row r="1238" spans="7:8" x14ac:dyDescent="0.2">
      <c r="G1238" t="str">
        <f>IF(C1238="","",(C1238/AVERAGE($C$2:C36799)))</f>
        <v/>
      </c>
      <c r="H1238" t="str">
        <f>IF(C1238="","",(C1238/MEDIAN($C$2:D36799)))</f>
        <v/>
      </c>
    </row>
    <row r="1239" spans="7:8" x14ac:dyDescent="0.2">
      <c r="G1239" t="str">
        <f>IF(C1239="","",(C1239/AVERAGE($C$2:C36800)))</f>
        <v/>
      </c>
      <c r="H1239" t="str">
        <f>IF(C1239="","",(C1239/MEDIAN($C$2:D36800)))</f>
        <v/>
      </c>
    </row>
    <row r="1240" spans="7:8" x14ac:dyDescent="0.2">
      <c r="G1240" t="str">
        <f>IF(C1240="","",(C1240/AVERAGE($C$2:C36801)))</f>
        <v/>
      </c>
      <c r="H1240" t="str">
        <f>IF(C1240="","",(C1240/MEDIAN($C$2:D36801)))</f>
        <v/>
      </c>
    </row>
    <row r="1241" spans="7:8" x14ac:dyDescent="0.2">
      <c r="G1241" t="str">
        <f>IF(C1241="","",(C1241/AVERAGE($C$2:C36802)))</f>
        <v/>
      </c>
      <c r="H1241" t="str">
        <f>IF(C1241="","",(C1241/MEDIAN($C$2:D36802)))</f>
        <v/>
      </c>
    </row>
    <row r="1242" spans="7:8" x14ac:dyDescent="0.2">
      <c r="G1242" t="str">
        <f>IF(C1242="","",(C1242/AVERAGE($C$2:C36803)))</f>
        <v/>
      </c>
      <c r="H1242" t="str">
        <f>IF(C1242="","",(C1242/MEDIAN($C$2:D36803)))</f>
        <v/>
      </c>
    </row>
    <row r="1243" spans="7:8" x14ac:dyDescent="0.2">
      <c r="G1243" t="str">
        <f>IF(C1243="","",(C1243/AVERAGE($C$2:C36804)))</f>
        <v/>
      </c>
      <c r="H1243" t="str">
        <f>IF(C1243="","",(C1243/MEDIAN($C$2:D36804)))</f>
        <v/>
      </c>
    </row>
    <row r="1244" spans="7:8" x14ac:dyDescent="0.2">
      <c r="G1244" t="str">
        <f>IF(C1244="","",(C1244/AVERAGE($C$2:C36805)))</f>
        <v/>
      </c>
      <c r="H1244" t="str">
        <f>IF(C1244="","",(C1244/MEDIAN($C$2:D36805)))</f>
        <v/>
      </c>
    </row>
    <row r="1245" spans="7:8" x14ac:dyDescent="0.2">
      <c r="G1245" t="str">
        <f>IF(C1245="","",(C1245/AVERAGE($C$2:C36806)))</f>
        <v/>
      </c>
      <c r="H1245" t="str">
        <f>IF(C1245="","",(C1245/MEDIAN($C$2:D36806)))</f>
        <v/>
      </c>
    </row>
    <row r="1246" spans="7:8" x14ac:dyDescent="0.2">
      <c r="G1246" t="str">
        <f>IF(C1246="","",(C1246/AVERAGE($C$2:C36807)))</f>
        <v/>
      </c>
      <c r="H1246" t="str">
        <f>IF(C1246="","",(C1246/MEDIAN($C$2:D36807)))</f>
        <v/>
      </c>
    </row>
    <row r="1247" spans="7:8" x14ac:dyDescent="0.2">
      <c r="G1247" t="str">
        <f>IF(C1247="","",(C1247/AVERAGE($C$2:C36808)))</f>
        <v/>
      </c>
      <c r="H1247" t="str">
        <f>IF(C1247="","",(C1247/MEDIAN($C$2:D36808)))</f>
        <v/>
      </c>
    </row>
    <row r="1248" spans="7:8" x14ac:dyDescent="0.2">
      <c r="G1248" t="str">
        <f>IF(C1248="","",(C1248/AVERAGE($C$2:C36809)))</f>
        <v/>
      </c>
      <c r="H1248" t="str">
        <f>IF(C1248="","",(C1248/MEDIAN($C$2:D36809)))</f>
        <v/>
      </c>
    </row>
    <row r="1249" spans="7:8" x14ac:dyDescent="0.2">
      <c r="G1249" t="str">
        <f>IF(C1249="","",(C1249/AVERAGE($C$2:C36810)))</f>
        <v/>
      </c>
      <c r="H1249" t="str">
        <f>IF(C1249="","",(C1249/MEDIAN($C$2:D36810)))</f>
        <v/>
      </c>
    </row>
    <row r="1250" spans="7:8" x14ac:dyDescent="0.2">
      <c r="G1250" t="str">
        <f>IF(C1250="","",(C1250/AVERAGE($C$2:C36811)))</f>
        <v/>
      </c>
      <c r="H1250" t="str">
        <f>IF(C1250="","",(C1250/MEDIAN($C$2:D36811)))</f>
        <v/>
      </c>
    </row>
    <row r="1251" spans="7:8" x14ac:dyDescent="0.2">
      <c r="G1251" t="str">
        <f>IF(C1251="","",(C1251/AVERAGE($C$2:C36812)))</f>
        <v/>
      </c>
      <c r="H1251" t="str">
        <f>IF(C1251="","",(C1251/MEDIAN($C$2:D36812)))</f>
        <v/>
      </c>
    </row>
    <row r="1252" spans="7:8" x14ac:dyDescent="0.2">
      <c r="G1252" t="str">
        <f>IF(C1252="","",(C1252/AVERAGE($C$2:C36813)))</f>
        <v/>
      </c>
      <c r="H1252" t="str">
        <f>IF(C1252="","",(C1252/MEDIAN($C$2:D36813)))</f>
        <v/>
      </c>
    </row>
    <row r="1253" spans="7:8" x14ac:dyDescent="0.2">
      <c r="G1253" t="str">
        <f>IF(C1253="","",(C1253/AVERAGE($C$2:C36814)))</f>
        <v/>
      </c>
      <c r="H1253" t="str">
        <f>IF(C1253="","",(C1253/MEDIAN($C$2:D36814)))</f>
        <v/>
      </c>
    </row>
    <row r="1254" spans="7:8" x14ac:dyDescent="0.2">
      <c r="G1254" t="str">
        <f>IF(C1254="","",(C1254/AVERAGE($C$2:C36815)))</f>
        <v/>
      </c>
      <c r="H1254" t="str">
        <f>IF(C1254="","",(C1254/MEDIAN($C$2:D36815)))</f>
        <v/>
      </c>
    </row>
    <row r="1255" spans="7:8" x14ac:dyDescent="0.2">
      <c r="G1255" t="str">
        <f>IF(C1255="","",(C1255/AVERAGE($C$2:C36816)))</f>
        <v/>
      </c>
      <c r="H1255" t="str">
        <f>IF(C1255="","",(C1255/MEDIAN($C$2:D36816)))</f>
        <v/>
      </c>
    </row>
    <row r="1256" spans="7:8" x14ac:dyDescent="0.2">
      <c r="G1256" t="str">
        <f>IF(C1256="","",(C1256/AVERAGE($C$2:C36817)))</f>
        <v/>
      </c>
      <c r="H1256" t="str">
        <f>IF(C1256="","",(C1256/MEDIAN($C$2:D36817)))</f>
        <v/>
      </c>
    </row>
    <row r="1257" spans="7:8" x14ac:dyDescent="0.2">
      <c r="G1257" t="str">
        <f>IF(C1257="","",(C1257/AVERAGE($C$2:C36818)))</f>
        <v/>
      </c>
      <c r="H1257" t="str">
        <f>IF(C1257="","",(C1257/MEDIAN($C$2:D36818)))</f>
        <v/>
      </c>
    </row>
    <row r="1258" spans="7:8" x14ac:dyDescent="0.2">
      <c r="G1258" t="str">
        <f>IF(C1258="","",(C1258/AVERAGE($C$2:C36819)))</f>
        <v/>
      </c>
      <c r="H1258" t="str">
        <f>IF(C1258="","",(C1258/MEDIAN($C$2:D36819)))</f>
        <v/>
      </c>
    </row>
    <row r="1259" spans="7:8" x14ac:dyDescent="0.2">
      <c r="G1259" t="str">
        <f>IF(C1259="","",(C1259/AVERAGE($C$2:C36820)))</f>
        <v/>
      </c>
      <c r="H1259" t="str">
        <f>IF(C1259="","",(C1259/MEDIAN($C$2:D36820)))</f>
        <v/>
      </c>
    </row>
    <row r="1260" spans="7:8" x14ac:dyDescent="0.2">
      <c r="G1260" t="str">
        <f>IF(C1260="","",(C1260/AVERAGE($C$2:C36821)))</f>
        <v/>
      </c>
      <c r="H1260" t="str">
        <f>IF(C1260="","",(C1260/MEDIAN($C$2:D36821)))</f>
        <v/>
      </c>
    </row>
    <row r="1261" spans="7:8" x14ac:dyDescent="0.2">
      <c r="G1261" t="str">
        <f>IF(C1261="","",(C1261/AVERAGE($C$2:C36822)))</f>
        <v/>
      </c>
      <c r="H1261" t="str">
        <f>IF(C1261="","",(C1261/MEDIAN($C$2:D36822)))</f>
        <v/>
      </c>
    </row>
    <row r="1262" spans="7:8" x14ac:dyDescent="0.2">
      <c r="G1262" t="str">
        <f>IF(C1262="","",(C1262/AVERAGE($C$2:C36823)))</f>
        <v/>
      </c>
      <c r="H1262" t="str">
        <f>IF(C1262="","",(C1262/MEDIAN($C$2:D36823)))</f>
        <v/>
      </c>
    </row>
    <row r="1263" spans="7:8" x14ac:dyDescent="0.2">
      <c r="G1263" t="str">
        <f>IF(C1263="","",(C1263/AVERAGE($C$2:C36824)))</f>
        <v/>
      </c>
      <c r="H1263" t="str">
        <f>IF(C1263="","",(C1263/MEDIAN($C$2:D36824)))</f>
        <v/>
      </c>
    </row>
    <row r="1264" spans="7:8" x14ac:dyDescent="0.2">
      <c r="G1264" t="str">
        <f>IF(C1264="","",(C1264/AVERAGE($C$2:C36825)))</f>
        <v/>
      </c>
      <c r="H1264" t="str">
        <f>IF(C1264="","",(C1264/MEDIAN($C$2:D36825)))</f>
        <v/>
      </c>
    </row>
    <row r="1265" spans="7:8" x14ac:dyDescent="0.2">
      <c r="G1265" t="str">
        <f>IF(C1265="","",(C1265/AVERAGE($C$2:C36826)))</f>
        <v/>
      </c>
      <c r="H1265" t="str">
        <f>IF(C1265="","",(C1265/MEDIAN($C$2:D36826)))</f>
        <v/>
      </c>
    </row>
    <row r="1266" spans="7:8" x14ac:dyDescent="0.2">
      <c r="G1266" t="str">
        <f>IF(C1266="","",(C1266/AVERAGE($C$2:C36827)))</f>
        <v/>
      </c>
      <c r="H1266" t="str">
        <f>IF(C1266="","",(C1266/MEDIAN($C$2:D36827)))</f>
        <v/>
      </c>
    </row>
    <row r="1267" spans="7:8" x14ac:dyDescent="0.2">
      <c r="G1267" t="str">
        <f>IF(C1267="","",(C1267/AVERAGE($C$2:C36828)))</f>
        <v/>
      </c>
      <c r="H1267" t="str">
        <f>IF(C1267="","",(C1267/MEDIAN($C$2:D36828)))</f>
        <v/>
      </c>
    </row>
    <row r="1268" spans="7:8" x14ac:dyDescent="0.2">
      <c r="G1268" t="str">
        <f>IF(C1268="","",(C1268/AVERAGE($C$2:C36829)))</f>
        <v/>
      </c>
      <c r="H1268" t="str">
        <f>IF(C1268="","",(C1268/MEDIAN($C$2:D36829)))</f>
        <v/>
      </c>
    </row>
    <row r="1269" spans="7:8" x14ac:dyDescent="0.2">
      <c r="G1269" t="str">
        <f>IF(C1269="","",(C1269/AVERAGE($C$2:C36830)))</f>
        <v/>
      </c>
      <c r="H1269" t="str">
        <f>IF(C1269="","",(C1269/MEDIAN($C$2:D36830)))</f>
        <v/>
      </c>
    </row>
    <row r="1270" spans="7:8" x14ac:dyDescent="0.2">
      <c r="G1270" t="str">
        <f>IF(C1270="","",(C1270/AVERAGE($C$2:C36831)))</f>
        <v/>
      </c>
      <c r="H1270" t="str">
        <f>IF(C1270="","",(C1270/MEDIAN($C$2:D36831)))</f>
        <v/>
      </c>
    </row>
    <row r="1271" spans="7:8" x14ac:dyDescent="0.2">
      <c r="G1271" t="str">
        <f>IF(C1271="","",(C1271/AVERAGE($C$2:C36832)))</f>
        <v/>
      </c>
      <c r="H1271" t="str">
        <f>IF(C1271="","",(C1271/MEDIAN($C$2:D36832)))</f>
        <v/>
      </c>
    </row>
    <row r="1272" spans="7:8" x14ac:dyDescent="0.2">
      <c r="G1272" t="str">
        <f>IF(C1272="","",(C1272/AVERAGE($C$2:C36833)))</f>
        <v/>
      </c>
      <c r="H1272" t="str">
        <f>IF(C1272="","",(C1272/MEDIAN($C$2:D36833)))</f>
        <v/>
      </c>
    </row>
    <row r="1273" spans="7:8" x14ac:dyDescent="0.2">
      <c r="G1273" t="str">
        <f>IF(C1273="","",(C1273/AVERAGE($C$2:C36834)))</f>
        <v/>
      </c>
      <c r="H1273" t="str">
        <f>IF(C1273="","",(C1273/MEDIAN($C$2:D36834)))</f>
        <v/>
      </c>
    </row>
    <row r="1274" spans="7:8" x14ac:dyDescent="0.2">
      <c r="G1274" t="str">
        <f>IF(C1274="","",(C1274/AVERAGE($C$2:C36835)))</f>
        <v/>
      </c>
      <c r="H1274" t="str">
        <f>IF(C1274="","",(C1274/MEDIAN($C$2:D36835)))</f>
        <v/>
      </c>
    </row>
    <row r="1275" spans="7:8" x14ac:dyDescent="0.2">
      <c r="G1275" t="str">
        <f>IF(C1275="","",(C1275/AVERAGE($C$2:C36836)))</f>
        <v/>
      </c>
      <c r="H1275" t="str">
        <f>IF(C1275="","",(C1275/MEDIAN($C$2:D36836)))</f>
        <v/>
      </c>
    </row>
    <row r="1276" spans="7:8" x14ac:dyDescent="0.2">
      <c r="G1276" t="str">
        <f>IF(C1276="","",(C1276/AVERAGE($C$2:C36837)))</f>
        <v/>
      </c>
      <c r="H1276" t="str">
        <f>IF(C1276="","",(C1276/MEDIAN($C$2:D36837)))</f>
        <v/>
      </c>
    </row>
    <row r="1277" spans="7:8" x14ac:dyDescent="0.2">
      <c r="G1277" t="str">
        <f>IF(C1277="","",(C1277/AVERAGE($C$2:C36838)))</f>
        <v/>
      </c>
      <c r="H1277" t="str">
        <f>IF(C1277="","",(C1277/MEDIAN($C$2:D36838)))</f>
        <v/>
      </c>
    </row>
    <row r="1278" spans="7:8" x14ac:dyDescent="0.2">
      <c r="G1278" t="str">
        <f>IF(C1278="","",(C1278/AVERAGE($C$2:C36839)))</f>
        <v/>
      </c>
      <c r="H1278" t="str">
        <f>IF(C1278="","",(C1278/MEDIAN($C$2:D36839)))</f>
        <v/>
      </c>
    </row>
    <row r="1279" spans="7:8" x14ac:dyDescent="0.2">
      <c r="G1279" t="str">
        <f>IF(C1279="","",(C1279/AVERAGE($C$2:C36840)))</f>
        <v/>
      </c>
      <c r="H1279" t="str">
        <f>IF(C1279="","",(C1279/MEDIAN($C$2:D36840)))</f>
        <v/>
      </c>
    </row>
    <row r="1280" spans="7:8" x14ac:dyDescent="0.2">
      <c r="G1280" t="str">
        <f>IF(C1280="","",(C1280/AVERAGE($C$2:C36841)))</f>
        <v/>
      </c>
      <c r="H1280" t="str">
        <f>IF(C1280="","",(C1280/MEDIAN($C$2:D36841)))</f>
        <v/>
      </c>
    </row>
    <row r="1281" spans="7:8" x14ac:dyDescent="0.2">
      <c r="G1281" t="str">
        <f>IF(C1281="","",(C1281/AVERAGE($C$2:C36842)))</f>
        <v/>
      </c>
      <c r="H1281" t="str">
        <f>IF(C1281="","",(C1281/MEDIAN($C$2:D36842)))</f>
        <v/>
      </c>
    </row>
    <row r="1282" spans="7:8" x14ac:dyDescent="0.2">
      <c r="G1282" t="str">
        <f>IF(C1282="","",(C1282/AVERAGE($C$2:C36843)))</f>
        <v/>
      </c>
      <c r="H1282" t="str">
        <f>IF(C1282="","",(C1282/MEDIAN($C$2:D36843)))</f>
        <v/>
      </c>
    </row>
    <row r="1283" spans="7:8" x14ac:dyDescent="0.2">
      <c r="G1283" t="str">
        <f>IF(C1283="","",(C1283/AVERAGE($C$2:C36844)))</f>
        <v/>
      </c>
      <c r="H1283" t="str">
        <f>IF(C1283="","",(C1283/MEDIAN($C$2:D36844)))</f>
        <v/>
      </c>
    </row>
    <row r="1284" spans="7:8" x14ac:dyDescent="0.2">
      <c r="G1284" t="str">
        <f>IF(C1284="","",(C1284/AVERAGE($C$2:C36845)))</f>
        <v/>
      </c>
      <c r="H1284" t="str">
        <f>IF(C1284="","",(C1284/MEDIAN($C$2:D36845)))</f>
        <v/>
      </c>
    </row>
    <row r="1285" spans="7:8" x14ac:dyDescent="0.2">
      <c r="G1285" t="str">
        <f>IF(C1285="","",(C1285/AVERAGE($C$2:C36846)))</f>
        <v/>
      </c>
      <c r="H1285" t="str">
        <f>IF(C1285="","",(C1285/MEDIAN($C$2:D36846)))</f>
        <v/>
      </c>
    </row>
    <row r="1286" spans="7:8" x14ac:dyDescent="0.2">
      <c r="G1286" t="str">
        <f>IF(C1286="","",(C1286/AVERAGE($C$2:C36847)))</f>
        <v/>
      </c>
      <c r="H1286" t="str">
        <f>IF(C1286="","",(C1286/MEDIAN($C$2:D36847)))</f>
        <v/>
      </c>
    </row>
    <row r="1287" spans="7:8" x14ac:dyDescent="0.2">
      <c r="G1287" t="str">
        <f>IF(C1287="","",(C1287/AVERAGE($C$2:C36848)))</f>
        <v/>
      </c>
      <c r="H1287" t="str">
        <f>IF(C1287="","",(C1287/MEDIAN($C$2:D36848)))</f>
        <v/>
      </c>
    </row>
    <row r="1288" spans="7:8" x14ac:dyDescent="0.2">
      <c r="G1288" t="str">
        <f>IF(C1288="","",(C1288/AVERAGE($C$2:C36849)))</f>
        <v/>
      </c>
      <c r="H1288" t="str">
        <f>IF(C1288="","",(C1288/MEDIAN($C$2:D36849)))</f>
        <v/>
      </c>
    </row>
    <row r="1289" spans="7:8" x14ac:dyDescent="0.2">
      <c r="G1289" t="str">
        <f>IF(C1289="","",(C1289/AVERAGE($C$2:C36850)))</f>
        <v/>
      </c>
      <c r="H1289" t="str">
        <f>IF(C1289="","",(C1289/MEDIAN($C$2:D36850)))</f>
        <v/>
      </c>
    </row>
    <row r="1290" spans="7:8" x14ac:dyDescent="0.2">
      <c r="G1290" t="str">
        <f>IF(C1290="","",(C1290/AVERAGE($C$2:C36851)))</f>
        <v/>
      </c>
      <c r="H1290" t="str">
        <f>IF(C1290="","",(C1290/MEDIAN($C$2:D36851)))</f>
        <v/>
      </c>
    </row>
    <row r="1291" spans="7:8" x14ac:dyDescent="0.2">
      <c r="G1291" t="str">
        <f>IF(C1291="","",(C1291/AVERAGE($C$2:C36852)))</f>
        <v/>
      </c>
      <c r="H1291" t="str">
        <f>IF(C1291="","",(C1291/MEDIAN($C$2:D36852)))</f>
        <v/>
      </c>
    </row>
    <row r="1292" spans="7:8" x14ac:dyDescent="0.2">
      <c r="G1292" t="str">
        <f>IF(C1292="","",(C1292/AVERAGE($C$2:C36853)))</f>
        <v/>
      </c>
      <c r="H1292" t="str">
        <f>IF(C1292="","",(C1292/MEDIAN($C$2:D36853)))</f>
        <v/>
      </c>
    </row>
    <row r="1293" spans="7:8" x14ac:dyDescent="0.2">
      <c r="G1293" t="str">
        <f>IF(C1293="","",(C1293/AVERAGE($C$2:C36854)))</f>
        <v/>
      </c>
      <c r="H1293" t="str">
        <f>IF(C1293="","",(C1293/MEDIAN($C$2:D36854)))</f>
        <v/>
      </c>
    </row>
    <row r="1294" spans="7:8" x14ac:dyDescent="0.2">
      <c r="G1294" t="str">
        <f>IF(C1294="","",(C1294/AVERAGE($C$2:C36855)))</f>
        <v/>
      </c>
      <c r="H1294" t="str">
        <f>IF(C1294="","",(C1294/MEDIAN($C$2:D36855)))</f>
        <v/>
      </c>
    </row>
    <row r="1295" spans="7:8" x14ac:dyDescent="0.2">
      <c r="G1295" t="str">
        <f>IF(C1295="","",(C1295/AVERAGE($C$2:C36856)))</f>
        <v/>
      </c>
      <c r="H1295" t="str">
        <f>IF(C1295="","",(C1295/MEDIAN($C$2:D36856)))</f>
        <v/>
      </c>
    </row>
    <row r="1296" spans="7:8" x14ac:dyDescent="0.2">
      <c r="G1296" t="str">
        <f>IF(C1296="","",(C1296/AVERAGE($C$2:C36857)))</f>
        <v/>
      </c>
      <c r="H1296" t="str">
        <f>IF(C1296="","",(C1296/MEDIAN($C$2:D36857)))</f>
        <v/>
      </c>
    </row>
    <row r="1297" spans="7:8" x14ac:dyDescent="0.2">
      <c r="G1297" t="str">
        <f>IF(C1297="","",(C1297/AVERAGE($C$2:C36858)))</f>
        <v/>
      </c>
      <c r="H1297" t="str">
        <f>IF(C1297="","",(C1297/MEDIAN($C$2:D36858)))</f>
        <v/>
      </c>
    </row>
    <row r="1298" spans="7:8" x14ac:dyDescent="0.2">
      <c r="G1298" t="str">
        <f>IF(C1298="","",(C1298/AVERAGE($C$2:C36859)))</f>
        <v/>
      </c>
      <c r="H1298" t="str">
        <f>IF(C1298="","",(C1298/MEDIAN($C$2:D36859)))</f>
        <v/>
      </c>
    </row>
    <row r="1299" spans="7:8" x14ac:dyDescent="0.2">
      <c r="G1299" t="str">
        <f>IF(C1299="","",(C1299/AVERAGE($C$2:C36860)))</f>
        <v/>
      </c>
      <c r="H1299" t="str">
        <f>IF(C1299="","",(C1299/MEDIAN($C$2:D36860)))</f>
        <v/>
      </c>
    </row>
    <row r="1300" spans="7:8" x14ac:dyDescent="0.2">
      <c r="G1300" t="str">
        <f>IF(C1300="","",(C1300/AVERAGE($C$2:C36861)))</f>
        <v/>
      </c>
      <c r="H1300" t="str">
        <f>IF(C1300="","",(C1300/MEDIAN($C$2:D36861)))</f>
        <v/>
      </c>
    </row>
    <row r="1301" spans="7:8" x14ac:dyDescent="0.2">
      <c r="G1301" t="str">
        <f>IF(C1301="","",(C1301/AVERAGE($C$2:C36862)))</f>
        <v/>
      </c>
      <c r="H1301" t="str">
        <f>IF(C1301="","",(C1301/MEDIAN($C$2:D36862)))</f>
        <v/>
      </c>
    </row>
    <row r="1302" spans="7:8" x14ac:dyDescent="0.2">
      <c r="G1302" t="str">
        <f>IF(C1302="","",(C1302/AVERAGE($C$2:C36863)))</f>
        <v/>
      </c>
      <c r="H1302" t="str">
        <f>IF(C1302="","",(C1302/MEDIAN($C$2:D36863)))</f>
        <v/>
      </c>
    </row>
    <row r="1303" spans="7:8" x14ac:dyDescent="0.2">
      <c r="G1303" t="str">
        <f>IF(C1303="","",(C1303/AVERAGE($C$2:C36864)))</f>
        <v/>
      </c>
      <c r="H1303" t="str">
        <f>IF(C1303="","",(C1303/MEDIAN($C$2:D36864)))</f>
        <v/>
      </c>
    </row>
    <row r="1304" spans="7:8" x14ac:dyDescent="0.2">
      <c r="G1304" t="str">
        <f>IF(C1304="","",(C1304/AVERAGE($C$2:C36865)))</f>
        <v/>
      </c>
      <c r="H1304" t="str">
        <f>IF(C1304="","",(C1304/MEDIAN($C$2:D36865)))</f>
        <v/>
      </c>
    </row>
    <row r="1305" spans="7:8" x14ac:dyDescent="0.2">
      <c r="G1305" t="str">
        <f>IF(C1305="","",(C1305/AVERAGE($C$2:C36866)))</f>
        <v/>
      </c>
      <c r="H1305" t="str">
        <f>IF(C1305="","",(C1305/MEDIAN($C$2:D36866)))</f>
        <v/>
      </c>
    </row>
    <row r="1306" spans="7:8" x14ac:dyDescent="0.2">
      <c r="G1306" t="str">
        <f>IF(C1306="","",(C1306/AVERAGE($C$2:C36867)))</f>
        <v/>
      </c>
      <c r="H1306" t="str">
        <f>IF(C1306="","",(C1306/MEDIAN($C$2:D36867)))</f>
        <v/>
      </c>
    </row>
    <row r="1307" spans="7:8" x14ac:dyDescent="0.2">
      <c r="G1307" t="str">
        <f>IF(C1307="","",(C1307/AVERAGE($C$2:C36868)))</f>
        <v/>
      </c>
      <c r="H1307" t="str">
        <f>IF(C1307="","",(C1307/MEDIAN($C$2:D36868)))</f>
        <v/>
      </c>
    </row>
    <row r="1308" spans="7:8" x14ac:dyDescent="0.2">
      <c r="G1308" t="str">
        <f>IF(C1308="","",(C1308/AVERAGE($C$2:C36869)))</f>
        <v/>
      </c>
      <c r="H1308" t="str">
        <f>IF(C1308="","",(C1308/MEDIAN($C$2:D36869)))</f>
        <v/>
      </c>
    </row>
    <row r="1309" spans="7:8" x14ac:dyDescent="0.2">
      <c r="G1309" t="str">
        <f>IF(C1309="","",(C1309/AVERAGE($C$2:C36870)))</f>
        <v/>
      </c>
      <c r="H1309" t="str">
        <f>IF(C1309="","",(C1309/MEDIAN($C$2:D36870)))</f>
        <v/>
      </c>
    </row>
    <row r="1310" spans="7:8" x14ac:dyDescent="0.2">
      <c r="G1310" t="str">
        <f>IF(C1310="","",(C1310/AVERAGE($C$2:C36871)))</f>
        <v/>
      </c>
      <c r="H1310" t="str">
        <f>IF(C1310="","",(C1310/MEDIAN($C$2:D36871)))</f>
        <v/>
      </c>
    </row>
    <row r="1311" spans="7:8" x14ac:dyDescent="0.2">
      <c r="G1311" t="str">
        <f>IF(C1311="","",(C1311/AVERAGE($C$2:C36872)))</f>
        <v/>
      </c>
      <c r="H1311" t="str">
        <f>IF(C1311="","",(C1311/MEDIAN($C$2:D36872)))</f>
        <v/>
      </c>
    </row>
    <row r="1312" spans="7:8" x14ac:dyDescent="0.2">
      <c r="G1312" t="str">
        <f>IF(C1312="","",(C1312/AVERAGE($C$2:C36873)))</f>
        <v/>
      </c>
      <c r="H1312" t="str">
        <f>IF(C1312="","",(C1312/MEDIAN($C$2:D36873)))</f>
        <v/>
      </c>
    </row>
    <row r="1313" spans="7:8" x14ac:dyDescent="0.2">
      <c r="G1313" t="str">
        <f>IF(C1313="","",(C1313/AVERAGE($C$2:C36874)))</f>
        <v/>
      </c>
      <c r="H1313" t="str">
        <f>IF(C1313="","",(C1313/MEDIAN($C$2:D36874)))</f>
        <v/>
      </c>
    </row>
    <row r="1314" spans="7:8" x14ac:dyDescent="0.2">
      <c r="G1314" t="str">
        <f>IF(C1314="","",(C1314/AVERAGE($C$2:C36875)))</f>
        <v/>
      </c>
      <c r="H1314" t="str">
        <f>IF(C1314="","",(C1314/MEDIAN($C$2:D36875)))</f>
        <v/>
      </c>
    </row>
    <row r="1315" spans="7:8" x14ac:dyDescent="0.2">
      <c r="G1315" t="str">
        <f>IF(C1315="","",(C1315/AVERAGE($C$2:C36876)))</f>
        <v/>
      </c>
      <c r="H1315" t="str">
        <f>IF(C1315="","",(C1315/MEDIAN($C$2:D36876)))</f>
        <v/>
      </c>
    </row>
    <row r="1316" spans="7:8" x14ac:dyDescent="0.2">
      <c r="G1316" t="str">
        <f>IF(C1316="","",(C1316/AVERAGE($C$2:C36877)))</f>
        <v/>
      </c>
      <c r="H1316" t="str">
        <f>IF(C1316="","",(C1316/MEDIAN($C$2:D36877)))</f>
        <v/>
      </c>
    </row>
    <row r="1317" spans="7:8" x14ac:dyDescent="0.2">
      <c r="G1317" t="str">
        <f>IF(C1317="","",(C1317/AVERAGE($C$2:C36878)))</f>
        <v/>
      </c>
      <c r="H1317" t="str">
        <f>IF(C1317="","",(C1317/MEDIAN($C$2:D36878)))</f>
        <v/>
      </c>
    </row>
    <row r="1318" spans="7:8" x14ac:dyDescent="0.2">
      <c r="G1318" t="str">
        <f>IF(C1318="","",(C1318/AVERAGE($C$2:C36879)))</f>
        <v/>
      </c>
      <c r="H1318" t="str">
        <f>IF(C1318="","",(C1318/MEDIAN($C$2:D36879)))</f>
        <v/>
      </c>
    </row>
    <row r="1319" spans="7:8" x14ac:dyDescent="0.2">
      <c r="G1319" t="str">
        <f>IF(C1319="","",(C1319/AVERAGE($C$2:C36880)))</f>
        <v/>
      </c>
      <c r="H1319" t="str">
        <f>IF(C1319="","",(C1319/MEDIAN($C$2:D36880)))</f>
        <v/>
      </c>
    </row>
    <row r="1320" spans="7:8" x14ac:dyDescent="0.2">
      <c r="G1320" t="str">
        <f>IF(C1320="","",(C1320/AVERAGE($C$2:C36881)))</f>
        <v/>
      </c>
      <c r="H1320" t="str">
        <f>IF(C1320="","",(C1320/MEDIAN($C$2:D36881)))</f>
        <v/>
      </c>
    </row>
    <row r="1321" spans="7:8" x14ac:dyDescent="0.2">
      <c r="G1321" t="str">
        <f>IF(C1321="","",(C1321/AVERAGE($C$2:C36882)))</f>
        <v/>
      </c>
      <c r="H1321" t="str">
        <f>IF(C1321="","",(C1321/MEDIAN($C$2:D36882)))</f>
        <v/>
      </c>
    </row>
    <row r="1322" spans="7:8" x14ac:dyDescent="0.2">
      <c r="G1322" t="str">
        <f>IF(C1322="","",(C1322/AVERAGE($C$2:C36883)))</f>
        <v/>
      </c>
      <c r="H1322" t="str">
        <f>IF(C1322="","",(C1322/MEDIAN($C$2:D36883)))</f>
        <v/>
      </c>
    </row>
    <row r="1323" spans="7:8" x14ac:dyDescent="0.2">
      <c r="G1323" t="str">
        <f>IF(C1323="","",(C1323/AVERAGE($C$2:C36884)))</f>
        <v/>
      </c>
      <c r="H1323" t="str">
        <f>IF(C1323="","",(C1323/MEDIAN($C$2:D36884)))</f>
        <v/>
      </c>
    </row>
    <row r="1324" spans="7:8" x14ac:dyDescent="0.2">
      <c r="G1324" t="str">
        <f>IF(C1324="","",(C1324/AVERAGE($C$2:C36885)))</f>
        <v/>
      </c>
      <c r="H1324" t="str">
        <f>IF(C1324="","",(C1324/MEDIAN($C$2:D36885)))</f>
        <v/>
      </c>
    </row>
    <row r="1325" spans="7:8" x14ac:dyDescent="0.2">
      <c r="G1325" t="str">
        <f>IF(C1325="","",(C1325/AVERAGE($C$2:C36886)))</f>
        <v/>
      </c>
      <c r="H1325" t="str">
        <f>IF(C1325="","",(C1325/MEDIAN($C$2:D36886)))</f>
        <v/>
      </c>
    </row>
    <row r="1326" spans="7:8" x14ac:dyDescent="0.2">
      <c r="G1326" t="str">
        <f>IF(C1326="","",(C1326/AVERAGE($C$2:C36887)))</f>
        <v/>
      </c>
      <c r="H1326" t="str">
        <f>IF(C1326="","",(C1326/MEDIAN($C$2:D36887)))</f>
        <v/>
      </c>
    </row>
    <row r="1327" spans="7:8" x14ac:dyDescent="0.2">
      <c r="G1327" t="str">
        <f>IF(C1327="","",(C1327/AVERAGE($C$2:C36888)))</f>
        <v/>
      </c>
      <c r="H1327" t="str">
        <f>IF(C1327="","",(C1327/MEDIAN($C$2:D36888)))</f>
        <v/>
      </c>
    </row>
    <row r="1328" spans="7:8" x14ac:dyDescent="0.2">
      <c r="G1328" t="str">
        <f>IF(C1328="","",(C1328/AVERAGE($C$2:C36889)))</f>
        <v/>
      </c>
      <c r="H1328" t="str">
        <f>IF(C1328="","",(C1328/MEDIAN($C$2:D36889)))</f>
        <v/>
      </c>
    </row>
    <row r="1329" spans="7:8" x14ac:dyDescent="0.2">
      <c r="G1329" t="str">
        <f>IF(C1329="","",(C1329/AVERAGE($C$2:C36890)))</f>
        <v/>
      </c>
      <c r="H1329" t="str">
        <f>IF(C1329="","",(C1329/MEDIAN($C$2:D36890)))</f>
        <v/>
      </c>
    </row>
    <row r="1330" spans="7:8" x14ac:dyDescent="0.2">
      <c r="G1330" t="str">
        <f>IF(C1330="","",(C1330/AVERAGE($C$2:C36891)))</f>
        <v/>
      </c>
      <c r="H1330" t="str">
        <f>IF(C1330="","",(C1330/MEDIAN($C$2:D36891)))</f>
        <v/>
      </c>
    </row>
    <row r="1331" spans="7:8" x14ac:dyDescent="0.2">
      <c r="G1331" t="str">
        <f>IF(C1331="","",(C1331/AVERAGE($C$2:C36892)))</f>
        <v/>
      </c>
      <c r="H1331" t="str">
        <f>IF(C1331="","",(C1331/MEDIAN($C$2:D36892)))</f>
        <v/>
      </c>
    </row>
    <row r="1332" spans="7:8" x14ac:dyDescent="0.2">
      <c r="G1332" t="str">
        <f>IF(C1332="","",(C1332/AVERAGE($C$2:C36893)))</f>
        <v/>
      </c>
      <c r="H1332" t="str">
        <f>IF(C1332="","",(C1332/MEDIAN($C$2:D36893)))</f>
        <v/>
      </c>
    </row>
    <row r="1333" spans="7:8" x14ac:dyDescent="0.2">
      <c r="G1333" t="str">
        <f>IF(C1333="","",(C1333/AVERAGE($C$2:C36894)))</f>
        <v/>
      </c>
      <c r="H1333" t="str">
        <f>IF(C1333="","",(C1333/MEDIAN($C$2:D36894)))</f>
        <v/>
      </c>
    </row>
    <row r="1334" spans="7:8" x14ac:dyDescent="0.2">
      <c r="G1334" t="str">
        <f>IF(C1334="","",(C1334/AVERAGE($C$2:C36895)))</f>
        <v/>
      </c>
      <c r="H1334" t="str">
        <f>IF(C1334="","",(C1334/MEDIAN($C$2:D36895)))</f>
        <v/>
      </c>
    </row>
    <row r="1335" spans="7:8" x14ac:dyDescent="0.2">
      <c r="G1335" t="str">
        <f>IF(C1335="","",(C1335/AVERAGE($C$2:C36896)))</f>
        <v/>
      </c>
      <c r="H1335" t="str">
        <f>IF(C1335="","",(C1335/MEDIAN($C$2:D36896)))</f>
        <v/>
      </c>
    </row>
    <row r="1336" spans="7:8" x14ac:dyDescent="0.2">
      <c r="G1336" t="str">
        <f>IF(C1336="","",(C1336/AVERAGE($C$2:C36897)))</f>
        <v/>
      </c>
      <c r="H1336" t="str">
        <f>IF(C1336="","",(C1336/MEDIAN($C$2:D36897)))</f>
        <v/>
      </c>
    </row>
    <row r="1337" spans="7:8" x14ac:dyDescent="0.2">
      <c r="G1337" t="str">
        <f>IF(C1337="","",(C1337/AVERAGE($C$2:C36898)))</f>
        <v/>
      </c>
      <c r="H1337" t="str">
        <f>IF(C1337="","",(C1337/MEDIAN($C$2:D36898)))</f>
        <v/>
      </c>
    </row>
    <row r="1338" spans="7:8" x14ac:dyDescent="0.2">
      <c r="G1338" t="str">
        <f>IF(C1338="","",(C1338/AVERAGE($C$2:C36899)))</f>
        <v/>
      </c>
      <c r="H1338" t="str">
        <f>IF(C1338="","",(C1338/MEDIAN($C$2:D36899)))</f>
        <v/>
      </c>
    </row>
    <row r="1339" spans="7:8" x14ac:dyDescent="0.2">
      <c r="G1339" t="str">
        <f>IF(C1339="","",(C1339/AVERAGE($C$2:C36900)))</f>
        <v/>
      </c>
      <c r="H1339" t="str">
        <f>IF(C1339="","",(C1339/MEDIAN($C$2:D36900)))</f>
        <v/>
      </c>
    </row>
    <row r="1340" spans="7:8" x14ac:dyDescent="0.2">
      <c r="G1340" t="str">
        <f>IF(C1340="","",(C1340/AVERAGE($C$2:C36901)))</f>
        <v/>
      </c>
      <c r="H1340" t="str">
        <f>IF(C1340="","",(C1340/MEDIAN($C$2:D36901)))</f>
        <v/>
      </c>
    </row>
    <row r="1341" spans="7:8" x14ac:dyDescent="0.2">
      <c r="G1341" t="str">
        <f>IF(C1341="","",(C1341/AVERAGE($C$2:C36902)))</f>
        <v/>
      </c>
      <c r="H1341" t="str">
        <f>IF(C1341="","",(C1341/MEDIAN($C$2:D36902)))</f>
        <v/>
      </c>
    </row>
    <row r="1342" spans="7:8" x14ac:dyDescent="0.2">
      <c r="G1342" t="str">
        <f>IF(C1342="","",(C1342/AVERAGE($C$2:C36903)))</f>
        <v/>
      </c>
      <c r="H1342" t="str">
        <f>IF(C1342="","",(C1342/MEDIAN($C$2:D36903)))</f>
        <v/>
      </c>
    </row>
    <row r="1343" spans="7:8" x14ac:dyDescent="0.2">
      <c r="G1343" t="str">
        <f>IF(C1343="","",(C1343/AVERAGE($C$2:C36904)))</f>
        <v/>
      </c>
      <c r="H1343" t="str">
        <f>IF(C1343="","",(C1343/MEDIAN($C$2:D36904)))</f>
        <v/>
      </c>
    </row>
    <row r="1344" spans="7:8" x14ac:dyDescent="0.2">
      <c r="G1344" t="str">
        <f>IF(C1344="","",(C1344/AVERAGE($C$2:C36905)))</f>
        <v/>
      </c>
      <c r="H1344" t="str">
        <f>IF(C1344="","",(C1344/MEDIAN($C$2:D36905)))</f>
        <v/>
      </c>
    </row>
    <row r="1345" spans="7:8" x14ac:dyDescent="0.2">
      <c r="G1345" t="str">
        <f>IF(C1345="","",(C1345/AVERAGE($C$2:C36906)))</f>
        <v/>
      </c>
      <c r="H1345" t="str">
        <f>IF(C1345="","",(C1345/MEDIAN($C$2:D36906)))</f>
        <v/>
      </c>
    </row>
    <row r="1346" spans="7:8" x14ac:dyDescent="0.2">
      <c r="G1346" t="str">
        <f>IF(C1346="","",(C1346/AVERAGE($C$2:C36907)))</f>
        <v/>
      </c>
      <c r="H1346" t="str">
        <f>IF(C1346="","",(C1346/MEDIAN($C$2:D36907)))</f>
        <v/>
      </c>
    </row>
    <row r="1347" spans="7:8" x14ac:dyDescent="0.2">
      <c r="G1347" t="str">
        <f>IF(C1347="","",(C1347/AVERAGE($C$2:C36908)))</f>
        <v/>
      </c>
      <c r="H1347" t="str">
        <f>IF(C1347="","",(C1347/MEDIAN($C$2:D36908)))</f>
        <v/>
      </c>
    </row>
    <row r="1348" spans="7:8" x14ac:dyDescent="0.2">
      <c r="G1348" t="str">
        <f>IF(C1348="","",(C1348/AVERAGE($C$2:C36909)))</f>
        <v/>
      </c>
      <c r="H1348" t="str">
        <f>IF(C1348="","",(C1348/MEDIAN($C$2:D36909)))</f>
        <v/>
      </c>
    </row>
    <row r="1349" spans="7:8" x14ac:dyDescent="0.2">
      <c r="G1349" t="str">
        <f>IF(C1349="","",(C1349/AVERAGE($C$2:C36910)))</f>
        <v/>
      </c>
      <c r="H1349" t="str">
        <f>IF(C1349="","",(C1349/MEDIAN($C$2:D36910)))</f>
        <v/>
      </c>
    </row>
    <row r="1350" spans="7:8" x14ac:dyDescent="0.2">
      <c r="G1350" t="str">
        <f>IF(C1350="","",(C1350/AVERAGE($C$2:C36911)))</f>
        <v/>
      </c>
      <c r="H1350" t="str">
        <f>IF(C1350="","",(C1350/MEDIAN($C$2:D36911)))</f>
        <v/>
      </c>
    </row>
    <row r="1351" spans="7:8" x14ac:dyDescent="0.2">
      <c r="G1351" t="str">
        <f>IF(C1351="","",(C1351/AVERAGE($C$2:C36912)))</f>
        <v/>
      </c>
      <c r="H1351" t="str">
        <f>IF(C1351="","",(C1351/MEDIAN($C$2:D36912)))</f>
        <v/>
      </c>
    </row>
    <row r="1352" spans="7:8" x14ac:dyDescent="0.2">
      <c r="G1352" t="str">
        <f>IF(C1352="","",(C1352/AVERAGE($C$2:C36913)))</f>
        <v/>
      </c>
      <c r="H1352" t="str">
        <f>IF(C1352="","",(C1352/MEDIAN($C$2:D36913)))</f>
        <v/>
      </c>
    </row>
    <row r="1353" spans="7:8" x14ac:dyDescent="0.2">
      <c r="G1353" t="str">
        <f>IF(C1353="","",(C1353/AVERAGE($C$2:C36914)))</f>
        <v/>
      </c>
      <c r="H1353" t="str">
        <f>IF(C1353="","",(C1353/MEDIAN($C$2:D36914)))</f>
        <v/>
      </c>
    </row>
    <row r="1354" spans="7:8" x14ac:dyDescent="0.2">
      <c r="G1354" t="str">
        <f>IF(C1354="","",(C1354/AVERAGE($C$2:C36915)))</f>
        <v/>
      </c>
      <c r="H1354" t="str">
        <f>IF(C1354="","",(C1354/MEDIAN($C$2:D36915)))</f>
        <v/>
      </c>
    </row>
    <row r="1355" spans="7:8" x14ac:dyDescent="0.2">
      <c r="G1355" t="str">
        <f>IF(C1355="","",(C1355/AVERAGE($C$2:C36916)))</f>
        <v/>
      </c>
      <c r="H1355" t="str">
        <f>IF(C1355="","",(C1355/MEDIAN($C$2:D36916)))</f>
        <v/>
      </c>
    </row>
    <row r="1356" spans="7:8" x14ac:dyDescent="0.2">
      <c r="G1356" t="str">
        <f>IF(C1356="","",(C1356/AVERAGE($C$2:C36917)))</f>
        <v/>
      </c>
      <c r="H1356" t="str">
        <f>IF(C1356="","",(C1356/MEDIAN($C$2:D36917)))</f>
        <v/>
      </c>
    </row>
    <row r="1357" spans="7:8" x14ac:dyDescent="0.2">
      <c r="G1357" t="str">
        <f>IF(C1357="","",(C1357/AVERAGE($C$2:C36918)))</f>
        <v/>
      </c>
      <c r="H1357" t="str">
        <f>IF(C1357="","",(C1357/MEDIAN($C$2:D36918)))</f>
        <v/>
      </c>
    </row>
    <row r="1358" spans="7:8" x14ac:dyDescent="0.2">
      <c r="G1358" t="str">
        <f>IF(C1358="","",(C1358/AVERAGE($C$2:C36919)))</f>
        <v/>
      </c>
      <c r="H1358" t="str">
        <f>IF(C1358="","",(C1358/MEDIAN($C$2:D36919)))</f>
        <v/>
      </c>
    </row>
    <row r="1359" spans="7:8" x14ac:dyDescent="0.2">
      <c r="G1359" t="str">
        <f>IF(C1359="","",(C1359/AVERAGE($C$2:C36920)))</f>
        <v/>
      </c>
      <c r="H1359" t="str">
        <f>IF(C1359="","",(C1359/MEDIAN($C$2:D36920)))</f>
        <v/>
      </c>
    </row>
    <row r="1360" spans="7:8" x14ac:dyDescent="0.2">
      <c r="G1360" t="str">
        <f>IF(C1360="","",(C1360/AVERAGE($C$2:C36921)))</f>
        <v/>
      </c>
      <c r="H1360" t="str">
        <f>IF(C1360="","",(C1360/MEDIAN($C$2:D36921)))</f>
        <v/>
      </c>
    </row>
    <row r="1361" spans="7:8" x14ac:dyDescent="0.2">
      <c r="G1361" t="str">
        <f>IF(C1361="","",(C1361/AVERAGE($C$2:C36922)))</f>
        <v/>
      </c>
      <c r="H1361" t="str">
        <f>IF(C1361="","",(C1361/MEDIAN($C$2:D36922)))</f>
        <v/>
      </c>
    </row>
    <row r="1362" spans="7:8" x14ac:dyDescent="0.2">
      <c r="G1362" t="str">
        <f>IF(C1362="","",(C1362/AVERAGE($C$2:C36923)))</f>
        <v/>
      </c>
      <c r="H1362" t="str">
        <f>IF(C1362="","",(C1362/MEDIAN($C$2:D36923)))</f>
        <v/>
      </c>
    </row>
    <row r="1363" spans="7:8" x14ac:dyDescent="0.2">
      <c r="G1363" t="str">
        <f>IF(C1363="","",(C1363/AVERAGE($C$2:C36924)))</f>
        <v/>
      </c>
      <c r="H1363" t="str">
        <f>IF(C1363="","",(C1363/MEDIAN($C$2:D36924)))</f>
        <v/>
      </c>
    </row>
    <row r="1364" spans="7:8" x14ac:dyDescent="0.2">
      <c r="G1364" t="str">
        <f>IF(C1364="","",(C1364/AVERAGE($C$2:C36925)))</f>
        <v/>
      </c>
      <c r="H1364" t="str">
        <f>IF(C1364="","",(C1364/MEDIAN($C$2:D36925)))</f>
        <v/>
      </c>
    </row>
    <row r="1365" spans="7:8" x14ac:dyDescent="0.2">
      <c r="G1365" t="str">
        <f>IF(C1365="","",(C1365/AVERAGE($C$2:C36926)))</f>
        <v/>
      </c>
      <c r="H1365" t="str">
        <f>IF(C1365="","",(C1365/MEDIAN($C$2:D36926)))</f>
        <v/>
      </c>
    </row>
    <row r="1366" spans="7:8" x14ac:dyDescent="0.2">
      <c r="G1366" t="str">
        <f>IF(C1366="","",(C1366/AVERAGE($C$2:C36927)))</f>
        <v/>
      </c>
      <c r="H1366" t="str">
        <f>IF(C1366="","",(C1366/MEDIAN($C$2:D36927)))</f>
        <v/>
      </c>
    </row>
    <row r="1367" spans="7:8" x14ac:dyDescent="0.2">
      <c r="G1367" t="str">
        <f>IF(C1367="","",(C1367/AVERAGE($C$2:C36928)))</f>
        <v/>
      </c>
      <c r="H1367" t="str">
        <f>IF(C1367="","",(C1367/MEDIAN($C$2:D36928)))</f>
        <v/>
      </c>
    </row>
    <row r="1368" spans="7:8" x14ac:dyDescent="0.2">
      <c r="G1368" t="str">
        <f>IF(C1368="","",(C1368/AVERAGE($C$2:C36929)))</f>
        <v/>
      </c>
      <c r="H1368" t="str">
        <f>IF(C1368="","",(C1368/MEDIAN($C$2:D36929)))</f>
        <v/>
      </c>
    </row>
    <row r="1369" spans="7:8" x14ac:dyDescent="0.2">
      <c r="G1369" t="str">
        <f>IF(C1369="","",(C1369/AVERAGE($C$2:C36930)))</f>
        <v/>
      </c>
      <c r="H1369" t="str">
        <f>IF(C1369="","",(C1369/MEDIAN($C$2:D36930)))</f>
        <v/>
      </c>
    </row>
    <row r="1370" spans="7:8" x14ac:dyDescent="0.2">
      <c r="G1370" t="str">
        <f>IF(C1370="","",(C1370/AVERAGE($C$2:C36931)))</f>
        <v/>
      </c>
      <c r="H1370" t="str">
        <f>IF(C1370="","",(C1370/MEDIAN($C$2:D36931)))</f>
        <v/>
      </c>
    </row>
    <row r="1371" spans="7:8" x14ac:dyDescent="0.2">
      <c r="G1371" t="str">
        <f>IF(C1371="","",(C1371/AVERAGE($C$2:C36932)))</f>
        <v/>
      </c>
      <c r="H1371" t="str">
        <f>IF(C1371="","",(C1371/MEDIAN($C$2:D36932)))</f>
        <v/>
      </c>
    </row>
    <row r="1372" spans="7:8" x14ac:dyDescent="0.2">
      <c r="G1372" t="str">
        <f>IF(C1372="","",(C1372/AVERAGE($C$2:C36933)))</f>
        <v/>
      </c>
      <c r="H1372" t="str">
        <f>IF(C1372="","",(C1372/MEDIAN($C$2:D36933)))</f>
        <v/>
      </c>
    </row>
    <row r="1373" spans="7:8" x14ac:dyDescent="0.2">
      <c r="G1373" t="str">
        <f>IF(C1373="","",(C1373/AVERAGE($C$2:C36934)))</f>
        <v/>
      </c>
      <c r="H1373" t="str">
        <f>IF(C1373="","",(C1373/MEDIAN($C$2:D36934)))</f>
        <v/>
      </c>
    </row>
    <row r="1374" spans="7:8" x14ac:dyDescent="0.2">
      <c r="G1374" t="str">
        <f>IF(C1374="","",(C1374/AVERAGE($C$2:C36935)))</f>
        <v/>
      </c>
      <c r="H1374" t="str">
        <f>IF(C1374="","",(C1374/MEDIAN($C$2:D36935)))</f>
        <v/>
      </c>
    </row>
    <row r="1375" spans="7:8" x14ac:dyDescent="0.2">
      <c r="G1375" t="str">
        <f>IF(C1375="","",(C1375/AVERAGE($C$2:C36936)))</f>
        <v/>
      </c>
      <c r="H1375" t="str">
        <f>IF(C1375="","",(C1375/MEDIAN($C$2:D36936)))</f>
        <v/>
      </c>
    </row>
    <row r="1376" spans="7:8" x14ac:dyDescent="0.2">
      <c r="G1376" t="str">
        <f>IF(C1376="","",(C1376/AVERAGE($C$2:C36937)))</f>
        <v/>
      </c>
      <c r="H1376" t="str">
        <f>IF(C1376="","",(C1376/MEDIAN($C$2:D36937)))</f>
        <v/>
      </c>
    </row>
    <row r="1377" spans="7:8" x14ac:dyDescent="0.2">
      <c r="G1377" t="str">
        <f>IF(C1377="","",(C1377/AVERAGE($C$2:C36938)))</f>
        <v/>
      </c>
      <c r="H1377" t="str">
        <f>IF(C1377="","",(C1377/MEDIAN($C$2:D36938)))</f>
        <v/>
      </c>
    </row>
    <row r="1378" spans="7:8" x14ac:dyDescent="0.2">
      <c r="G1378" t="str">
        <f>IF(C1378="","",(C1378/AVERAGE($C$2:C36939)))</f>
        <v/>
      </c>
      <c r="H1378" t="str">
        <f>IF(C1378="","",(C1378/MEDIAN($C$2:D36939)))</f>
        <v/>
      </c>
    </row>
    <row r="1379" spans="7:8" x14ac:dyDescent="0.2">
      <c r="G1379" t="str">
        <f>IF(C1379="","",(C1379/AVERAGE($C$2:C36940)))</f>
        <v/>
      </c>
      <c r="H1379" t="str">
        <f>IF(C1379="","",(C1379/MEDIAN($C$2:D36940)))</f>
        <v/>
      </c>
    </row>
    <row r="1380" spans="7:8" x14ac:dyDescent="0.2">
      <c r="G1380" t="str">
        <f>IF(C1380="","",(C1380/AVERAGE($C$2:C36941)))</f>
        <v/>
      </c>
      <c r="H1380" t="str">
        <f>IF(C1380="","",(C1380/MEDIAN($C$2:D36941)))</f>
        <v/>
      </c>
    </row>
    <row r="1381" spans="7:8" x14ac:dyDescent="0.2">
      <c r="G1381" t="str">
        <f>IF(C1381="","",(C1381/AVERAGE($C$2:C36942)))</f>
        <v/>
      </c>
      <c r="H1381" t="str">
        <f>IF(C1381="","",(C1381/MEDIAN($C$2:D36942)))</f>
        <v/>
      </c>
    </row>
    <row r="1382" spans="7:8" x14ac:dyDescent="0.2">
      <c r="G1382" t="str">
        <f>IF(C1382="","",(C1382/AVERAGE($C$2:C36943)))</f>
        <v/>
      </c>
      <c r="H1382" t="str">
        <f>IF(C1382="","",(C1382/MEDIAN($C$2:D36943)))</f>
        <v/>
      </c>
    </row>
    <row r="1383" spans="7:8" x14ac:dyDescent="0.2">
      <c r="G1383" t="str">
        <f>IF(C1383="","",(C1383/AVERAGE($C$2:C36944)))</f>
        <v/>
      </c>
      <c r="H1383" t="str">
        <f>IF(C1383="","",(C1383/MEDIAN($C$2:D36944)))</f>
        <v/>
      </c>
    </row>
    <row r="1384" spans="7:8" x14ac:dyDescent="0.2">
      <c r="G1384" t="str">
        <f>IF(C1384="","",(C1384/AVERAGE($C$2:C36945)))</f>
        <v/>
      </c>
      <c r="H1384" t="str">
        <f>IF(C1384="","",(C1384/MEDIAN($C$2:D36945)))</f>
        <v/>
      </c>
    </row>
    <row r="1385" spans="7:8" x14ac:dyDescent="0.2">
      <c r="G1385" t="str">
        <f>IF(C1385="","",(C1385/AVERAGE($C$2:C36946)))</f>
        <v/>
      </c>
      <c r="H1385" t="str">
        <f>IF(C1385="","",(C1385/MEDIAN($C$2:D36946)))</f>
        <v/>
      </c>
    </row>
    <row r="1386" spans="7:8" x14ac:dyDescent="0.2">
      <c r="G1386" t="str">
        <f>IF(C1386="","",(C1386/AVERAGE($C$2:C36947)))</f>
        <v/>
      </c>
      <c r="H1386" t="str">
        <f>IF(C1386="","",(C1386/MEDIAN($C$2:D36947)))</f>
        <v/>
      </c>
    </row>
    <row r="1387" spans="7:8" x14ac:dyDescent="0.2">
      <c r="G1387" t="str">
        <f>IF(C1387="","",(C1387/AVERAGE($C$2:C36948)))</f>
        <v/>
      </c>
      <c r="H1387" t="str">
        <f>IF(C1387="","",(C1387/MEDIAN($C$2:D36948)))</f>
        <v/>
      </c>
    </row>
    <row r="1388" spans="7:8" x14ac:dyDescent="0.2">
      <c r="G1388" t="str">
        <f>IF(C1388="","",(C1388/AVERAGE($C$2:C36949)))</f>
        <v/>
      </c>
      <c r="H1388" t="str">
        <f>IF(C1388="","",(C1388/MEDIAN($C$2:D36949)))</f>
        <v/>
      </c>
    </row>
    <row r="1389" spans="7:8" x14ac:dyDescent="0.2">
      <c r="G1389" t="str">
        <f>IF(C1389="","",(C1389/AVERAGE($C$2:C36950)))</f>
        <v/>
      </c>
      <c r="H1389" t="str">
        <f>IF(C1389="","",(C1389/MEDIAN($C$2:D36950)))</f>
        <v/>
      </c>
    </row>
    <row r="1390" spans="7:8" x14ac:dyDescent="0.2">
      <c r="G1390" t="str">
        <f>IF(C1390="","",(C1390/AVERAGE($C$2:C36951)))</f>
        <v/>
      </c>
      <c r="H1390" t="str">
        <f>IF(C1390="","",(C1390/MEDIAN($C$2:D36951)))</f>
        <v/>
      </c>
    </row>
    <row r="1391" spans="7:8" x14ac:dyDescent="0.2">
      <c r="G1391" t="str">
        <f>IF(C1391="","",(C1391/AVERAGE($C$2:C36952)))</f>
        <v/>
      </c>
      <c r="H1391" t="str">
        <f>IF(C1391="","",(C1391/MEDIAN($C$2:D36952)))</f>
        <v/>
      </c>
    </row>
    <row r="1392" spans="7:8" x14ac:dyDescent="0.2">
      <c r="G1392" t="str">
        <f>IF(C1392="","",(C1392/AVERAGE($C$2:C36953)))</f>
        <v/>
      </c>
      <c r="H1392" t="str">
        <f>IF(C1392="","",(C1392/MEDIAN($C$2:D36953)))</f>
        <v/>
      </c>
    </row>
    <row r="1393" spans="7:8" x14ac:dyDescent="0.2">
      <c r="G1393" t="str">
        <f>IF(C1393="","",(C1393/AVERAGE($C$2:C36954)))</f>
        <v/>
      </c>
      <c r="H1393" t="str">
        <f>IF(C1393="","",(C1393/MEDIAN($C$2:D36954)))</f>
        <v/>
      </c>
    </row>
    <row r="1394" spans="7:8" x14ac:dyDescent="0.2">
      <c r="G1394" t="str">
        <f>IF(C1394="","",(C1394/AVERAGE($C$2:C36955)))</f>
        <v/>
      </c>
      <c r="H1394" t="str">
        <f>IF(C1394="","",(C1394/MEDIAN($C$2:D36955)))</f>
        <v/>
      </c>
    </row>
    <row r="1395" spans="7:8" x14ac:dyDescent="0.2">
      <c r="G1395" t="str">
        <f>IF(C1395="","",(C1395/AVERAGE($C$2:C36956)))</f>
        <v/>
      </c>
      <c r="H1395" t="str">
        <f>IF(C1395="","",(C1395/MEDIAN($C$2:D36956)))</f>
        <v/>
      </c>
    </row>
    <row r="1396" spans="7:8" x14ac:dyDescent="0.2">
      <c r="G1396" t="str">
        <f>IF(C1396="","",(C1396/AVERAGE($C$2:C36957)))</f>
        <v/>
      </c>
      <c r="H1396" t="str">
        <f>IF(C1396="","",(C1396/MEDIAN($C$2:D36957)))</f>
        <v/>
      </c>
    </row>
    <row r="1397" spans="7:8" x14ac:dyDescent="0.2">
      <c r="G1397" t="str">
        <f>IF(C1397="","",(C1397/AVERAGE($C$2:C36958)))</f>
        <v/>
      </c>
      <c r="H1397" t="str">
        <f>IF(C1397="","",(C1397/MEDIAN($C$2:D36958)))</f>
        <v/>
      </c>
    </row>
    <row r="1398" spans="7:8" x14ac:dyDescent="0.2">
      <c r="G1398" t="str">
        <f>IF(C1398="","",(C1398/AVERAGE($C$2:C36959)))</f>
        <v/>
      </c>
      <c r="H1398" t="str">
        <f>IF(C1398="","",(C1398/MEDIAN($C$2:D36959)))</f>
        <v/>
      </c>
    </row>
    <row r="1399" spans="7:8" x14ac:dyDescent="0.2">
      <c r="G1399" t="str">
        <f>IF(C1399="","",(C1399/AVERAGE($C$2:C36960)))</f>
        <v/>
      </c>
      <c r="H1399" t="str">
        <f>IF(C1399="","",(C1399/MEDIAN($C$2:D36960)))</f>
        <v/>
      </c>
    </row>
    <row r="1400" spans="7:8" x14ac:dyDescent="0.2">
      <c r="G1400" t="str">
        <f>IF(C1400="","",(C1400/AVERAGE($C$2:C36961)))</f>
        <v/>
      </c>
      <c r="H1400" t="str">
        <f>IF(C1400="","",(C1400/MEDIAN($C$2:D36961)))</f>
        <v/>
      </c>
    </row>
    <row r="1401" spans="7:8" x14ac:dyDescent="0.2">
      <c r="G1401" t="str">
        <f>IF(C1401="","",(C1401/AVERAGE($C$2:C36962)))</f>
        <v/>
      </c>
      <c r="H1401" t="str">
        <f>IF(C1401="","",(C1401/MEDIAN($C$2:D36962)))</f>
        <v/>
      </c>
    </row>
    <row r="1402" spans="7:8" x14ac:dyDescent="0.2">
      <c r="G1402" t="str">
        <f>IF(C1402="","",(C1402/AVERAGE($C$2:C36963)))</f>
        <v/>
      </c>
      <c r="H1402" t="str">
        <f>IF(C1402="","",(C1402/MEDIAN($C$2:D36963)))</f>
        <v/>
      </c>
    </row>
    <row r="1403" spans="7:8" x14ac:dyDescent="0.2">
      <c r="G1403" t="str">
        <f>IF(C1403="","",(C1403/AVERAGE($C$2:C36964)))</f>
        <v/>
      </c>
      <c r="H1403" t="str">
        <f>IF(C1403="","",(C1403/MEDIAN($C$2:D36964)))</f>
        <v/>
      </c>
    </row>
    <row r="1404" spans="7:8" x14ac:dyDescent="0.2">
      <c r="G1404" t="str">
        <f>IF(C1404="","",(C1404/AVERAGE($C$2:C36965)))</f>
        <v/>
      </c>
      <c r="H1404" t="str">
        <f>IF(C1404="","",(C1404/MEDIAN($C$2:D36965)))</f>
        <v/>
      </c>
    </row>
    <row r="1405" spans="7:8" x14ac:dyDescent="0.2">
      <c r="G1405" t="str">
        <f>IF(C1405="","",(C1405/AVERAGE($C$2:C36966)))</f>
        <v/>
      </c>
      <c r="H1405" t="str">
        <f>IF(C1405="","",(C1405/MEDIAN($C$2:D36966)))</f>
        <v/>
      </c>
    </row>
    <row r="1406" spans="7:8" x14ac:dyDescent="0.2">
      <c r="G1406" t="str">
        <f>IF(C1406="","",(C1406/AVERAGE($C$2:C36967)))</f>
        <v/>
      </c>
      <c r="H1406" t="str">
        <f>IF(C1406="","",(C1406/MEDIAN($C$2:D36967)))</f>
        <v/>
      </c>
    </row>
    <row r="1407" spans="7:8" x14ac:dyDescent="0.2">
      <c r="G1407" t="str">
        <f>IF(C1407="","",(C1407/AVERAGE($C$2:C36968)))</f>
        <v/>
      </c>
      <c r="H1407" t="str">
        <f>IF(C1407="","",(C1407/MEDIAN($C$2:D36968)))</f>
        <v/>
      </c>
    </row>
    <row r="1408" spans="7:8" x14ac:dyDescent="0.2">
      <c r="G1408" t="str">
        <f>IF(C1408="","",(C1408/AVERAGE($C$2:C36969)))</f>
        <v/>
      </c>
      <c r="H1408" t="str">
        <f>IF(C1408="","",(C1408/MEDIAN($C$2:D36969)))</f>
        <v/>
      </c>
    </row>
    <row r="1409" spans="7:8" x14ac:dyDescent="0.2">
      <c r="G1409" t="str">
        <f>IF(C1409="","",(C1409/AVERAGE($C$2:C36970)))</f>
        <v/>
      </c>
      <c r="H1409" t="str">
        <f>IF(C1409="","",(C1409/MEDIAN($C$2:D36970)))</f>
        <v/>
      </c>
    </row>
    <row r="1410" spans="7:8" x14ac:dyDescent="0.2">
      <c r="G1410" t="str">
        <f>IF(C1410="","",(C1410/AVERAGE($C$2:C36971)))</f>
        <v/>
      </c>
      <c r="H1410" t="str">
        <f>IF(C1410="","",(C1410/MEDIAN($C$2:D36971)))</f>
        <v/>
      </c>
    </row>
    <row r="1411" spans="7:8" x14ac:dyDescent="0.2">
      <c r="G1411" t="str">
        <f>IF(C1411="","",(C1411/AVERAGE($C$2:C36972)))</f>
        <v/>
      </c>
      <c r="H1411" t="str">
        <f>IF(C1411="","",(C1411/MEDIAN($C$2:D36972)))</f>
        <v/>
      </c>
    </row>
    <row r="1412" spans="7:8" x14ac:dyDescent="0.2">
      <c r="G1412" t="str">
        <f>IF(C1412="","",(C1412/AVERAGE($C$2:C36973)))</f>
        <v/>
      </c>
      <c r="H1412" t="str">
        <f>IF(C1412="","",(C1412/MEDIAN($C$2:D36973)))</f>
        <v/>
      </c>
    </row>
    <row r="1413" spans="7:8" x14ac:dyDescent="0.2">
      <c r="G1413" t="str">
        <f>IF(C1413="","",(C1413/AVERAGE($C$2:C36974)))</f>
        <v/>
      </c>
      <c r="H1413" t="str">
        <f>IF(C1413="","",(C1413/MEDIAN($C$2:D36974)))</f>
        <v/>
      </c>
    </row>
    <row r="1414" spans="7:8" x14ac:dyDescent="0.2">
      <c r="G1414" t="str">
        <f>IF(C1414="","",(C1414/AVERAGE($C$2:C36975)))</f>
        <v/>
      </c>
      <c r="H1414" t="str">
        <f>IF(C1414="","",(C1414/MEDIAN($C$2:D36975)))</f>
        <v/>
      </c>
    </row>
    <row r="1415" spans="7:8" x14ac:dyDescent="0.2">
      <c r="G1415" t="str">
        <f>IF(C1415="","",(C1415/AVERAGE($C$2:C36976)))</f>
        <v/>
      </c>
      <c r="H1415" t="str">
        <f>IF(C1415="","",(C1415/MEDIAN($C$2:D36976)))</f>
        <v/>
      </c>
    </row>
    <row r="1416" spans="7:8" x14ac:dyDescent="0.2">
      <c r="G1416" t="str">
        <f>IF(C1416="","",(C1416/AVERAGE($C$2:C36977)))</f>
        <v/>
      </c>
      <c r="H1416" t="str">
        <f>IF(C1416="","",(C1416/MEDIAN($C$2:D36977)))</f>
        <v/>
      </c>
    </row>
    <row r="1417" spans="7:8" x14ac:dyDescent="0.2">
      <c r="G1417" t="str">
        <f>IF(C1417="","",(C1417/AVERAGE($C$2:C36978)))</f>
        <v/>
      </c>
      <c r="H1417" t="str">
        <f>IF(C1417="","",(C1417/MEDIAN($C$2:D36978)))</f>
        <v/>
      </c>
    </row>
    <row r="1418" spans="7:8" x14ac:dyDescent="0.2">
      <c r="G1418" t="str">
        <f>IF(C1418="","",(C1418/AVERAGE($C$2:C36979)))</f>
        <v/>
      </c>
      <c r="H1418" t="str">
        <f>IF(C1418="","",(C1418/MEDIAN($C$2:D36979)))</f>
        <v/>
      </c>
    </row>
    <row r="1419" spans="7:8" x14ac:dyDescent="0.2">
      <c r="G1419" t="str">
        <f>IF(C1419="","",(C1419/AVERAGE($C$2:C36980)))</f>
        <v/>
      </c>
      <c r="H1419" t="str">
        <f>IF(C1419="","",(C1419/MEDIAN($C$2:D36980)))</f>
        <v/>
      </c>
    </row>
    <row r="1420" spans="7:8" x14ac:dyDescent="0.2">
      <c r="G1420" t="str">
        <f>IF(C1420="","",(C1420/AVERAGE($C$2:C36981)))</f>
        <v/>
      </c>
      <c r="H1420" t="str">
        <f>IF(C1420="","",(C1420/MEDIAN($C$2:D36981)))</f>
        <v/>
      </c>
    </row>
    <row r="1421" spans="7:8" x14ac:dyDescent="0.2">
      <c r="G1421" t="str">
        <f>IF(C1421="","",(C1421/AVERAGE($C$2:C36982)))</f>
        <v/>
      </c>
      <c r="H1421" t="str">
        <f>IF(C1421="","",(C1421/MEDIAN($C$2:D36982)))</f>
        <v/>
      </c>
    </row>
    <row r="1422" spans="7:8" x14ac:dyDescent="0.2">
      <c r="G1422" t="str">
        <f>IF(C1422="","",(C1422/AVERAGE($C$2:C36983)))</f>
        <v/>
      </c>
      <c r="H1422" t="str">
        <f>IF(C1422="","",(C1422/MEDIAN($C$2:D36983)))</f>
        <v/>
      </c>
    </row>
    <row r="1423" spans="7:8" x14ac:dyDescent="0.2">
      <c r="G1423" t="str">
        <f>IF(C1423="","",(C1423/AVERAGE($C$2:C36984)))</f>
        <v/>
      </c>
      <c r="H1423" t="str">
        <f>IF(C1423="","",(C1423/MEDIAN($C$2:D36984)))</f>
        <v/>
      </c>
    </row>
    <row r="1424" spans="7:8" x14ac:dyDescent="0.2">
      <c r="G1424" t="str">
        <f>IF(C1424="","",(C1424/AVERAGE($C$2:C36985)))</f>
        <v/>
      </c>
      <c r="H1424" t="str">
        <f>IF(C1424="","",(C1424/MEDIAN($C$2:D36985)))</f>
        <v/>
      </c>
    </row>
    <row r="1425" spans="7:8" x14ac:dyDescent="0.2">
      <c r="G1425" t="str">
        <f>IF(C1425="","",(C1425/AVERAGE($C$2:C36986)))</f>
        <v/>
      </c>
      <c r="H1425" t="str">
        <f>IF(C1425="","",(C1425/MEDIAN($C$2:D36986)))</f>
        <v/>
      </c>
    </row>
    <row r="1426" spans="7:8" x14ac:dyDescent="0.2">
      <c r="G1426" t="str">
        <f>IF(C1426="","",(C1426/AVERAGE($C$2:C36987)))</f>
        <v/>
      </c>
      <c r="H1426" t="str">
        <f>IF(C1426="","",(C1426/MEDIAN($C$2:D36987)))</f>
        <v/>
      </c>
    </row>
    <row r="1427" spans="7:8" x14ac:dyDescent="0.2">
      <c r="G1427" t="str">
        <f>IF(C1427="","",(C1427/AVERAGE($C$2:C36988)))</f>
        <v/>
      </c>
      <c r="H1427" t="str">
        <f>IF(C1427="","",(C1427/MEDIAN($C$2:D36988)))</f>
        <v/>
      </c>
    </row>
    <row r="1428" spans="7:8" x14ac:dyDescent="0.2">
      <c r="G1428" t="str">
        <f>IF(C1428="","",(C1428/AVERAGE($C$2:C36989)))</f>
        <v/>
      </c>
      <c r="H1428" t="str">
        <f>IF(C1428="","",(C1428/MEDIAN($C$2:D36989)))</f>
        <v/>
      </c>
    </row>
    <row r="1429" spans="7:8" x14ac:dyDescent="0.2">
      <c r="G1429" t="str">
        <f>IF(C1429="","",(C1429/AVERAGE($C$2:C36990)))</f>
        <v/>
      </c>
      <c r="H1429" t="str">
        <f>IF(C1429="","",(C1429/MEDIAN($C$2:D36990)))</f>
        <v/>
      </c>
    </row>
    <row r="1430" spans="7:8" x14ac:dyDescent="0.2">
      <c r="G1430" t="str">
        <f>IF(C1430="","",(C1430/AVERAGE($C$2:C36991)))</f>
        <v/>
      </c>
      <c r="H1430" t="str">
        <f>IF(C1430="","",(C1430/MEDIAN($C$2:D36991)))</f>
        <v/>
      </c>
    </row>
    <row r="1431" spans="7:8" x14ac:dyDescent="0.2">
      <c r="G1431" t="str">
        <f>IF(C1431="","",(C1431/AVERAGE($C$2:C36992)))</f>
        <v/>
      </c>
      <c r="H1431" t="str">
        <f>IF(C1431="","",(C1431/MEDIAN($C$2:D36992)))</f>
        <v/>
      </c>
    </row>
    <row r="1432" spans="7:8" x14ac:dyDescent="0.2">
      <c r="G1432" t="str">
        <f>IF(C1432="","",(C1432/AVERAGE($C$2:C36993)))</f>
        <v/>
      </c>
      <c r="H1432" t="str">
        <f>IF(C1432="","",(C1432/MEDIAN($C$2:D36993)))</f>
        <v/>
      </c>
    </row>
    <row r="1433" spans="7:8" x14ac:dyDescent="0.2">
      <c r="G1433" t="str">
        <f>IF(C1433="","",(C1433/AVERAGE($C$2:C36994)))</f>
        <v/>
      </c>
      <c r="H1433" t="str">
        <f>IF(C1433="","",(C1433/MEDIAN($C$2:D36994)))</f>
        <v/>
      </c>
    </row>
    <row r="1434" spans="7:8" x14ac:dyDescent="0.2">
      <c r="G1434" t="str">
        <f>IF(C1434="","",(C1434/AVERAGE($C$2:C36995)))</f>
        <v/>
      </c>
      <c r="H1434" t="str">
        <f>IF(C1434="","",(C1434/MEDIAN($C$2:D36995)))</f>
        <v/>
      </c>
    </row>
    <row r="1435" spans="7:8" x14ac:dyDescent="0.2">
      <c r="G1435" t="str">
        <f>IF(C1435="","",(C1435/AVERAGE($C$2:C36996)))</f>
        <v/>
      </c>
      <c r="H1435" t="str">
        <f>IF(C1435="","",(C1435/MEDIAN($C$2:D36996)))</f>
        <v/>
      </c>
    </row>
    <row r="1436" spans="7:8" x14ac:dyDescent="0.2">
      <c r="G1436" t="str">
        <f>IF(C1436="","",(C1436/AVERAGE($C$2:C36997)))</f>
        <v/>
      </c>
      <c r="H1436" t="str">
        <f>IF(C1436="","",(C1436/MEDIAN($C$2:D36997)))</f>
        <v/>
      </c>
    </row>
    <row r="1437" spans="7:8" x14ac:dyDescent="0.2">
      <c r="G1437" t="str">
        <f>IF(C1437="","",(C1437/AVERAGE($C$2:C36998)))</f>
        <v/>
      </c>
      <c r="H1437" t="str">
        <f>IF(C1437="","",(C1437/MEDIAN($C$2:D36998)))</f>
        <v/>
      </c>
    </row>
    <row r="1438" spans="7:8" x14ac:dyDescent="0.2">
      <c r="G1438" t="str">
        <f>IF(C1438="","",(C1438/AVERAGE($C$2:C36999)))</f>
        <v/>
      </c>
      <c r="H1438" t="str">
        <f>IF(C1438="","",(C1438/MEDIAN($C$2:D36999)))</f>
        <v/>
      </c>
    </row>
    <row r="1439" spans="7:8" x14ac:dyDescent="0.2">
      <c r="G1439" t="str">
        <f>IF(C1439="","",(C1439/AVERAGE($C$2:C37000)))</f>
        <v/>
      </c>
      <c r="H1439" t="str">
        <f>IF(C1439="","",(C1439/MEDIAN($C$2:D37000)))</f>
        <v/>
      </c>
    </row>
    <row r="1440" spans="7:8" x14ac:dyDescent="0.2">
      <c r="G1440" t="str">
        <f>IF(C1440="","",(C1440/AVERAGE($C$2:C37001)))</f>
        <v/>
      </c>
      <c r="H1440" t="str">
        <f>IF(C1440="","",(C1440/MEDIAN($C$2:D37001)))</f>
        <v/>
      </c>
    </row>
    <row r="1441" spans="7:8" x14ac:dyDescent="0.2">
      <c r="G1441" t="str">
        <f>IF(C1441="","",(C1441/AVERAGE($C$2:C37002)))</f>
        <v/>
      </c>
      <c r="H1441" t="str">
        <f>IF(C1441="","",(C1441/MEDIAN($C$2:D37002)))</f>
        <v/>
      </c>
    </row>
    <row r="1442" spans="7:8" x14ac:dyDescent="0.2">
      <c r="G1442" t="str">
        <f>IF(C1442="","",(C1442/AVERAGE($C$2:C37003)))</f>
        <v/>
      </c>
      <c r="H1442" t="str">
        <f>IF(C1442="","",(C1442/MEDIAN($C$2:D37003)))</f>
        <v/>
      </c>
    </row>
    <row r="1443" spans="7:8" x14ac:dyDescent="0.2">
      <c r="G1443" t="str">
        <f>IF(C1443="","",(C1443/AVERAGE($C$2:C37004)))</f>
        <v/>
      </c>
      <c r="H1443" t="str">
        <f>IF(C1443="","",(C1443/MEDIAN($C$2:D37004)))</f>
        <v/>
      </c>
    </row>
    <row r="1444" spans="7:8" x14ac:dyDescent="0.2">
      <c r="G1444" t="str">
        <f>IF(C1444="","",(C1444/AVERAGE($C$2:C37005)))</f>
        <v/>
      </c>
      <c r="H1444" t="str">
        <f>IF(C1444="","",(C1444/MEDIAN($C$2:D37005)))</f>
        <v/>
      </c>
    </row>
    <row r="1445" spans="7:8" x14ac:dyDescent="0.2">
      <c r="G1445" t="str">
        <f>IF(C1445="","",(C1445/AVERAGE($C$2:C37006)))</f>
        <v/>
      </c>
      <c r="H1445" t="str">
        <f>IF(C1445="","",(C1445/MEDIAN($C$2:D37006)))</f>
        <v/>
      </c>
    </row>
    <row r="1446" spans="7:8" x14ac:dyDescent="0.2">
      <c r="G1446" t="str">
        <f>IF(C1446="","",(C1446/AVERAGE($C$2:C37007)))</f>
        <v/>
      </c>
      <c r="H1446" t="str">
        <f>IF(C1446="","",(C1446/MEDIAN($C$2:D37007)))</f>
        <v/>
      </c>
    </row>
    <row r="1447" spans="7:8" x14ac:dyDescent="0.2">
      <c r="G1447" t="str">
        <f>IF(C1447="","",(C1447/AVERAGE($C$2:C37008)))</f>
        <v/>
      </c>
      <c r="H1447" t="str">
        <f>IF(C1447="","",(C1447/MEDIAN($C$2:D37008)))</f>
        <v/>
      </c>
    </row>
    <row r="1448" spans="7:8" x14ac:dyDescent="0.2">
      <c r="G1448" t="str">
        <f>IF(C1448="","",(C1448/AVERAGE($C$2:C37009)))</f>
        <v/>
      </c>
      <c r="H1448" t="str">
        <f>IF(C1448="","",(C1448/MEDIAN($C$2:D37009)))</f>
        <v/>
      </c>
    </row>
    <row r="1449" spans="7:8" x14ac:dyDescent="0.2">
      <c r="G1449" t="str">
        <f>IF(C1449="","",(C1449/AVERAGE($C$2:C37010)))</f>
        <v/>
      </c>
      <c r="H1449" t="str">
        <f>IF(C1449="","",(C1449/MEDIAN($C$2:D37010)))</f>
        <v/>
      </c>
    </row>
    <row r="1450" spans="7:8" x14ac:dyDescent="0.2">
      <c r="G1450" t="str">
        <f>IF(C1450="","",(C1450/AVERAGE($C$2:C37011)))</f>
        <v/>
      </c>
      <c r="H1450" t="str">
        <f>IF(C1450="","",(C1450/MEDIAN($C$2:D37011)))</f>
        <v/>
      </c>
    </row>
    <row r="1451" spans="7:8" x14ac:dyDescent="0.2">
      <c r="G1451" t="str">
        <f>IF(C1451="","",(C1451/AVERAGE($C$2:C37012)))</f>
        <v/>
      </c>
      <c r="H1451" t="str">
        <f>IF(C1451="","",(C1451/MEDIAN($C$2:D37012)))</f>
        <v/>
      </c>
    </row>
    <row r="1452" spans="7:8" x14ac:dyDescent="0.2">
      <c r="G1452" t="str">
        <f>IF(C1452="","",(C1452/AVERAGE($C$2:C37013)))</f>
        <v/>
      </c>
      <c r="H1452" t="str">
        <f>IF(C1452="","",(C1452/MEDIAN($C$2:D37013)))</f>
        <v/>
      </c>
    </row>
    <row r="1453" spans="7:8" x14ac:dyDescent="0.2">
      <c r="G1453" t="str">
        <f>IF(C1453="","",(C1453/AVERAGE($C$2:C37014)))</f>
        <v/>
      </c>
      <c r="H1453" t="str">
        <f>IF(C1453="","",(C1453/MEDIAN($C$2:D37014)))</f>
        <v/>
      </c>
    </row>
    <row r="1454" spans="7:8" x14ac:dyDescent="0.2">
      <c r="G1454" t="str">
        <f>IF(C1454="","",(C1454/AVERAGE($C$2:C37015)))</f>
        <v/>
      </c>
      <c r="H1454" t="str">
        <f>IF(C1454="","",(C1454/MEDIAN($C$2:D37015)))</f>
        <v/>
      </c>
    </row>
    <row r="1455" spans="7:8" x14ac:dyDescent="0.2">
      <c r="G1455" t="str">
        <f>IF(C1455="","",(C1455/AVERAGE($C$2:C37016)))</f>
        <v/>
      </c>
      <c r="H1455" t="str">
        <f>IF(C1455="","",(C1455/MEDIAN($C$2:D37016)))</f>
        <v/>
      </c>
    </row>
    <row r="1456" spans="7:8" x14ac:dyDescent="0.2">
      <c r="G1456" t="str">
        <f>IF(C1456="","",(C1456/AVERAGE($C$2:C37017)))</f>
        <v/>
      </c>
      <c r="H1456" t="str">
        <f>IF(C1456="","",(C1456/MEDIAN($C$2:D37017)))</f>
        <v/>
      </c>
    </row>
    <row r="1457" spans="7:8" x14ac:dyDescent="0.2">
      <c r="G1457" t="str">
        <f>IF(C1457="","",(C1457/AVERAGE($C$2:C37018)))</f>
        <v/>
      </c>
      <c r="H1457" t="str">
        <f>IF(C1457="","",(C1457/MEDIAN($C$2:D37018)))</f>
        <v/>
      </c>
    </row>
    <row r="1458" spans="7:8" x14ac:dyDescent="0.2">
      <c r="G1458" t="str">
        <f>IF(C1458="","",(C1458/AVERAGE($C$2:C37019)))</f>
        <v/>
      </c>
      <c r="H1458" t="str">
        <f>IF(C1458="","",(C1458/MEDIAN($C$2:D37019)))</f>
        <v/>
      </c>
    </row>
    <row r="1459" spans="7:8" x14ac:dyDescent="0.2">
      <c r="G1459" t="str">
        <f>IF(C1459="","",(C1459/AVERAGE($C$2:C37020)))</f>
        <v/>
      </c>
      <c r="H1459" t="str">
        <f>IF(C1459="","",(C1459/MEDIAN($C$2:D37020)))</f>
        <v/>
      </c>
    </row>
    <row r="1460" spans="7:8" x14ac:dyDescent="0.2">
      <c r="G1460" t="str">
        <f>IF(C1460="","",(C1460/AVERAGE($C$2:C37021)))</f>
        <v/>
      </c>
      <c r="H1460" t="str">
        <f>IF(C1460="","",(C1460/MEDIAN($C$2:D37021)))</f>
        <v/>
      </c>
    </row>
    <row r="1461" spans="7:8" x14ac:dyDescent="0.2">
      <c r="G1461" t="str">
        <f>IF(C1461="","",(C1461/AVERAGE($C$2:C37022)))</f>
        <v/>
      </c>
      <c r="H1461" t="str">
        <f>IF(C1461="","",(C1461/MEDIAN($C$2:D37022)))</f>
        <v/>
      </c>
    </row>
    <row r="1462" spans="7:8" x14ac:dyDescent="0.2">
      <c r="G1462" t="str">
        <f>IF(C1462="","",(C1462/AVERAGE($C$2:C37023)))</f>
        <v/>
      </c>
      <c r="H1462" t="str">
        <f>IF(C1462="","",(C1462/MEDIAN($C$2:D37023)))</f>
        <v/>
      </c>
    </row>
    <row r="1463" spans="7:8" x14ac:dyDescent="0.2">
      <c r="G1463" t="str">
        <f>IF(C1463="","",(C1463/AVERAGE($C$2:C37024)))</f>
        <v/>
      </c>
      <c r="H1463" t="str">
        <f>IF(C1463="","",(C1463/MEDIAN($C$2:D37024)))</f>
        <v/>
      </c>
    </row>
    <row r="1464" spans="7:8" x14ac:dyDescent="0.2">
      <c r="G1464" t="str">
        <f>IF(C1464="","",(C1464/AVERAGE($C$2:C37025)))</f>
        <v/>
      </c>
      <c r="H1464" t="str">
        <f>IF(C1464="","",(C1464/MEDIAN($C$2:D37025)))</f>
        <v/>
      </c>
    </row>
    <row r="1465" spans="7:8" x14ac:dyDescent="0.2">
      <c r="G1465" t="str">
        <f>IF(C1465="","",(C1465/AVERAGE($C$2:C37026)))</f>
        <v/>
      </c>
      <c r="H1465" t="str">
        <f>IF(C1465="","",(C1465/MEDIAN($C$2:D37026)))</f>
        <v/>
      </c>
    </row>
    <row r="1466" spans="7:8" x14ac:dyDescent="0.2">
      <c r="G1466" t="str">
        <f>IF(C1466="","",(C1466/AVERAGE($C$2:C37027)))</f>
        <v/>
      </c>
      <c r="H1466" t="str">
        <f>IF(C1466="","",(C1466/MEDIAN($C$2:D37027)))</f>
        <v/>
      </c>
    </row>
    <row r="1467" spans="7:8" x14ac:dyDescent="0.2">
      <c r="G1467" t="str">
        <f>IF(C1467="","",(C1467/AVERAGE($C$2:C37028)))</f>
        <v/>
      </c>
      <c r="H1467" t="str">
        <f>IF(C1467="","",(C1467/MEDIAN($C$2:D37028)))</f>
        <v/>
      </c>
    </row>
    <row r="1468" spans="7:8" x14ac:dyDescent="0.2">
      <c r="G1468" t="str">
        <f>IF(C1468="","",(C1468/AVERAGE($C$2:C37029)))</f>
        <v/>
      </c>
      <c r="H1468" t="str">
        <f>IF(C1468="","",(C1468/MEDIAN($C$2:D37029)))</f>
        <v/>
      </c>
    </row>
    <row r="1469" spans="7:8" x14ac:dyDescent="0.2">
      <c r="G1469" t="str">
        <f>IF(C1469="","",(C1469/AVERAGE($C$2:C37030)))</f>
        <v/>
      </c>
      <c r="H1469" t="str">
        <f>IF(C1469="","",(C1469/MEDIAN($C$2:D37030)))</f>
        <v/>
      </c>
    </row>
    <row r="1470" spans="7:8" x14ac:dyDescent="0.2">
      <c r="G1470" t="str">
        <f>IF(C1470="","",(C1470/AVERAGE($C$2:C37031)))</f>
        <v/>
      </c>
      <c r="H1470" t="str">
        <f>IF(C1470="","",(C1470/MEDIAN($C$2:D37031)))</f>
        <v/>
      </c>
    </row>
    <row r="1471" spans="7:8" x14ac:dyDescent="0.2">
      <c r="G1471" t="str">
        <f>IF(C1471="","",(C1471/AVERAGE($C$2:C37032)))</f>
        <v/>
      </c>
      <c r="H1471" t="str">
        <f>IF(C1471="","",(C1471/MEDIAN($C$2:D37032)))</f>
        <v/>
      </c>
    </row>
    <row r="1472" spans="7:8" x14ac:dyDescent="0.2">
      <c r="G1472" t="str">
        <f>IF(C1472="","",(C1472/AVERAGE($C$2:C37033)))</f>
        <v/>
      </c>
      <c r="H1472" t="str">
        <f>IF(C1472="","",(C1472/MEDIAN($C$2:D37033)))</f>
        <v/>
      </c>
    </row>
    <row r="1473" spans="7:8" x14ac:dyDescent="0.2">
      <c r="G1473" t="str">
        <f>IF(C1473="","",(C1473/AVERAGE($C$2:C37034)))</f>
        <v/>
      </c>
      <c r="H1473" t="str">
        <f>IF(C1473="","",(C1473/MEDIAN($C$2:D37034)))</f>
        <v/>
      </c>
    </row>
    <row r="1474" spans="7:8" x14ac:dyDescent="0.2">
      <c r="G1474" t="str">
        <f>IF(C1474="","",(C1474/AVERAGE($C$2:C37035)))</f>
        <v/>
      </c>
      <c r="H1474" t="str">
        <f>IF(C1474="","",(C1474/MEDIAN($C$2:D37035)))</f>
        <v/>
      </c>
    </row>
    <row r="1475" spans="7:8" x14ac:dyDescent="0.2">
      <c r="G1475" t="str">
        <f>IF(C1475="","",(C1475/AVERAGE($C$2:C37036)))</f>
        <v/>
      </c>
      <c r="H1475" t="str">
        <f>IF(C1475="","",(C1475/MEDIAN($C$2:D37036)))</f>
        <v/>
      </c>
    </row>
    <row r="1476" spans="7:8" x14ac:dyDescent="0.2">
      <c r="G1476" t="str">
        <f>IF(C1476="","",(C1476/AVERAGE($C$2:C37037)))</f>
        <v/>
      </c>
      <c r="H1476" t="str">
        <f>IF(C1476="","",(C1476/MEDIAN($C$2:D37037)))</f>
        <v/>
      </c>
    </row>
    <row r="1477" spans="7:8" x14ac:dyDescent="0.2">
      <c r="G1477" t="str">
        <f>IF(C1477="","",(C1477/AVERAGE($C$2:C37038)))</f>
        <v/>
      </c>
      <c r="H1477" t="str">
        <f>IF(C1477="","",(C1477/MEDIAN($C$2:D37038)))</f>
        <v/>
      </c>
    </row>
    <row r="1478" spans="7:8" x14ac:dyDescent="0.2">
      <c r="G1478" t="str">
        <f>IF(C1478="","",(C1478/AVERAGE($C$2:C37039)))</f>
        <v/>
      </c>
      <c r="H1478" t="str">
        <f>IF(C1478="","",(C1478/MEDIAN($C$2:D37039)))</f>
        <v/>
      </c>
    </row>
    <row r="1479" spans="7:8" x14ac:dyDescent="0.2">
      <c r="G1479" t="str">
        <f>IF(C1479="","",(C1479/AVERAGE($C$2:C37040)))</f>
        <v/>
      </c>
      <c r="H1479" t="str">
        <f>IF(C1479="","",(C1479/MEDIAN($C$2:D37040)))</f>
        <v/>
      </c>
    </row>
    <row r="1480" spans="7:8" x14ac:dyDescent="0.2">
      <c r="G1480" t="str">
        <f>IF(C1480="","",(C1480/AVERAGE($C$2:C37041)))</f>
        <v/>
      </c>
      <c r="H1480" t="str">
        <f>IF(C1480="","",(C1480/MEDIAN($C$2:D37041)))</f>
        <v/>
      </c>
    </row>
    <row r="1481" spans="7:8" x14ac:dyDescent="0.2">
      <c r="G1481" t="str">
        <f>IF(C1481="","",(C1481/AVERAGE($C$2:C37042)))</f>
        <v/>
      </c>
      <c r="H1481" t="str">
        <f>IF(C1481="","",(C1481/MEDIAN($C$2:D37042)))</f>
        <v/>
      </c>
    </row>
    <row r="1482" spans="7:8" x14ac:dyDescent="0.2">
      <c r="G1482" t="str">
        <f>IF(C1482="","",(C1482/AVERAGE($C$2:C37043)))</f>
        <v/>
      </c>
      <c r="H1482" t="str">
        <f>IF(C1482="","",(C1482/MEDIAN($C$2:D37043)))</f>
        <v/>
      </c>
    </row>
    <row r="1483" spans="7:8" x14ac:dyDescent="0.2">
      <c r="G1483" t="str">
        <f>IF(C1483="","",(C1483/AVERAGE($C$2:C37044)))</f>
        <v/>
      </c>
      <c r="H1483" t="str">
        <f>IF(C1483="","",(C1483/MEDIAN($C$2:D37044)))</f>
        <v/>
      </c>
    </row>
    <row r="1484" spans="7:8" x14ac:dyDescent="0.2">
      <c r="G1484" t="str">
        <f>IF(C1484="","",(C1484/AVERAGE($C$2:C37045)))</f>
        <v/>
      </c>
      <c r="H1484" t="str">
        <f>IF(C1484="","",(C1484/MEDIAN($C$2:D37045)))</f>
        <v/>
      </c>
    </row>
    <row r="1485" spans="7:8" x14ac:dyDescent="0.2">
      <c r="G1485" t="str">
        <f>IF(C1485="","",(C1485/AVERAGE($C$2:C37046)))</f>
        <v/>
      </c>
      <c r="H1485" t="str">
        <f>IF(C1485="","",(C1485/MEDIAN($C$2:D37046)))</f>
        <v/>
      </c>
    </row>
    <row r="1486" spans="7:8" x14ac:dyDescent="0.2">
      <c r="G1486" t="str">
        <f>IF(C1486="","",(C1486/AVERAGE($C$2:C37047)))</f>
        <v/>
      </c>
      <c r="H1486" t="str">
        <f>IF(C1486="","",(C1486/MEDIAN($C$2:D37047)))</f>
        <v/>
      </c>
    </row>
    <row r="1487" spans="7:8" x14ac:dyDescent="0.2">
      <c r="G1487" t="str">
        <f>IF(C1487="","",(C1487/AVERAGE($C$2:C37048)))</f>
        <v/>
      </c>
      <c r="H1487" t="str">
        <f>IF(C1487="","",(C1487/MEDIAN($C$2:D37048)))</f>
        <v/>
      </c>
    </row>
    <row r="1488" spans="7:8" x14ac:dyDescent="0.2">
      <c r="G1488" t="str">
        <f>IF(C1488="","",(C1488/AVERAGE($C$2:C37049)))</f>
        <v/>
      </c>
      <c r="H1488" t="str">
        <f>IF(C1488="","",(C1488/MEDIAN($C$2:D37049)))</f>
        <v/>
      </c>
    </row>
    <row r="1489" spans="7:8" x14ac:dyDescent="0.2">
      <c r="G1489" t="str">
        <f>IF(C1489="","",(C1489/AVERAGE($C$2:C37050)))</f>
        <v/>
      </c>
      <c r="H1489" t="str">
        <f>IF(C1489="","",(C1489/MEDIAN($C$2:D37050)))</f>
        <v/>
      </c>
    </row>
    <row r="1490" spans="7:8" x14ac:dyDescent="0.2">
      <c r="G1490" t="str">
        <f>IF(C1490="","",(C1490/AVERAGE($C$2:C37051)))</f>
        <v/>
      </c>
      <c r="H1490" t="str">
        <f>IF(C1490="","",(C1490/MEDIAN($C$2:D37051)))</f>
        <v/>
      </c>
    </row>
    <row r="1491" spans="7:8" x14ac:dyDescent="0.2">
      <c r="G1491" t="str">
        <f>IF(C1491="","",(C1491/AVERAGE($C$2:C37052)))</f>
        <v/>
      </c>
      <c r="H1491" t="str">
        <f>IF(C1491="","",(C1491/MEDIAN($C$2:D37052)))</f>
        <v/>
      </c>
    </row>
    <row r="1492" spans="7:8" x14ac:dyDescent="0.2">
      <c r="G1492" t="str">
        <f>IF(C1492="","",(C1492/AVERAGE($C$2:C37053)))</f>
        <v/>
      </c>
      <c r="H1492" t="str">
        <f>IF(C1492="","",(C1492/MEDIAN($C$2:D37053)))</f>
        <v/>
      </c>
    </row>
    <row r="1493" spans="7:8" x14ac:dyDescent="0.2">
      <c r="G1493" t="str">
        <f>IF(C1493="","",(C1493/AVERAGE($C$2:C37054)))</f>
        <v/>
      </c>
      <c r="H1493" t="str">
        <f>IF(C1493="","",(C1493/MEDIAN($C$2:D37054)))</f>
        <v/>
      </c>
    </row>
    <row r="1494" spans="7:8" x14ac:dyDescent="0.2">
      <c r="G1494" t="str">
        <f>IF(C1494="","",(C1494/AVERAGE($C$2:C37055)))</f>
        <v/>
      </c>
      <c r="H1494" t="str">
        <f>IF(C1494="","",(C1494/MEDIAN($C$2:D37055)))</f>
        <v/>
      </c>
    </row>
    <row r="1495" spans="7:8" x14ac:dyDescent="0.2">
      <c r="G1495" t="str">
        <f>IF(C1495="","",(C1495/AVERAGE($C$2:C37056)))</f>
        <v/>
      </c>
      <c r="H1495" t="str">
        <f>IF(C1495="","",(C1495/MEDIAN($C$2:D37056)))</f>
        <v/>
      </c>
    </row>
    <row r="1496" spans="7:8" x14ac:dyDescent="0.2">
      <c r="G1496" t="str">
        <f>IF(C1496="","",(C1496/AVERAGE($C$2:C37057)))</f>
        <v/>
      </c>
      <c r="H1496" t="str">
        <f>IF(C1496="","",(C1496/MEDIAN($C$2:D37057)))</f>
        <v/>
      </c>
    </row>
    <row r="1497" spans="7:8" x14ac:dyDescent="0.2">
      <c r="G1497" t="str">
        <f>IF(C1497="","",(C1497/AVERAGE($C$2:C37058)))</f>
        <v/>
      </c>
      <c r="H1497" t="str">
        <f>IF(C1497="","",(C1497/MEDIAN($C$2:D37058)))</f>
        <v/>
      </c>
    </row>
    <row r="1498" spans="7:8" x14ac:dyDescent="0.2">
      <c r="G1498" t="str">
        <f>IF(C1498="","",(C1498/AVERAGE($C$2:C37059)))</f>
        <v/>
      </c>
      <c r="H1498" t="str">
        <f>IF(C1498="","",(C1498/MEDIAN($C$2:D37059)))</f>
        <v/>
      </c>
    </row>
    <row r="1499" spans="7:8" x14ac:dyDescent="0.2">
      <c r="G1499" t="str">
        <f>IF(C1499="","",(C1499/AVERAGE($C$2:C37060)))</f>
        <v/>
      </c>
      <c r="H1499" t="str">
        <f>IF(C1499="","",(C1499/MEDIAN($C$2:D37060)))</f>
        <v/>
      </c>
    </row>
    <row r="1500" spans="7:8" x14ac:dyDescent="0.2">
      <c r="G1500" t="str">
        <f>IF(C1500="","",(C1500/AVERAGE($C$2:C37061)))</f>
        <v/>
      </c>
      <c r="H1500" t="str">
        <f>IF(C1500="","",(C1500/MEDIAN($C$2:D37061)))</f>
        <v/>
      </c>
    </row>
    <row r="1501" spans="7:8" x14ac:dyDescent="0.2">
      <c r="G1501" t="str">
        <f>IF(C1501="","",(C1501/AVERAGE($C$2:C37062)))</f>
        <v/>
      </c>
      <c r="H1501" t="str">
        <f>IF(C1501="","",(C1501/MEDIAN($C$2:D37062)))</f>
        <v/>
      </c>
    </row>
    <row r="1502" spans="7:8" x14ac:dyDescent="0.2">
      <c r="G1502" t="str">
        <f>IF(C1502="","",(C1502/AVERAGE($C$2:C37063)))</f>
        <v/>
      </c>
      <c r="H1502" t="str">
        <f>IF(C1502="","",(C1502/MEDIAN($C$2:D37063)))</f>
        <v/>
      </c>
    </row>
    <row r="1503" spans="7:8" x14ac:dyDescent="0.2">
      <c r="G1503" t="str">
        <f>IF(C1503="","",(C1503/AVERAGE($C$2:C37064)))</f>
        <v/>
      </c>
      <c r="H1503" t="str">
        <f>IF(C1503="","",(C1503/MEDIAN($C$2:D37064)))</f>
        <v/>
      </c>
    </row>
    <row r="1504" spans="7:8" x14ac:dyDescent="0.2">
      <c r="G1504" t="str">
        <f>IF(C1504="","",(C1504/AVERAGE($C$2:C37065)))</f>
        <v/>
      </c>
      <c r="H1504" t="str">
        <f>IF(C1504="","",(C1504/MEDIAN($C$2:D37065)))</f>
        <v/>
      </c>
    </row>
    <row r="1505" spans="7:8" x14ac:dyDescent="0.2">
      <c r="G1505" t="str">
        <f>IF(C1505="","",(C1505/AVERAGE($C$2:C37066)))</f>
        <v/>
      </c>
      <c r="H1505" t="str">
        <f>IF(C1505="","",(C1505/MEDIAN($C$2:D37066)))</f>
        <v/>
      </c>
    </row>
    <row r="1506" spans="7:8" x14ac:dyDescent="0.2">
      <c r="G1506" t="str">
        <f>IF(C1506="","",(C1506/AVERAGE($C$2:C37067)))</f>
        <v/>
      </c>
      <c r="H1506" t="str">
        <f>IF(C1506="","",(C1506/MEDIAN($C$2:D37067)))</f>
        <v/>
      </c>
    </row>
    <row r="1507" spans="7:8" x14ac:dyDescent="0.2">
      <c r="G1507" t="str">
        <f>IF(C1507="","",(C1507/AVERAGE($C$2:C37068)))</f>
        <v/>
      </c>
      <c r="H1507" t="str">
        <f>IF(C1507="","",(C1507/MEDIAN($C$2:D37068)))</f>
        <v/>
      </c>
    </row>
    <row r="1508" spans="7:8" x14ac:dyDescent="0.2">
      <c r="G1508" t="str">
        <f>IF(C1508="","",(C1508/AVERAGE($C$2:C37069)))</f>
        <v/>
      </c>
      <c r="H1508" t="str">
        <f>IF(C1508="","",(C1508/MEDIAN($C$2:D37069)))</f>
        <v/>
      </c>
    </row>
    <row r="1509" spans="7:8" x14ac:dyDescent="0.2">
      <c r="G1509" t="str">
        <f>IF(C1509="","",(C1509/AVERAGE($C$2:C37070)))</f>
        <v/>
      </c>
      <c r="H1509" t="str">
        <f>IF(C1509="","",(C1509/MEDIAN($C$2:D37070)))</f>
        <v/>
      </c>
    </row>
    <row r="1510" spans="7:8" x14ac:dyDescent="0.2">
      <c r="G1510" t="str">
        <f>IF(C1510="","",(C1510/AVERAGE($C$2:C37071)))</f>
        <v/>
      </c>
      <c r="H1510" t="str">
        <f>IF(C1510="","",(C1510/MEDIAN($C$2:D37071)))</f>
        <v/>
      </c>
    </row>
    <row r="1511" spans="7:8" x14ac:dyDescent="0.2">
      <c r="G1511" t="str">
        <f>IF(C1511="","",(C1511/AVERAGE($C$2:C37072)))</f>
        <v/>
      </c>
      <c r="H1511" t="str">
        <f>IF(C1511="","",(C1511/MEDIAN($C$2:D37072)))</f>
        <v/>
      </c>
    </row>
    <row r="1512" spans="7:8" x14ac:dyDescent="0.2">
      <c r="G1512" t="str">
        <f>IF(C1512="","",(C1512/AVERAGE($C$2:C37073)))</f>
        <v/>
      </c>
      <c r="H1512" t="str">
        <f>IF(C1512="","",(C1512/MEDIAN($C$2:D37073)))</f>
        <v/>
      </c>
    </row>
    <row r="1513" spans="7:8" x14ac:dyDescent="0.2">
      <c r="G1513" t="str">
        <f>IF(C1513="","",(C1513/AVERAGE($C$2:C37074)))</f>
        <v/>
      </c>
      <c r="H1513" t="str">
        <f>IF(C1513="","",(C1513/MEDIAN($C$2:D37074)))</f>
        <v/>
      </c>
    </row>
    <row r="1514" spans="7:8" x14ac:dyDescent="0.2">
      <c r="G1514" t="str">
        <f>IF(C1514="","",(C1514/AVERAGE($C$2:C37075)))</f>
        <v/>
      </c>
      <c r="H1514" t="str">
        <f>IF(C1514="","",(C1514/MEDIAN($C$2:D37075)))</f>
        <v/>
      </c>
    </row>
    <row r="1515" spans="7:8" x14ac:dyDescent="0.2">
      <c r="G1515" t="str">
        <f>IF(C1515="","",(C1515/AVERAGE($C$2:C37076)))</f>
        <v/>
      </c>
      <c r="H1515" t="str">
        <f>IF(C1515="","",(C1515/MEDIAN($C$2:D37076)))</f>
        <v/>
      </c>
    </row>
    <row r="1516" spans="7:8" x14ac:dyDescent="0.2">
      <c r="G1516" t="str">
        <f>IF(C1516="","",(C1516/AVERAGE($C$2:C37077)))</f>
        <v/>
      </c>
      <c r="H1516" t="str">
        <f>IF(C1516="","",(C1516/MEDIAN($C$2:D37077)))</f>
        <v/>
      </c>
    </row>
    <row r="1517" spans="7:8" x14ac:dyDescent="0.2">
      <c r="G1517" t="str">
        <f>IF(C1517="","",(C1517/AVERAGE($C$2:C37078)))</f>
        <v/>
      </c>
      <c r="H1517" t="str">
        <f>IF(C1517="","",(C1517/MEDIAN($C$2:D37078)))</f>
        <v/>
      </c>
    </row>
    <row r="1518" spans="7:8" x14ac:dyDescent="0.2">
      <c r="G1518" t="str">
        <f>IF(C1518="","",(C1518/AVERAGE($C$2:C37079)))</f>
        <v/>
      </c>
      <c r="H1518" t="str">
        <f>IF(C1518="","",(C1518/MEDIAN($C$2:D37079)))</f>
        <v/>
      </c>
    </row>
    <row r="1519" spans="7:8" x14ac:dyDescent="0.2">
      <c r="G1519" t="str">
        <f>IF(C1519="","",(C1519/AVERAGE($C$2:C37080)))</f>
        <v/>
      </c>
      <c r="H1519" t="str">
        <f>IF(C1519="","",(C1519/MEDIAN($C$2:D37080)))</f>
        <v/>
      </c>
    </row>
    <row r="1520" spans="7:8" x14ac:dyDescent="0.2">
      <c r="G1520" t="str">
        <f>IF(C1520="","",(C1520/AVERAGE($C$2:C37081)))</f>
        <v/>
      </c>
      <c r="H1520" t="str">
        <f>IF(C1520="","",(C1520/MEDIAN($C$2:D37081)))</f>
        <v/>
      </c>
    </row>
    <row r="1521" spans="7:8" x14ac:dyDescent="0.2">
      <c r="G1521" t="str">
        <f>IF(C1521="","",(C1521/AVERAGE($C$2:C37082)))</f>
        <v/>
      </c>
      <c r="H1521" t="str">
        <f>IF(C1521="","",(C1521/MEDIAN($C$2:D37082)))</f>
        <v/>
      </c>
    </row>
    <row r="1522" spans="7:8" x14ac:dyDescent="0.2">
      <c r="G1522" t="str">
        <f>IF(C1522="","",(C1522/AVERAGE($C$2:C37083)))</f>
        <v/>
      </c>
      <c r="H1522" t="str">
        <f>IF(C1522="","",(C1522/MEDIAN($C$2:D37083)))</f>
        <v/>
      </c>
    </row>
    <row r="1523" spans="7:8" x14ac:dyDescent="0.2">
      <c r="G1523" t="str">
        <f>IF(C1523="","",(C1523/AVERAGE($C$2:C37084)))</f>
        <v/>
      </c>
      <c r="H1523" t="str">
        <f>IF(C1523="","",(C1523/MEDIAN($C$2:D37084)))</f>
        <v/>
      </c>
    </row>
    <row r="1524" spans="7:8" x14ac:dyDescent="0.2">
      <c r="G1524" t="str">
        <f>IF(C1524="","",(C1524/AVERAGE($C$2:C37085)))</f>
        <v/>
      </c>
      <c r="H1524" t="str">
        <f>IF(C1524="","",(C1524/MEDIAN($C$2:D37085)))</f>
        <v/>
      </c>
    </row>
    <row r="1525" spans="7:8" x14ac:dyDescent="0.2">
      <c r="G1525" t="str">
        <f>IF(C1525="","",(C1525/AVERAGE($C$2:C37086)))</f>
        <v/>
      </c>
      <c r="H1525" t="str">
        <f>IF(C1525="","",(C1525/MEDIAN($C$2:D37086)))</f>
        <v/>
      </c>
    </row>
    <row r="1526" spans="7:8" x14ac:dyDescent="0.2">
      <c r="G1526" t="str">
        <f>IF(C1526="","",(C1526/AVERAGE($C$2:C37087)))</f>
        <v/>
      </c>
      <c r="H1526" t="str">
        <f>IF(C1526="","",(C1526/MEDIAN($C$2:D37087)))</f>
        <v/>
      </c>
    </row>
    <row r="1527" spans="7:8" x14ac:dyDescent="0.2">
      <c r="G1527" t="str">
        <f>IF(C1527="","",(C1527/AVERAGE($C$2:C37088)))</f>
        <v/>
      </c>
      <c r="H1527" t="str">
        <f>IF(C1527="","",(C1527/MEDIAN($C$2:D37088)))</f>
        <v/>
      </c>
    </row>
    <row r="1528" spans="7:8" x14ac:dyDescent="0.2">
      <c r="G1528" t="str">
        <f>IF(C1528="","",(C1528/AVERAGE($C$2:C37089)))</f>
        <v/>
      </c>
      <c r="H1528" t="str">
        <f>IF(C1528="","",(C1528/MEDIAN($C$2:D37089)))</f>
        <v/>
      </c>
    </row>
    <row r="1529" spans="7:8" x14ac:dyDescent="0.2">
      <c r="G1529" t="str">
        <f>IF(C1529="","",(C1529/AVERAGE($C$2:C37090)))</f>
        <v/>
      </c>
      <c r="H1529" t="str">
        <f>IF(C1529="","",(C1529/MEDIAN($C$2:D37090)))</f>
        <v/>
      </c>
    </row>
    <row r="1530" spans="7:8" x14ac:dyDescent="0.2">
      <c r="G1530" t="str">
        <f>IF(C1530="","",(C1530/AVERAGE($C$2:C37091)))</f>
        <v/>
      </c>
      <c r="H1530" t="str">
        <f>IF(C1530="","",(C1530/MEDIAN($C$2:D37091)))</f>
        <v/>
      </c>
    </row>
    <row r="1531" spans="7:8" x14ac:dyDescent="0.2">
      <c r="G1531" t="str">
        <f>IF(C1531="","",(C1531/AVERAGE($C$2:C37092)))</f>
        <v/>
      </c>
      <c r="H1531" t="str">
        <f>IF(C1531="","",(C1531/MEDIAN($C$2:D37092)))</f>
        <v/>
      </c>
    </row>
    <row r="1532" spans="7:8" x14ac:dyDescent="0.2">
      <c r="G1532" t="str">
        <f>IF(C1532="","",(C1532/AVERAGE($C$2:C37093)))</f>
        <v/>
      </c>
      <c r="H1532" t="str">
        <f>IF(C1532="","",(C1532/MEDIAN($C$2:D37093)))</f>
        <v/>
      </c>
    </row>
    <row r="1533" spans="7:8" x14ac:dyDescent="0.2">
      <c r="G1533" t="str">
        <f>IF(C1533="","",(C1533/AVERAGE($C$2:C37094)))</f>
        <v/>
      </c>
      <c r="H1533" t="str">
        <f>IF(C1533="","",(C1533/MEDIAN($C$2:D37094)))</f>
        <v/>
      </c>
    </row>
    <row r="1534" spans="7:8" x14ac:dyDescent="0.2">
      <c r="G1534" t="str">
        <f>IF(C1534="","",(C1534/AVERAGE($C$2:C37095)))</f>
        <v/>
      </c>
      <c r="H1534" t="str">
        <f>IF(C1534="","",(C1534/MEDIAN($C$2:D37095)))</f>
        <v/>
      </c>
    </row>
    <row r="1535" spans="7:8" x14ac:dyDescent="0.2">
      <c r="G1535" t="str">
        <f>IF(C1535="","",(C1535/AVERAGE($C$2:C37096)))</f>
        <v/>
      </c>
      <c r="H1535" t="str">
        <f>IF(C1535="","",(C1535/MEDIAN($C$2:D37096)))</f>
        <v/>
      </c>
    </row>
    <row r="1536" spans="7:8" x14ac:dyDescent="0.2">
      <c r="G1536" t="str">
        <f>IF(C1536="","",(C1536/AVERAGE($C$2:C37097)))</f>
        <v/>
      </c>
      <c r="H1536" t="str">
        <f>IF(C1536="","",(C1536/MEDIAN($C$2:D37097)))</f>
        <v/>
      </c>
    </row>
    <row r="1537" spans="7:8" x14ac:dyDescent="0.2">
      <c r="G1537" t="str">
        <f>IF(C1537="","",(C1537/AVERAGE($C$2:C37098)))</f>
        <v/>
      </c>
      <c r="H1537" t="str">
        <f>IF(C1537="","",(C1537/MEDIAN($C$2:D37098)))</f>
        <v/>
      </c>
    </row>
    <row r="1538" spans="7:8" x14ac:dyDescent="0.2">
      <c r="G1538" t="str">
        <f>IF(C1538="","",(C1538/AVERAGE($C$2:C37099)))</f>
        <v/>
      </c>
      <c r="H1538" t="str">
        <f>IF(C1538="","",(C1538/MEDIAN($C$2:D37099)))</f>
        <v/>
      </c>
    </row>
    <row r="1539" spans="7:8" x14ac:dyDescent="0.2">
      <c r="G1539" t="str">
        <f>IF(C1539="","",(C1539/AVERAGE($C$2:C37100)))</f>
        <v/>
      </c>
      <c r="H1539" t="str">
        <f>IF(C1539="","",(C1539/MEDIAN($C$2:D37100)))</f>
        <v/>
      </c>
    </row>
    <row r="1540" spans="7:8" x14ac:dyDescent="0.2">
      <c r="G1540" t="str">
        <f>IF(C1540="","",(C1540/AVERAGE($C$2:C37101)))</f>
        <v/>
      </c>
      <c r="H1540" t="str">
        <f>IF(C1540="","",(C1540/MEDIAN($C$2:D37101)))</f>
        <v/>
      </c>
    </row>
    <row r="1541" spans="7:8" x14ac:dyDescent="0.2">
      <c r="G1541" t="str">
        <f>IF(C1541="","",(C1541/AVERAGE($C$2:C37102)))</f>
        <v/>
      </c>
      <c r="H1541" t="str">
        <f>IF(C1541="","",(C1541/MEDIAN($C$2:D37102)))</f>
        <v/>
      </c>
    </row>
    <row r="1542" spans="7:8" x14ac:dyDescent="0.2">
      <c r="G1542" t="str">
        <f>IF(C1542="","",(C1542/AVERAGE($C$2:C37103)))</f>
        <v/>
      </c>
      <c r="H1542" t="str">
        <f>IF(C1542="","",(C1542/MEDIAN($C$2:D37103)))</f>
        <v/>
      </c>
    </row>
    <row r="1543" spans="7:8" x14ac:dyDescent="0.2">
      <c r="G1543" t="str">
        <f>IF(C1543="","",(C1543/AVERAGE($C$2:C37104)))</f>
        <v/>
      </c>
      <c r="H1543" t="str">
        <f>IF(C1543="","",(C1543/MEDIAN($C$2:D37104)))</f>
        <v/>
      </c>
    </row>
    <row r="1544" spans="7:8" x14ac:dyDescent="0.2">
      <c r="G1544" t="str">
        <f>IF(C1544="","",(C1544/AVERAGE($C$2:C37105)))</f>
        <v/>
      </c>
      <c r="H1544" t="str">
        <f>IF(C1544="","",(C1544/MEDIAN($C$2:D37105)))</f>
        <v/>
      </c>
    </row>
    <row r="1545" spans="7:8" x14ac:dyDescent="0.2">
      <c r="G1545" t="str">
        <f>IF(C1545="","",(C1545/AVERAGE($C$2:C37106)))</f>
        <v/>
      </c>
      <c r="H1545" t="str">
        <f>IF(C1545="","",(C1545/MEDIAN($C$2:D37106)))</f>
        <v/>
      </c>
    </row>
    <row r="1546" spans="7:8" x14ac:dyDescent="0.2">
      <c r="G1546" t="str">
        <f>IF(C1546="","",(C1546/AVERAGE($C$2:C37107)))</f>
        <v/>
      </c>
      <c r="H1546" t="str">
        <f>IF(C1546="","",(C1546/MEDIAN($C$2:D37107)))</f>
        <v/>
      </c>
    </row>
    <row r="1547" spans="7:8" x14ac:dyDescent="0.2">
      <c r="G1547" t="str">
        <f>IF(C1547="","",(C1547/AVERAGE($C$2:C37108)))</f>
        <v/>
      </c>
      <c r="H1547" t="str">
        <f>IF(C1547="","",(C1547/MEDIAN($C$2:D37108)))</f>
        <v/>
      </c>
    </row>
    <row r="1548" spans="7:8" x14ac:dyDescent="0.2">
      <c r="G1548" t="str">
        <f>IF(C1548="","",(C1548/AVERAGE($C$2:C37109)))</f>
        <v/>
      </c>
      <c r="H1548" t="str">
        <f>IF(C1548="","",(C1548/MEDIAN($C$2:D37109)))</f>
        <v/>
      </c>
    </row>
    <row r="1549" spans="7:8" x14ac:dyDescent="0.2">
      <c r="G1549" t="str">
        <f>IF(C1549="","",(C1549/AVERAGE($C$2:C37110)))</f>
        <v/>
      </c>
      <c r="H1549" t="str">
        <f>IF(C1549="","",(C1549/MEDIAN($C$2:D37110)))</f>
        <v/>
      </c>
    </row>
    <row r="1550" spans="7:8" x14ac:dyDescent="0.2">
      <c r="G1550" t="str">
        <f>IF(C1550="","",(C1550/AVERAGE($C$2:C37111)))</f>
        <v/>
      </c>
      <c r="H1550" t="str">
        <f>IF(C1550="","",(C1550/MEDIAN($C$2:D37111)))</f>
        <v/>
      </c>
    </row>
    <row r="1551" spans="7:8" x14ac:dyDescent="0.2">
      <c r="G1551" t="str">
        <f>IF(C1551="","",(C1551/AVERAGE($C$2:C37112)))</f>
        <v/>
      </c>
      <c r="H1551" t="str">
        <f>IF(C1551="","",(C1551/MEDIAN($C$2:D37112)))</f>
        <v/>
      </c>
    </row>
    <row r="1552" spans="7:8" x14ac:dyDescent="0.2">
      <c r="G1552" t="str">
        <f>IF(C1552="","",(C1552/AVERAGE($C$2:C37113)))</f>
        <v/>
      </c>
      <c r="H1552" t="str">
        <f>IF(C1552="","",(C1552/MEDIAN($C$2:D37113)))</f>
        <v/>
      </c>
    </row>
    <row r="1553" spans="7:8" x14ac:dyDescent="0.2">
      <c r="G1553" t="str">
        <f>IF(C1553="","",(C1553/AVERAGE($C$2:C37114)))</f>
        <v/>
      </c>
      <c r="H1553" t="str">
        <f>IF(C1553="","",(C1553/MEDIAN($C$2:D37114)))</f>
        <v/>
      </c>
    </row>
    <row r="1554" spans="7:8" x14ac:dyDescent="0.2">
      <c r="G1554" t="str">
        <f>IF(C1554="","",(C1554/AVERAGE($C$2:C37115)))</f>
        <v/>
      </c>
      <c r="H1554" t="str">
        <f>IF(C1554="","",(C1554/MEDIAN($C$2:D37115)))</f>
        <v/>
      </c>
    </row>
    <row r="1555" spans="7:8" x14ac:dyDescent="0.2">
      <c r="G1555" t="str">
        <f>IF(C1555="","",(C1555/AVERAGE($C$2:C37116)))</f>
        <v/>
      </c>
      <c r="H1555" t="str">
        <f>IF(C1555="","",(C1555/MEDIAN($C$2:D37116)))</f>
        <v/>
      </c>
    </row>
    <row r="1556" spans="7:8" x14ac:dyDescent="0.2">
      <c r="G1556" t="str">
        <f>IF(C1556="","",(C1556/AVERAGE($C$2:C37117)))</f>
        <v/>
      </c>
      <c r="H1556" t="str">
        <f>IF(C1556="","",(C1556/MEDIAN($C$2:D37117)))</f>
        <v/>
      </c>
    </row>
    <row r="1557" spans="7:8" x14ac:dyDescent="0.2">
      <c r="G1557" t="str">
        <f>IF(C1557="","",(C1557/AVERAGE($C$2:C37118)))</f>
        <v/>
      </c>
      <c r="H1557" t="str">
        <f>IF(C1557="","",(C1557/MEDIAN($C$2:D37118)))</f>
        <v/>
      </c>
    </row>
    <row r="1558" spans="7:8" x14ac:dyDescent="0.2">
      <c r="G1558" t="str">
        <f>IF(C1558="","",(C1558/AVERAGE($C$2:C37119)))</f>
        <v/>
      </c>
      <c r="H1558" t="str">
        <f>IF(C1558="","",(C1558/MEDIAN($C$2:D37119)))</f>
        <v/>
      </c>
    </row>
    <row r="1559" spans="7:8" x14ac:dyDescent="0.2">
      <c r="G1559" t="str">
        <f>IF(C1559="","",(C1559/AVERAGE($C$2:C37120)))</f>
        <v/>
      </c>
      <c r="H1559" t="str">
        <f>IF(C1559="","",(C1559/MEDIAN($C$2:D37120)))</f>
        <v/>
      </c>
    </row>
    <row r="1560" spans="7:8" x14ac:dyDescent="0.2">
      <c r="G1560" t="str">
        <f>IF(C1560="","",(C1560/AVERAGE($C$2:C37121)))</f>
        <v/>
      </c>
      <c r="H1560" t="str">
        <f>IF(C1560="","",(C1560/MEDIAN($C$2:D37121)))</f>
        <v/>
      </c>
    </row>
    <row r="1561" spans="7:8" x14ac:dyDescent="0.2">
      <c r="G1561" t="str">
        <f>IF(C1561="","",(C1561/AVERAGE($C$2:C37122)))</f>
        <v/>
      </c>
      <c r="H1561" t="str">
        <f>IF(C1561="","",(C1561/MEDIAN($C$2:D37122)))</f>
        <v/>
      </c>
    </row>
    <row r="1562" spans="7:8" x14ac:dyDescent="0.2">
      <c r="G1562" t="str">
        <f>IF(C1562="","",(C1562/AVERAGE($C$2:C37123)))</f>
        <v/>
      </c>
      <c r="H1562" t="str">
        <f>IF(C1562="","",(C1562/MEDIAN($C$2:D37123)))</f>
        <v/>
      </c>
    </row>
    <row r="1563" spans="7:8" x14ac:dyDescent="0.2">
      <c r="G1563" t="str">
        <f>IF(C1563="","",(C1563/AVERAGE($C$2:C37124)))</f>
        <v/>
      </c>
      <c r="H1563" t="str">
        <f>IF(C1563="","",(C1563/MEDIAN($C$2:D37124)))</f>
        <v/>
      </c>
    </row>
    <row r="1564" spans="7:8" x14ac:dyDescent="0.2">
      <c r="G1564" t="str">
        <f>IF(C1564="","",(C1564/AVERAGE($C$2:C37125)))</f>
        <v/>
      </c>
      <c r="H1564" t="str">
        <f>IF(C1564="","",(C1564/MEDIAN($C$2:D37125)))</f>
        <v/>
      </c>
    </row>
    <row r="1565" spans="7:8" x14ac:dyDescent="0.2">
      <c r="G1565" t="str">
        <f>IF(C1565="","",(C1565/AVERAGE($C$2:C37126)))</f>
        <v/>
      </c>
      <c r="H1565" t="str">
        <f>IF(C1565="","",(C1565/MEDIAN($C$2:D37126)))</f>
        <v/>
      </c>
    </row>
    <row r="1566" spans="7:8" x14ac:dyDescent="0.2">
      <c r="G1566" t="str">
        <f>IF(C1566="","",(C1566/AVERAGE($C$2:C37127)))</f>
        <v/>
      </c>
      <c r="H1566" t="str">
        <f>IF(C1566="","",(C1566/MEDIAN($C$2:D37127)))</f>
        <v/>
      </c>
    </row>
    <row r="1567" spans="7:8" x14ac:dyDescent="0.2">
      <c r="G1567" t="str">
        <f>IF(C1567="","",(C1567/AVERAGE($C$2:C37128)))</f>
        <v/>
      </c>
      <c r="H1567" t="str">
        <f>IF(C1567="","",(C1567/MEDIAN($C$2:D37128)))</f>
        <v/>
      </c>
    </row>
    <row r="1568" spans="7:8" x14ac:dyDescent="0.2">
      <c r="G1568" t="str">
        <f>IF(C1568="","",(C1568/AVERAGE($C$2:C37129)))</f>
        <v/>
      </c>
      <c r="H1568" t="str">
        <f>IF(C1568="","",(C1568/MEDIAN($C$2:D37129)))</f>
        <v/>
      </c>
    </row>
    <row r="1569" spans="7:8" x14ac:dyDescent="0.2">
      <c r="G1569" t="str">
        <f>IF(C1569="","",(C1569/AVERAGE($C$2:C37130)))</f>
        <v/>
      </c>
      <c r="H1569" t="str">
        <f>IF(C1569="","",(C1569/MEDIAN($C$2:D37130)))</f>
        <v/>
      </c>
    </row>
    <row r="1570" spans="7:8" x14ac:dyDescent="0.2">
      <c r="G1570" t="str">
        <f>IF(C1570="","",(C1570/AVERAGE($C$2:C37131)))</f>
        <v/>
      </c>
      <c r="H1570" t="str">
        <f>IF(C1570="","",(C1570/MEDIAN($C$2:D37131)))</f>
        <v/>
      </c>
    </row>
    <row r="1571" spans="7:8" x14ac:dyDescent="0.2">
      <c r="G1571" t="str">
        <f>IF(C1571="","",(C1571/AVERAGE($C$2:C37132)))</f>
        <v/>
      </c>
      <c r="H1571" t="str">
        <f>IF(C1571="","",(C1571/MEDIAN($C$2:D37132)))</f>
        <v/>
      </c>
    </row>
    <row r="1572" spans="7:8" x14ac:dyDescent="0.2">
      <c r="G1572" t="str">
        <f>IF(C1572="","",(C1572/AVERAGE($C$2:C37133)))</f>
        <v/>
      </c>
      <c r="H1572" t="str">
        <f>IF(C1572="","",(C1572/MEDIAN($C$2:D37133)))</f>
        <v/>
      </c>
    </row>
    <row r="1573" spans="7:8" x14ac:dyDescent="0.2">
      <c r="G1573" t="str">
        <f>IF(C1573="","",(C1573/AVERAGE($C$2:C37134)))</f>
        <v/>
      </c>
      <c r="H1573" t="str">
        <f>IF(C1573="","",(C1573/MEDIAN($C$2:D37134)))</f>
        <v/>
      </c>
    </row>
    <row r="1574" spans="7:8" x14ac:dyDescent="0.2">
      <c r="G1574" t="str">
        <f>IF(C1574="","",(C1574/AVERAGE($C$2:C37135)))</f>
        <v/>
      </c>
      <c r="H1574" t="str">
        <f>IF(C1574="","",(C1574/MEDIAN($C$2:D37135)))</f>
        <v/>
      </c>
    </row>
    <row r="1575" spans="7:8" x14ac:dyDescent="0.2">
      <c r="G1575" t="str">
        <f>IF(C1575="","",(C1575/AVERAGE($C$2:C37136)))</f>
        <v/>
      </c>
      <c r="H1575" t="str">
        <f>IF(C1575="","",(C1575/MEDIAN($C$2:D37136)))</f>
        <v/>
      </c>
    </row>
    <row r="1576" spans="7:8" x14ac:dyDescent="0.2">
      <c r="G1576" t="str">
        <f>IF(C1576="","",(C1576/AVERAGE($C$2:C37137)))</f>
        <v/>
      </c>
      <c r="H1576" t="str">
        <f>IF(C1576="","",(C1576/MEDIAN($C$2:D37137)))</f>
        <v/>
      </c>
    </row>
    <row r="1577" spans="7:8" x14ac:dyDescent="0.2">
      <c r="G1577" t="str">
        <f>IF(C1577="","",(C1577/AVERAGE($C$2:C37138)))</f>
        <v/>
      </c>
      <c r="H1577" t="str">
        <f>IF(C1577="","",(C1577/MEDIAN($C$2:D37138)))</f>
        <v/>
      </c>
    </row>
    <row r="1578" spans="7:8" x14ac:dyDescent="0.2">
      <c r="G1578" t="str">
        <f>IF(C1578="","",(C1578/AVERAGE($C$2:C37139)))</f>
        <v/>
      </c>
      <c r="H1578" t="str">
        <f>IF(C1578="","",(C1578/MEDIAN($C$2:D37139)))</f>
        <v/>
      </c>
    </row>
    <row r="1579" spans="7:8" x14ac:dyDescent="0.2">
      <c r="G1579" t="str">
        <f>IF(C1579="","",(C1579/AVERAGE($C$2:C37140)))</f>
        <v/>
      </c>
      <c r="H1579" t="str">
        <f>IF(C1579="","",(C1579/MEDIAN($C$2:D37140)))</f>
        <v/>
      </c>
    </row>
    <row r="1580" spans="7:8" x14ac:dyDescent="0.2">
      <c r="G1580" t="str">
        <f>IF(C1580="","",(C1580/AVERAGE($C$2:C37141)))</f>
        <v/>
      </c>
      <c r="H1580" t="str">
        <f>IF(C1580="","",(C1580/MEDIAN($C$2:D37141)))</f>
        <v/>
      </c>
    </row>
    <row r="1581" spans="7:8" x14ac:dyDescent="0.2">
      <c r="G1581" t="str">
        <f>IF(C1581="","",(C1581/AVERAGE($C$2:C37142)))</f>
        <v/>
      </c>
      <c r="H1581" t="str">
        <f>IF(C1581="","",(C1581/MEDIAN($C$2:D37142)))</f>
        <v/>
      </c>
    </row>
    <row r="1582" spans="7:8" x14ac:dyDescent="0.2">
      <c r="G1582" t="str">
        <f>IF(C1582="","",(C1582/AVERAGE($C$2:C37143)))</f>
        <v/>
      </c>
      <c r="H1582" t="str">
        <f>IF(C1582="","",(C1582/MEDIAN($C$2:D37143)))</f>
        <v/>
      </c>
    </row>
    <row r="1583" spans="7:8" x14ac:dyDescent="0.2">
      <c r="G1583" t="str">
        <f>IF(C1583="","",(C1583/AVERAGE($C$2:C37144)))</f>
        <v/>
      </c>
      <c r="H1583" t="str">
        <f>IF(C1583="","",(C1583/MEDIAN($C$2:D37144)))</f>
        <v/>
      </c>
    </row>
    <row r="1584" spans="7:8" x14ac:dyDescent="0.2">
      <c r="G1584" t="str">
        <f>IF(C1584="","",(C1584/AVERAGE($C$2:C37145)))</f>
        <v/>
      </c>
      <c r="H1584" t="str">
        <f>IF(C1584="","",(C1584/MEDIAN($C$2:D37145)))</f>
        <v/>
      </c>
    </row>
    <row r="1585" spans="7:8" x14ac:dyDescent="0.2">
      <c r="G1585" t="str">
        <f>IF(C1585="","",(C1585/AVERAGE($C$2:C37146)))</f>
        <v/>
      </c>
      <c r="H1585" t="str">
        <f>IF(C1585="","",(C1585/MEDIAN($C$2:D37146)))</f>
        <v/>
      </c>
    </row>
    <row r="1586" spans="7:8" x14ac:dyDescent="0.2">
      <c r="G1586" t="str">
        <f>IF(C1586="","",(C1586/AVERAGE($C$2:C37147)))</f>
        <v/>
      </c>
      <c r="H1586" t="str">
        <f>IF(C1586="","",(C1586/MEDIAN($C$2:D37147)))</f>
        <v/>
      </c>
    </row>
    <row r="1587" spans="7:8" x14ac:dyDescent="0.2">
      <c r="G1587" t="str">
        <f>IF(C1587="","",(C1587/AVERAGE($C$2:C37148)))</f>
        <v/>
      </c>
      <c r="H1587" t="str">
        <f>IF(C1587="","",(C1587/MEDIAN($C$2:D37148)))</f>
        <v/>
      </c>
    </row>
    <row r="1588" spans="7:8" x14ac:dyDescent="0.2">
      <c r="G1588" t="str">
        <f>IF(C1588="","",(C1588/AVERAGE($C$2:C37149)))</f>
        <v/>
      </c>
      <c r="H1588" t="str">
        <f>IF(C1588="","",(C1588/MEDIAN($C$2:D37149)))</f>
        <v/>
      </c>
    </row>
    <row r="1589" spans="7:8" x14ac:dyDescent="0.2">
      <c r="G1589" t="str">
        <f>IF(C1589="","",(C1589/AVERAGE($C$2:C37150)))</f>
        <v/>
      </c>
      <c r="H1589" t="str">
        <f>IF(C1589="","",(C1589/MEDIAN($C$2:D37150)))</f>
        <v/>
      </c>
    </row>
    <row r="1590" spans="7:8" x14ac:dyDescent="0.2">
      <c r="G1590" t="str">
        <f>IF(C1590="","",(C1590/AVERAGE($C$2:C37151)))</f>
        <v/>
      </c>
      <c r="H1590" t="str">
        <f>IF(C1590="","",(C1590/MEDIAN($C$2:D37151)))</f>
        <v/>
      </c>
    </row>
    <row r="1591" spans="7:8" x14ac:dyDescent="0.2">
      <c r="G1591" t="str">
        <f>IF(C1591="","",(C1591/AVERAGE($C$2:C37152)))</f>
        <v/>
      </c>
      <c r="H1591" t="str">
        <f>IF(C1591="","",(C1591/MEDIAN($C$2:D37152)))</f>
        <v/>
      </c>
    </row>
    <row r="1592" spans="7:8" x14ac:dyDescent="0.2">
      <c r="G1592" t="str">
        <f>IF(C1592="","",(C1592/AVERAGE($C$2:C37153)))</f>
        <v/>
      </c>
      <c r="H1592" t="str">
        <f>IF(C1592="","",(C1592/MEDIAN($C$2:D37153)))</f>
        <v/>
      </c>
    </row>
    <row r="1593" spans="7:8" x14ac:dyDescent="0.2">
      <c r="G1593" t="str">
        <f>IF(C1593="","",(C1593/AVERAGE($C$2:C37154)))</f>
        <v/>
      </c>
      <c r="H1593" t="str">
        <f>IF(C1593="","",(C1593/MEDIAN($C$2:D37154)))</f>
        <v/>
      </c>
    </row>
    <row r="1594" spans="7:8" x14ac:dyDescent="0.2">
      <c r="G1594" t="str">
        <f>IF(C1594="","",(C1594/AVERAGE($C$2:C37155)))</f>
        <v/>
      </c>
      <c r="H1594" t="str">
        <f>IF(C1594="","",(C1594/MEDIAN($C$2:D37155)))</f>
        <v/>
      </c>
    </row>
    <row r="1595" spans="7:8" x14ac:dyDescent="0.2">
      <c r="G1595" t="str">
        <f>IF(C1595="","",(C1595/AVERAGE($C$2:C37156)))</f>
        <v/>
      </c>
      <c r="H1595" t="str">
        <f>IF(C1595="","",(C1595/MEDIAN($C$2:D37156)))</f>
        <v/>
      </c>
    </row>
    <row r="1596" spans="7:8" x14ac:dyDescent="0.2">
      <c r="G1596" t="str">
        <f>IF(C1596="","",(C1596/AVERAGE($C$2:C37157)))</f>
        <v/>
      </c>
      <c r="H1596" t="str">
        <f>IF(C1596="","",(C1596/MEDIAN($C$2:D37157)))</f>
        <v/>
      </c>
    </row>
    <row r="1597" spans="7:8" x14ac:dyDescent="0.2">
      <c r="G1597" t="str">
        <f>IF(C1597="","",(C1597/AVERAGE($C$2:C37158)))</f>
        <v/>
      </c>
      <c r="H1597" t="str">
        <f>IF(C1597="","",(C1597/MEDIAN($C$2:D37158)))</f>
        <v/>
      </c>
    </row>
    <row r="1598" spans="7:8" x14ac:dyDescent="0.2">
      <c r="G1598" t="str">
        <f>IF(C1598="","",(C1598/AVERAGE($C$2:C37159)))</f>
        <v/>
      </c>
      <c r="H1598" t="str">
        <f>IF(C1598="","",(C1598/MEDIAN($C$2:D37159)))</f>
        <v/>
      </c>
    </row>
    <row r="1599" spans="7:8" x14ac:dyDescent="0.2">
      <c r="G1599" t="str">
        <f>IF(C1599="","",(C1599/AVERAGE($C$2:C37160)))</f>
        <v/>
      </c>
      <c r="H1599" t="str">
        <f>IF(C1599="","",(C1599/MEDIAN($C$2:D37160)))</f>
        <v/>
      </c>
    </row>
    <row r="1600" spans="7:8" x14ac:dyDescent="0.2">
      <c r="G1600" t="str">
        <f>IF(C1600="","",(C1600/AVERAGE($C$2:C37161)))</f>
        <v/>
      </c>
      <c r="H1600" t="str">
        <f>IF(C1600="","",(C1600/MEDIAN($C$2:D37161)))</f>
        <v/>
      </c>
    </row>
    <row r="1601" spans="7:8" x14ac:dyDescent="0.2">
      <c r="G1601" t="str">
        <f>IF(C1601="","",(C1601/AVERAGE($C$2:C37162)))</f>
        <v/>
      </c>
      <c r="H1601" t="str">
        <f>IF(C1601="","",(C1601/MEDIAN($C$2:D37162)))</f>
        <v/>
      </c>
    </row>
    <row r="1602" spans="7:8" x14ac:dyDescent="0.2">
      <c r="G1602" t="str">
        <f>IF(C1602="","",(C1602/AVERAGE($C$2:C37163)))</f>
        <v/>
      </c>
      <c r="H1602" t="str">
        <f>IF(C1602="","",(C1602/MEDIAN($C$2:D37163)))</f>
        <v/>
      </c>
    </row>
    <row r="1603" spans="7:8" x14ac:dyDescent="0.2">
      <c r="G1603" t="str">
        <f>IF(C1603="","",(C1603/AVERAGE($C$2:C37164)))</f>
        <v/>
      </c>
      <c r="H1603" t="str">
        <f>IF(C1603="","",(C1603/MEDIAN($C$2:D37164)))</f>
        <v/>
      </c>
    </row>
    <row r="1604" spans="7:8" x14ac:dyDescent="0.2">
      <c r="G1604" t="str">
        <f>IF(C1604="","",(C1604/AVERAGE($C$2:C37165)))</f>
        <v/>
      </c>
      <c r="H1604" t="str">
        <f>IF(C1604="","",(C1604/MEDIAN($C$2:D37165)))</f>
        <v/>
      </c>
    </row>
    <row r="1605" spans="7:8" x14ac:dyDescent="0.2">
      <c r="G1605" t="str">
        <f>IF(C1605="","",(C1605/AVERAGE($C$2:C37166)))</f>
        <v/>
      </c>
      <c r="H1605" t="str">
        <f>IF(C1605="","",(C1605/MEDIAN($C$2:D37166)))</f>
        <v/>
      </c>
    </row>
    <row r="1606" spans="7:8" x14ac:dyDescent="0.2">
      <c r="G1606" t="str">
        <f>IF(C1606="","",(C1606/AVERAGE($C$2:C37167)))</f>
        <v/>
      </c>
      <c r="H1606" t="str">
        <f>IF(C1606="","",(C1606/MEDIAN($C$2:D37167)))</f>
        <v/>
      </c>
    </row>
    <row r="1607" spans="7:8" x14ac:dyDescent="0.2">
      <c r="G1607" t="str">
        <f>IF(C1607="","",(C1607/AVERAGE($C$2:C37168)))</f>
        <v/>
      </c>
      <c r="H1607" t="str">
        <f>IF(C1607="","",(C1607/MEDIAN($C$2:D37168)))</f>
        <v/>
      </c>
    </row>
    <row r="1608" spans="7:8" x14ac:dyDescent="0.2">
      <c r="G1608" t="str">
        <f>IF(C1608="","",(C1608/AVERAGE($C$2:C37169)))</f>
        <v/>
      </c>
      <c r="H1608" t="str">
        <f>IF(C1608="","",(C1608/MEDIAN($C$2:D37169)))</f>
        <v/>
      </c>
    </row>
    <row r="1609" spans="7:8" x14ac:dyDescent="0.2">
      <c r="G1609" t="str">
        <f>IF(C1609="","",(C1609/AVERAGE($C$2:C37170)))</f>
        <v/>
      </c>
      <c r="H1609" t="str">
        <f>IF(C1609="","",(C1609/MEDIAN($C$2:D37170)))</f>
        <v/>
      </c>
    </row>
    <row r="1610" spans="7:8" x14ac:dyDescent="0.2">
      <c r="G1610" t="str">
        <f>IF(C1610="","",(C1610/AVERAGE($C$2:C37171)))</f>
        <v/>
      </c>
      <c r="H1610" t="str">
        <f>IF(C1610="","",(C1610/MEDIAN($C$2:D37171)))</f>
        <v/>
      </c>
    </row>
    <row r="1611" spans="7:8" x14ac:dyDescent="0.2">
      <c r="G1611" t="str">
        <f>IF(C1611="","",(C1611/AVERAGE($C$2:C37172)))</f>
        <v/>
      </c>
      <c r="H1611" t="str">
        <f>IF(C1611="","",(C1611/MEDIAN($C$2:D37172)))</f>
        <v/>
      </c>
    </row>
    <row r="1612" spans="7:8" x14ac:dyDescent="0.2">
      <c r="G1612" t="str">
        <f>IF(C1612="","",(C1612/AVERAGE($C$2:C37173)))</f>
        <v/>
      </c>
      <c r="H1612" t="str">
        <f>IF(C1612="","",(C1612/MEDIAN($C$2:D37173)))</f>
        <v/>
      </c>
    </row>
    <row r="1613" spans="7:8" x14ac:dyDescent="0.2">
      <c r="G1613" t="str">
        <f>IF(C1613="","",(C1613/AVERAGE($C$2:C37174)))</f>
        <v/>
      </c>
      <c r="H1613" t="str">
        <f>IF(C1613="","",(C1613/MEDIAN($C$2:D37174)))</f>
        <v/>
      </c>
    </row>
    <row r="1614" spans="7:8" x14ac:dyDescent="0.2">
      <c r="G1614" t="str">
        <f>IF(C1614="","",(C1614/AVERAGE($C$2:C37175)))</f>
        <v/>
      </c>
      <c r="H1614" t="str">
        <f>IF(C1614="","",(C1614/MEDIAN($C$2:D37175)))</f>
        <v/>
      </c>
    </row>
    <row r="1615" spans="7:8" x14ac:dyDescent="0.2">
      <c r="G1615" t="str">
        <f>IF(C1615="","",(C1615/AVERAGE($C$2:C37176)))</f>
        <v/>
      </c>
      <c r="H1615" t="str">
        <f>IF(C1615="","",(C1615/MEDIAN($C$2:D37176)))</f>
        <v/>
      </c>
    </row>
    <row r="1616" spans="7:8" x14ac:dyDescent="0.2">
      <c r="G1616" t="str">
        <f>IF(C1616="","",(C1616/AVERAGE($C$2:C37177)))</f>
        <v/>
      </c>
      <c r="H1616" t="str">
        <f>IF(C1616="","",(C1616/MEDIAN($C$2:D37177)))</f>
        <v/>
      </c>
    </row>
    <row r="1617" spans="7:8" x14ac:dyDescent="0.2">
      <c r="G1617" t="str">
        <f>IF(C1617="","",(C1617/AVERAGE($C$2:C37178)))</f>
        <v/>
      </c>
      <c r="H1617" t="str">
        <f>IF(C1617="","",(C1617/MEDIAN($C$2:D37178)))</f>
        <v/>
      </c>
    </row>
    <row r="1618" spans="7:8" x14ac:dyDescent="0.2">
      <c r="G1618" t="str">
        <f>IF(C1618="","",(C1618/AVERAGE($C$2:C37179)))</f>
        <v/>
      </c>
      <c r="H1618" t="str">
        <f>IF(C1618="","",(C1618/MEDIAN($C$2:D37179)))</f>
        <v/>
      </c>
    </row>
    <row r="1619" spans="7:8" x14ac:dyDescent="0.2">
      <c r="G1619" t="str">
        <f>IF(C1619="","",(C1619/AVERAGE($C$2:C37180)))</f>
        <v/>
      </c>
      <c r="H1619" t="str">
        <f>IF(C1619="","",(C1619/MEDIAN($C$2:D37180)))</f>
        <v/>
      </c>
    </row>
    <row r="1620" spans="7:8" x14ac:dyDescent="0.2">
      <c r="G1620" t="str">
        <f>IF(C1620="","",(C1620/AVERAGE($C$2:C37181)))</f>
        <v/>
      </c>
      <c r="H1620" t="str">
        <f>IF(C1620="","",(C1620/MEDIAN($C$2:D37181)))</f>
        <v/>
      </c>
    </row>
    <row r="1621" spans="7:8" x14ac:dyDescent="0.2">
      <c r="G1621" t="str">
        <f>IF(C1621="","",(C1621/AVERAGE($C$2:C37182)))</f>
        <v/>
      </c>
      <c r="H1621" t="str">
        <f>IF(C1621="","",(C1621/MEDIAN($C$2:D37182)))</f>
        <v/>
      </c>
    </row>
    <row r="1622" spans="7:8" x14ac:dyDescent="0.2">
      <c r="G1622" t="str">
        <f>IF(C1622="","",(C1622/AVERAGE($C$2:C37183)))</f>
        <v/>
      </c>
      <c r="H1622" t="str">
        <f>IF(C1622="","",(C1622/MEDIAN($C$2:D37183)))</f>
        <v/>
      </c>
    </row>
    <row r="1623" spans="7:8" x14ac:dyDescent="0.2">
      <c r="G1623" t="str">
        <f>IF(C1623="","",(C1623/AVERAGE($C$2:C37184)))</f>
        <v/>
      </c>
      <c r="H1623" t="str">
        <f>IF(C1623="","",(C1623/MEDIAN($C$2:D37184)))</f>
        <v/>
      </c>
    </row>
    <row r="1624" spans="7:8" x14ac:dyDescent="0.2">
      <c r="G1624" t="str">
        <f>IF(C1624="","",(C1624/AVERAGE($C$2:C37185)))</f>
        <v/>
      </c>
      <c r="H1624" t="str">
        <f>IF(C1624="","",(C1624/MEDIAN($C$2:D37185)))</f>
        <v/>
      </c>
    </row>
    <row r="1625" spans="7:8" x14ac:dyDescent="0.2">
      <c r="G1625" t="str">
        <f>IF(C1625="","",(C1625/AVERAGE($C$2:C37186)))</f>
        <v/>
      </c>
      <c r="H1625" t="str">
        <f>IF(C1625="","",(C1625/MEDIAN($C$2:D37186)))</f>
        <v/>
      </c>
    </row>
    <row r="1626" spans="7:8" x14ac:dyDescent="0.2">
      <c r="G1626" t="str">
        <f>IF(C1626="","",(C1626/AVERAGE($C$2:C37187)))</f>
        <v/>
      </c>
      <c r="H1626" t="str">
        <f>IF(C1626="","",(C1626/MEDIAN($C$2:D37187)))</f>
        <v/>
      </c>
    </row>
    <row r="1627" spans="7:8" x14ac:dyDescent="0.2">
      <c r="G1627" t="str">
        <f>IF(C1627="","",(C1627/AVERAGE($C$2:C37188)))</f>
        <v/>
      </c>
      <c r="H1627" t="str">
        <f>IF(C1627="","",(C1627/MEDIAN($C$2:D37188)))</f>
        <v/>
      </c>
    </row>
    <row r="1628" spans="7:8" x14ac:dyDescent="0.2">
      <c r="G1628" t="str">
        <f>IF(C1628="","",(C1628/AVERAGE($C$2:C37189)))</f>
        <v/>
      </c>
      <c r="H1628" t="str">
        <f>IF(C1628="","",(C1628/MEDIAN($C$2:D37189)))</f>
        <v/>
      </c>
    </row>
    <row r="1629" spans="7:8" x14ac:dyDescent="0.2">
      <c r="G1629" t="str">
        <f>IF(C1629="","",(C1629/AVERAGE($C$2:C37190)))</f>
        <v/>
      </c>
      <c r="H1629" t="str">
        <f>IF(C1629="","",(C1629/MEDIAN($C$2:D37190)))</f>
        <v/>
      </c>
    </row>
    <row r="1630" spans="7:8" x14ac:dyDescent="0.2">
      <c r="G1630" t="str">
        <f>IF(C1630="","",(C1630/AVERAGE($C$2:C37191)))</f>
        <v/>
      </c>
      <c r="H1630" t="str">
        <f>IF(C1630="","",(C1630/MEDIAN($C$2:D37191)))</f>
        <v/>
      </c>
    </row>
    <row r="1631" spans="7:8" x14ac:dyDescent="0.2">
      <c r="G1631" t="str">
        <f>IF(C1631="","",(C1631/AVERAGE($C$2:C37192)))</f>
        <v/>
      </c>
      <c r="H1631" t="str">
        <f>IF(C1631="","",(C1631/MEDIAN($C$2:D37192)))</f>
        <v/>
      </c>
    </row>
    <row r="1632" spans="7:8" x14ac:dyDescent="0.2">
      <c r="G1632" t="str">
        <f>IF(C1632="","",(C1632/AVERAGE($C$2:C37193)))</f>
        <v/>
      </c>
      <c r="H1632" t="str">
        <f>IF(C1632="","",(C1632/MEDIAN($C$2:D37193)))</f>
        <v/>
      </c>
    </row>
    <row r="1633" spans="7:8" x14ac:dyDescent="0.2">
      <c r="G1633" t="str">
        <f>IF(C1633="","",(C1633/AVERAGE($C$2:C37194)))</f>
        <v/>
      </c>
      <c r="H1633" t="str">
        <f>IF(C1633="","",(C1633/MEDIAN($C$2:D37194)))</f>
        <v/>
      </c>
    </row>
    <row r="1634" spans="7:8" x14ac:dyDescent="0.2">
      <c r="G1634" t="str">
        <f>IF(C1634="","",(C1634/AVERAGE($C$2:C37195)))</f>
        <v/>
      </c>
      <c r="H1634" t="str">
        <f>IF(C1634="","",(C1634/MEDIAN($C$2:D37195)))</f>
        <v/>
      </c>
    </row>
    <row r="1635" spans="7:8" x14ac:dyDescent="0.2">
      <c r="G1635" t="str">
        <f>IF(C1635="","",(C1635/AVERAGE($C$2:C37196)))</f>
        <v/>
      </c>
      <c r="H1635" t="str">
        <f>IF(C1635="","",(C1635/MEDIAN($C$2:D37196)))</f>
        <v/>
      </c>
    </row>
    <row r="1636" spans="7:8" x14ac:dyDescent="0.2">
      <c r="G1636" t="str">
        <f>IF(C1636="","",(C1636/AVERAGE($C$2:C37197)))</f>
        <v/>
      </c>
      <c r="H1636" t="str">
        <f>IF(C1636="","",(C1636/MEDIAN($C$2:D37197)))</f>
        <v/>
      </c>
    </row>
    <row r="1637" spans="7:8" x14ac:dyDescent="0.2">
      <c r="G1637" t="str">
        <f>IF(C1637="","",(C1637/AVERAGE($C$2:C37198)))</f>
        <v/>
      </c>
      <c r="H1637" t="str">
        <f>IF(C1637="","",(C1637/MEDIAN($C$2:D37198)))</f>
        <v/>
      </c>
    </row>
    <row r="1638" spans="7:8" x14ac:dyDescent="0.2">
      <c r="G1638" t="str">
        <f>IF(C1638="","",(C1638/AVERAGE($C$2:C37199)))</f>
        <v/>
      </c>
      <c r="H1638" t="str">
        <f>IF(C1638="","",(C1638/MEDIAN($C$2:D37199)))</f>
        <v/>
      </c>
    </row>
    <row r="1639" spans="7:8" x14ac:dyDescent="0.2">
      <c r="G1639" t="str">
        <f>IF(C1639="","",(C1639/AVERAGE($C$2:C37200)))</f>
        <v/>
      </c>
      <c r="H1639" t="str">
        <f>IF(C1639="","",(C1639/MEDIAN($C$2:D37200)))</f>
        <v/>
      </c>
    </row>
    <row r="1640" spans="7:8" x14ac:dyDescent="0.2">
      <c r="G1640" t="str">
        <f>IF(C1640="","",(C1640/AVERAGE($C$2:C37201)))</f>
        <v/>
      </c>
      <c r="H1640" t="str">
        <f>IF(C1640="","",(C1640/MEDIAN($C$2:D37201)))</f>
        <v/>
      </c>
    </row>
    <row r="1641" spans="7:8" x14ac:dyDescent="0.2">
      <c r="G1641" t="str">
        <f>IF(C1641="","",(C1641/AVERAGE($C$2:C37202)))</f>
        <v/>
      </c>
      <c r="H1641" t="str">
        <f>IF(C1641="","",(C1641/MEDIAN($C$2:D37202)))</f>
        <v/>
      </c>
    </row>
    <row r="1642" spans="7:8" x14ac:dyDescent="0.2">
      <c r="G1642" t="str">
        <f>IF(C1642="","",(C1642/AVERAGE($C$2:C37203)))</f>
        <v/>
      </c>
      <c r="H1642" t="str">
        <f>IF(C1642="","",(C1642/MEDIAN($C$2:D37203)))</f>
        <v/>
      </c>
    </row>
    <row r="1643" spans="7:8" x14ac:dyDescent="0.2">
      <c r="G1643" t="str">
        <f>IF(C1643="","",(C1643/AVERAGE($C$2:C37204)))</f>
        <v/>
      </c>
      <c r="H1643" t="str">
        <f>IF(C1643="","",(C1643/MEDIAN($C$2:D37204)))</f>
        <v/>
      </c>
    </row>
    <row r="1644" spans="7:8" x14ac:dyDescent="0.2">
      <c r="G1644" t="str">
        <f>IF(C1644="","",(C1644/AVERAGE($C$2:C37205)))</f>
        <v/>
      </c>
      <c r="H1644" t="str">
        <f>IF(C1644="","",(C1644/MEDIAN($C$2:D37205)))</f>
        <v/>
      </c>
    </row>
    <row r="1645" spans="7:8" x14ac:dyDescent="0.2">
      <c r="G1645" t="str">
        <f>IF(C1645="","",(C1645/AVERAGE($C$2:C37206)))</f>
        <v/>
      </c>
      <c r="H1645" t="str">
        <f>IF(C1645="","",(C1645/MEDIAN($C$2:D37206)))</f>
        <v/>
      </c>
    </row>
    <row r="1646" spans="7:8" x14ac:dyDescent="0.2">
      <c r="G1646" t="str">
        <f>IF(C1646="","",(C1646/AVERAGE($C$2:C37207)))</f>
        <v/>
      </c>
      <c r="H1646" t="str">
        <f>IF(C1646="","",(C1646/MEDIAN($C$2:D37207)))</f>
        <v/>
      </c>
    </row>
    <row r="1647" spans="7:8" x14ac:dyDescent="0.2">
      <c r="G1647" t="str">
        <f>IF(C1647="","",(C1647/AVERAGE($C$2:C37208)))</f>
        <v/>
      </c>
      <c r="H1647" t="str">
        <f>IF(C1647="","",(C1647/MEDIAN($C$2:D37208)))</f>
        <v/>
      </c>
    </row>
    <row r="1648" spans="7:8" x14ac:dyDescent="0.2">
      <c r="G1648" t="str">
        <f>IF(C1648="","",(C1648/AVERAGE($C$2:C37209)))</f>
        <v/>
      </c>
      <c r="H1648" t="str">
        <f>IF(C1648="","",(C1648/MEDIAN($C$2:D37209)))</f>
        <v/>
      </c>
    </row>
    <row r="1649" spans="7:8" x14ac:dyDescent="0.2">
      <c r="G1649" t="str">
        <f>IF(C1649="","",(C1649/AVERAGE($C$2:C37210)))</f>
        <v/>
      </c>
      <c r="H1649" t="str">
        <f>IF(C1649="","",(C1649/MEDIAN($C$2:D37210)))</f>
        <v/>
      </c>
    </row>
    <row r="1650" spans="7:8" x14ac:dyDescent="0.2">
      <c r="G1650" t="str">
        <f>IF(C1650="","",(C1650/AVERAGE($C$2:C37211)))</f>
        <v/>
      </c>
      <c r="H1650" t="str">
        <f>IF(C1650="","",(C1650/MEDIAN($C$2:D37211)))</f>
        <v/>
      </c>
    </row>
    <row r="1651" spans="7:8" x14ac:dyDescent="0.2">
      <c r="G1651" t="str">
        <f>IF(C1651="","",(C1651/AVERAGE($C$2:C37212)))</f>
        <v/>
      </c>
      <c r="H1651" t="str">
        <f>IF(C1651="","",(C1651/MEDIAN($C$2:D37212)))</f>
        <v/>
      </c>
    </row>
    <row r="1652" spans="7:8" x14ac:dyDescent="0.2">
      <c r="G1652" t="str">
        <f>IF(C1652="","",(C1652/AVERAGE($C$2:C37213)))</f>
        <v/>
      </c>
      <c r="H1652" t="str">
        <f>IF(C1652="","",(C1652/MEDIAN($C$2:D37213)))</f>
        <v/>
      </c>
    </row>
    <row r="1653" spans="7:8" x14ac:dyDescent="0.2">
      <c r="G1653" t="str">
        <f>IF(C1653="","",(C1653/AVERAGE($C$2:C37214)))</f>
        <v/>
      </c>
      <c r="H1653" t="str">
        <f>IF(C1653="","",(C1653/MEDIAN($C$2:D37214)))</f>
        <v/>
      </c>
    </row>
    <row r="1654" spans="7:8" x14ac:dyDescent="0.2">
      <c r="G1654" t="str">
        <f>IF(C1654="","",(C1654/AVERAGE($C$2:C37215)))</f>
        <v/>
      </c>
      <c r="H1654" t="str">
        <f>IF(C1654="","",(C1654/MEDIAN($C$2:D37215)))</f>
        <v/>
      </c>
    </row>
    <row r="1655" spans="7:8" x14ac:dyDescent="0.2">
      <c r="G1655" t="str">
        <f>IF(C1655="","",(C1655/AVERAGE($C$2:C37216)))</f>
        <v/>
      </c>
      <c r="H1655" t="str">
        <f>IF(C1655="","",(C1655/MEDIAN($C$2:D37216)))</f>
        <v/>
      </c>
    </row>
    <row r="1656" spans="7:8" x14ac:dyDescent="0.2">
      <c r="G1656" t="str">
        <f>IF(C1656="","",(C1656/AVERAGE($C$2:C37217)))</f>
        <v/>
      </c>
      <c r="H1656" t="str">
        <f>IF(C1656="","",(C1656/MEDIAN($C$2:D37217)))</f>
        <v/>
      </c>
    </row>
    <row r="1657" spans="7:8" x14ac:dyDescent="0.2">
      <c r="G1657" t="str">
        <f>IF(C1657="","",(C1657/AVERAGE($C$2:C37218)))</f>
        <v/>
      </c>
      <c r="H1657" t="str">
        <f>IF(C1657="","",(C1657/MEDIAN($C$2:D37218)))</f>
        <v/>
      </c>
    </row>
    <row r="1658" spans="7:8" x14ac:dyDescent="0.2">
      <c r="G1658" t="str">
        <f>IF(C1658="","",(C1658/AVERAGE($C$2:C37219)))</f>
        <v/>
      </c>
      <c r="H1658" t="str">
        <f>IF(C1658="","",(C1658/MEDIAN($C$2:D37219)))</f>
        <v/>
      </c>
    </row>
    <row r="1659" spans="7:8" x14ac:dyDescent="0.2">
      <c r="G1659" t="str">
        <f>IF(C1659="","",(C1659/AVERAGE($C$2:C37220)))</f>
        <v/>
      </c>
      <c r="H1659" t="str">
        <f>IF(C1659="","",(C1659/MEDIAN($C$2:D37220)))</f>
        <v/>
      </c>
    </row>
    <row r="1660" spans="7:8" x14ac:dyDescent="0.2">
      <c r="G1660" t="str">
        <f>IF(C1660="","",(C1660/AVERAGE($C$2:C37221)))</f>
        <v/>
      </c>
      <c r="H1660" t="str">
        <f>IF(C1660="","",(C1660/MEDIAN($C$2:D37221)))</f>
        <v/>
      </c>
    </row>
    <row r="1661" spans="7:8" x14ac:dyDescent="0.2">
      <c r="G1661" t="str">
        <f>IF(C1661="","",(C1661/AVERAGE($C$2:C37222)))</f>
        <v/>
      </c>
      <c r="H1661" t="str">
        <f>IF(C1661="","",(C1661/MEDIAN($C$2:D37222)))</f>
        <v/>
      </c>
    </row>
    <row r="1662" spans="7:8" x14ac:dyDescent="0.2">
      <c r="G1662" t="str">
        <f>IF(C1662="","",(C1662/AVERAGE($C$2:C37223)))</f>
        <v/>
      </c>
      <c r="H1662" t="str">
        <f>IF(C1662="","",(C1662/MEDIAN($C$2:D37223)))</f>
        <v/>
      </c>
    </row>
    <row r="1663" spans="7:8" x14ac:dyDescent="0.2">
      <c r="G1663" t="str">
        <f>IF(C1663="","",(C1663/AVERAGE($C$2:C37224)))</f>
        <v/>
      </c>
      <c r="H1663" t="str">
        <f>IF(C1663="","",(C1663/MEDIAN($C$2:D37224)))</f>
        <v/>
      </c>
    </row>
    <row r="1664" spans="7:8" x14ac:dyDescent="0.2">
      <c r="G1664" t="str">
        <f>IF(C1664="","",(C1664/AVERAGE($C$2:C37225)))</f>
        <v/>
      </c>
      <c r="H1664" t="str">
        <f>IF(C1664="","",(C1664/MEDIAN($C$2:D37225)))</f>
        <v/>
      </c>
    </row>
    <row r="1665" spans="7:8" x14ac:dyDescent="0.2">
      <c r="G1665" t="str">
        <f>IF(C1665="","",(C1665/AVERAGE($C$2:C37226)))</f>
        <v/>
      </c>
      <c r="H1665" t="str">
        <f>IF(C1665="","",(C1665/MEDIAN($C$2:D37226)))</f>
        <v/>
      </c>
    </row>
    <row r="1666" spans="7:8" x14ac:dyDescent="0.2">
      <c r="G1666" t="str">
        <f>IF(C1666="","",(C1666/AVERAGE($C$2:C37227)))</f>
        <v/>
      </c>
      <c r="H1666" t="str">
        <f>IF(C1666="","",(C1666/MEDIAN($C$2:D37227)))</f>
        <v/>
      </c>
    </row>
    <row r="1667" spans="7:8" x14ac:dyDescent="0.2">
      <c r="G1667" t="str">
        <f>IF(C1667="","",(C1667/AVERAGE($C$2:C37228)))</f>
        <v/>
      </c>
      <c r="H1667" t="str">
        <f>IF(C1667="","",(C1667/MEDIAN($C$2:D37228)))</f>
        <v/>
      </c>
    </row>
    <row r="1668" spans="7:8" x14ac:dyDescent="0.2">
      <c r="G1668" t="str">
        <f>IF(C1668="","",(C1668/AVERAGE($C$2:C37229)))</f>
        <v/>
      </c>
      <c r="H1668" t="str">
        <f>IF(C1668="","",(C1668/MEDIAN($C$2:D37229)))</f>
        <v/>
      </c>
    </row>
    <row r="1669" spans="7:8" x14ac:dyDescent="0.2">
      <c r="G1669" t="str">
        <f>IF(C1669="","",(C1669/AVERAGE($C$2:C37230)))</f>
        <v/>
      </c>
      <c r="H1669" t="str">
        <f>IF(C1669="","",(C1669/MEDIAN($C$2:D37230)))</f>
        <v/>
      </c>
    </row>
    <row r="1670" spans="7:8" x14ac:dyDescent="0.2">
      <c r="G1670" t="str">
        <f>IF(C1670="","",(C1670/AVERAGE($C$2:C37231)))</f>
        <v/>
      </c>
      <c r="H1670" t="str">
        <f>IF(C1670="","",(C1670/MEDIAN($C$2:D37231)))</f>
        <v/>
      </c>
    </row>
    <row r="1671" spans="7:8" x14ac:dyDescent="0.2">
      <c r="G1671" t="str">
        <f>IF(C1671="","",(C1671/AVERAGE($C$2:C37232)))</f>
        <v/>
      </c>
      <c r="H1671" t="str">
        <f>IF(C1671="","",(C1671/MEDIAN($C$2:D37232)))</f>
        <v/>
      </c>
    </row>
    <row r="1672" spans="7:8" x14ac:dyDescent="0.2">
      <c r="G1672" t="str">
        <f>IF(C1672="","",(C1672/AVERAGE($C$2:C37233)))</f>
        <v/>
      </c>
      <c r="H1672" t="str">
        <f>IF(C1672="","",(C1672/MEDIAN($C$2:D37233)))</f>
        <v/>
      </c>
    </row>
    <row r="1673" spans="7:8" x14ac:dyDescent="0.2">
      <c r="G1673" t="str">
        <f>IF(C1673="","",(C1673/AVERAGE($C$2:C37234)))</f>
        <v/>
      </c>
      <c r="H1673" t="str">
        <f>IF(C1673="","",(C1673/MEDIAN($C$2:D37234)))</f>
        <v/>
      </c>
    </row>
    <row r="1674" spans="7:8" x14ac:dyDescent="0.2">
      <c r="G1674" t="str">
        <f>IF(C1674="","",(C1674/AVERAGE($C$2:C37235)))</f>
        <v/>
      </c>
      <c r="H1674" t="str">
        <f>IF(C1674="","",(C1674/MEDIAN($C$2:D37235)))</f>
        <v/>
      </c>
    </row>
    <row r="1675" spans="7:8" x14ac:dyDescent="0.2">
      <c r="G1675" t="str">
        <f>IF(C1675="","",(C1675/AVERAGE($C$2:C37236)))</f>
        <v/>
      </c>
      <c r="H1675" t="str">
        <f>IF(C1675="","",(C1675/MEDIAN($C$2:D37236)))</f>
        <v/>
      </c>
    </row>
    <row r="1676" spans="7:8" x14ac:dyDescent="0.2">
      <c r="G1676" t="str">
        <f>IF(C1676="","",(C1676/AVERAGE($C$2:C37237)))</f>
        <v/>
      </c>
      <c r="H1676" t="str">
        <f>IF(C1676="","",(C1676/MEDIAN($C$2:D37237)))</f>
        <v/>
      </c>
    </row>
    <row r="1677" spans="7:8" x14ac:dyDescent="0.2">
      <c r="G1677" t="str">
        <f>IF(C1677="","",(C1677/AVERAGE($C$2:C37238)))</f>
        <v/>
      </c>
      <c r="H1677" t="str">
        <f>IF(C1677="","",(C1677/MEDIAN($C$2:D37238)))</f>
        <v/>
      </c>
    </row>
    <row r="1678" spans="7:8" x14ac:dyDescent="0.2">
      <c r="G1678" t="str">
        <f>IF(C1678="","",(C1678/AVERAGE($C$2:C37239)))</f>
        <v/>
      </c>
      <c r="H1678" t="str">
        <f>IF(C1678="","",(C1678/MEDIAN($C$2:D37239)))</f>
        <v/>
      </c>
    </row>
    <row r="1679" spans="7:8" x14ac:dyDescent="0.2">
      <c r="G1679" t="str">
        <f>IF(C1679="","",(C1679/AVERAGE($C$2:C37240)))</f>
        <v/>
      </c>
      <c r="H1679" t="str">
        <f>IF(C1679="","",(C1679/MEDIAN($C$2:D37240)))</f>
        <v/>
      </c>
    </row>
    <row r="1680" spans="7:8" x14ac:dyDescent="0.2">
      <c r="G1680" t="str">
        <f>IF(C1680="","",(C1680/AVERAGE($C$2:C37241)))</f>
        <v/>
      </c>
      <c r="H1680" t="str">
        <f>IF(C1680="","",(C1680/MEDIAN($C$2:D37241)))</f>
        <v/>
      </c>
    </row>
    <row r="1681" spans="7:8" x14ac:dyDescent="0.2">
      <c r="G1681" t="str">
        <f>IF(C1681="","",(C1681/AVERAGE($C$2:C37242)))</f>
        <v/>
      </c>
      <c r="H1681" t="str">
        <f>IF(C1681="","",(C1681/MEDIAN($C$2:D37242)))</f>
        <v/>
      </c>
    </row>
    <row r="1682" spans="7:8" x14ac:dyDescent="0.2">
      <c r="G1682" t="str">
        <f>IF(C1682="","",(C1682/AVERAGE($C$2:C37243)))</f>
        <v/>
      </c>
      <c r="H1682" t="str">
        <f>IF(C1682="","",(C1682/MEDIAN($C$2:D37243)))</f>
        <v/>
      </c>
    </row>
    <row r="1683" spans="7:8" x14ac:dyDescent="0.2">
      <c r="G1683" t="str">
        <f>IF(C1683="","",(C1683/AVERAGE($C$2:C37244)))</f>
        <v/>
      </c>
      <c r="H1683" t="str">
        <f>IF(C1683="","",(C1683/MEDIAN($C$2:D37244)))</f>
        <v/>
      </c>
    </row>
    <row r="1684" spans="7:8" x14ac:dyDescent="0.2">
      <c r="G1684" t="str">
        <f>IF(C1684="","",(C1684/AVERAGE($C$2:C37245)))</f>
        <v/>
      </c>
      <c r="H1684" t="str">
        <f>IF(C1684="","",(C1684/MEDIAN($C$2:D37245)))</f>
        <v/>
      </c>
    </row>
    <row r="1685" spans="7:8" x14ac:dyDescent="0.2">
      <c r="G1685" t="str">
        <f>IF(C1685="","",(C1685/AVERAGE($C$2:C37246)))</f>
        <v/>
      </c>
      <c r="H1685" t="str">
        <f>IF(C1685="","",(C1685/MEDIAN($C$2:D37246)))</f>
        <v/>
      </c>
    </row>
    <row r="1686" spans="7:8" x14ac:dyDescent="0.2">
      <c r="G1686" t="str">
        <f>IF(C1686="","",(C1686/AVERAGE($C$2:C37247)))</f>
        <v/>
      </c>
      <c r="H1686" t="str">
        <f>IF(C1686="","",(C1686/MEDIAN($C$2:D37247)))</f>
        <v/>
      </c>
    </row>
    <row r="1687" spans="7:8" x14ac:dyDescent="0.2">
      <c r="G1687" t="str">
        <f>IF(C1687="","",(C1687/AVERAGE($C$2:C37248)))</f>
        <v/>
      </c>
      <c r="H1687" t="str">
        <f>IF(C1687="","",(C1687/MEDIAN($C$2:D37248)))</f>
        <v/>
      </c>
    </row>
    <row r="1688" spans="7:8" x14ac:dyDescent="0.2">
      <c r="G1688" t="str">
        <f>IF(C1688="","",(C1688/AVERAGE($C$2:C37249)))</f>
        <v/>
      </c>
      <c r="H1688" t="str">
        <f>IF(C1688="","",(C1688/MEDIAN($C$2:D37249)))</f>
        <v/>
      </c>
    </row>
    <row r="1689" spans="7:8" x14ac:dyDescent="0.2">
      <c r="G1689" t="str">
        <f>IF(C1689="","",(C1689/AVERAGE($C$2:C37250)))</f>
        <v/>
      </c>
      <c r="H1689" t="str">
        <f>IF(C1689="","",(C1689/MEDIAN($C$2:D37250)))</f>
        <v/>
      </c>
    </row>
    <row r="1690" spans="7:8" x14ac:dyDescent="0.2">
      <c r="G1690" t="str">
        <f>IF(C1690="","",(C1690/AVERAGE($C$2:C37251)))</f>
        <v/>
      </c>
      <c r="H1690" t="str">
        <f>IF(C1690="","",(C1690/MEDIAN($C$2:D37251)))</f>
        <v/>
      </c>
    </row>
    <row r="1691" spans="7:8" x14ac:dyDescent="0.2">
      <c r="G1691" t="str">
        <f>IF(C1691="","",(C1691/AVERAGE($C$2:C37252)))</f>
        <v/>
      </c>
      <c r="H1691" t="str">
        <f>IF(C1691="","",(C1691/MEDIAN($C$2:D37252)))</f>
        <v/>
      </c>
    </row>
    <row r="1692" spans="7:8" x14ac:dyDescent="0.2">
      <c r="G1692" t="str">
        <f>IF(C1692="","",(C1692/AVERAGE($C$2:C37253)))</f>
        <v/>
      </c>
      <c r="H1692" t="str">
        <f>IF(C1692="","",(C1692/MEDIAN($C$2:D37253)))</f>
        <v/>
      </c>
    </row>
    <row r="1693" spans="7:8" x14ac:dyDescent="0.2">
      <c r="G1693" t="str">
        <f>IF(C1693="","",(C1693/AVERAGE($C$2:C37254)))</f>
        <v/>
      </c>
      <c r="H1693" t="str">
        <f>IF(C1693="","",(C1693/MEDIAN($C$2:D37254)))</f>
        <v/>
      </c>
    </row>
    <row r="1694" spans="7:8" x14ac:dyDescent="0.2">
      <c r="G1694" t="str">
        <f>IF(C1694="","",(C1694/AVERAGE($C$2:C37255)))</f>
        <v/>
      </c>
      <c r="H1694" t="str">
        <f>IF(C1694="","",(C1694/MEDIAN($C$2:D37255)))</f>
        <v/>
      </c>
    </row>
    <row r="1695" spans="7:8" x14ac:dyDescent="0.2">
      <c r="G1695" t="str">
        <f>IF(C1695="","",(C1695/AVERAGE($C$2:C37256)))</f>
        <v/>
      </c>
      <c r="H1695" t="str">
        <f>IF(C1695="","",(C1695/MEDIAN($C$2:D37256)))</f>
        <v/>
      </c>
    </row>
    <row r="1696" spans="7:8" x14ac:dyDescent="0.2">
      <c r="G1696" t="str">
        <f>IF(C1696="","",(C1696/AVERAGE($C$2:C37257)))</f>
        <v/>
      </c>
      <c r="H1696" t="str">
        <f>IF(C1696="","",(C1696/MEDIAN($C$2:D37257)))</f>
        <v/>
      </c>
    </row>
    <row r="1697" spans="7:8" x14ac:dyDescent="0.2">
      <c r="G1697" t="str">
        <f>IF(C1697="","",(C1697/AVERAGE($C$2:C37258)))</f>
        <v/>
      </c>
      <c r="H1697" t="str">
        <f>IF(C1697="","",(C1697/MEDIAN($C$2:D37258)))</f>
        <v/>
      </c>
    </row>
    <row r="1698" spans="7:8" x14ac:dyDescent="0.2">
      <c r="G1698" t="str">
        <f>IF(C1698="","",(C1698/AVERAGE($C$2:C37259)))</f>
        <v/>
      </c>
      <c r="H1698" t="str">
        <f>IF(C1698="","",(C1698/MEDIAN($C$2:D37259)))</f>
        <v/>
      </c>
    </row>
    <row r="1699" spans="7:8" x14ac:dyDescent="0.2">
      <c r="G1699" t="str">
        <f>IF(C1699="","",(C1699/AVERAGE($C$2:C37260)))</f>
        <v/>
      </c>
      <c r="H1699" t="str">
        <f>IF(C1699="","",(C1699/MEDIAN($C$2:D37260)))</f>
        <v/>
      </c>
    </row>
    <row r="1700" spans="7:8" x14ac:dyDescent="0.2">
      <c r="G1700" t="str">
        <f>IF(C1700="","",(C1700/AVERAGE($C$2:C37261)))</f>
        <v/>
      </c>
      <c r="H1700" t="str">
        <f>IF(C1700="","",(C1700/MEDIAN($C$2:D37261)))</f>
        <v/>
      </c>
    </row>
    <row r="1701" spans="7:8" x14ac:dyDescent="0.2">
      <c r="G1701" t="str">
        <f>IF(C1701="","",(C1701/AVERAGE($C$2:C37262)))</f>
        <v/>
      </c>
      <c r="H1701" t="str">
        <f>IF(C1701="","",(C1701/MEDIAN($C$2:D37262)))</f>
        <v/>
      </c>
    </row>
    <row r="1702" spans="7:8" x14ac:dyDescent="0.2">
      <c r="G1702" t="str">
        <f>IF(C1702="","",(C1702/AVERAGE($C$2:C37263)))</f>
        <v/>
      </c>
      <c r="H1702" t="str">
        <f>IF(C1702="","",(C1702/MEDIAN($C$2:D37263)))</f>
        <v/>
      </c>
    </row>
    <row r="1703" spans="7:8" x14ac:dyDescent="0.2">
      <c r="G1703" t="str">
        <f>IF(C1703="","",(C1703/AVERAGE($C$2:C37264)))</f>
        <v/>
      </c>
      <c r="H1703" t="str">
        <f>IF(C1703="","",(C1703/MEDIAN($C$2:D37264)))</f>
        <v/>
      </c>
    </row>
    <row r="1704" spans="7:8" x14ac:dyDescent="0.2">
      <c r="G1704" t="str">
        <f>IF(C1704="","",(C1704/AVERAGE($C$2:C37265)))</f>
        <v/>
      </c>
      <c r="H1704" t="str">
        <f>IF(C1704="","",(C1704/MEDIAN($C$2:D37265)))</f>
        <v/>
      </c>
    </row>
    <row r="1705" spans="7:8" x14ac:dyDescent="0.2">
      <c r="G1705" t="str">
        <f>IF(C1705="","",(C1705/AVERAGE($C$2:C37266)))</f>
        <v/>
      </c>
      <c r="H1705" t="str">
        <f>IF(C1705="","",(C1705/MEDIAN($C$2:D37266)))</f>
        <v/>
      </c>
    </row>
    <row r="1706" spans="7:8" x14ac:dyDescent="0.2">
      <c r="G1706" t="str">
        <f>IF(C1706="","",(C1706/AVERAGE($C$2:C37267)))</f>
        <v/>
      </c>
      <c r="H1706" t="str">
        <f>IF(C1706="","",(C1706/MEDIAN($C$2:D37267)))</f>
        <v/>
      </c>
    </row>
    <row r="1707" spans="7:8" x14ac:dyDescent="0.2">
      <c r="G1707" t="str">
        <f>IF(C1707="","",(C1707/AVERAGE($C$2:C37268)))</f>
        <v/>
      </c>
      <c r="H1707" t="str">
        <f>IF(C1707="","",(C1707/MEDIAN($C$2:D37268)))</f>
        <v/>
      </c>
    </row>
    <row r="1708" spans="7:8" x14ac:dyDescent="0.2">
      <c r="G1708" t="str">
        <f>IF(C1708="","",(C1708/AVERAGE($C$2:C37269)))</f>
        <v/>
      </c>
      <c r="H1708" t="str">
        <f>IF(C1708="","",(C1708/MEDIAN($C$2:D37269)))</f>
        <v/>
      </c>
    </row>
    <row r="1709" spans="7:8" x14ac:dyDescent="0.2">
      <c r="G1709" t="str">
        <f>IF(C1709="","",(C1709/AVERAGE($C$2:C37270)))</f>
        <v/>
      </c>
      <c r="H1709" t="str">
        <f>IF(C1709="","",(C1709/MEDIAN($C$2:D37270)))</f>
        <v/>
      </c>
    </row>
    <row r="1710" spans="7:8" x14ac:dyDescent="0.2">
      <c r="G1710" t="str">
        <f>IF(C1710="","",(C1710/AVERAGE($C$2:C37271)))</f>
        <v/>
      </c>
      <c r="H1710" t="str">
        <f>IF(C1710="","",(C1710/MEDIAN($C$2:D37271)))</f>
        <v/>
      </c>
    </row>
    <row r="1711" spans="7:8" x14ac:dyDescent="0.2">
      <c r="G1711" t="str">
        <f>IF(C1711="","",(C1711/AVERAGE($C$2:C37272)))</f>
        <v/>
      </c>
      <c r="H1711" t="str">
        <f>IF(C1711="","",(C1711/MEDIAN($C$2:D37272)))</f>
        <v/>
      </c>
    </row>
    <row r="1712" spans="7:8" x14ac:dyDescent="0.2">
      <c r="G1712" t="str">
        <f>IF(C1712="","",(C1712/AVERAGE($C$2:C37273)))</f>
        <v/>
      </c>
      <c r="H1712" t="str">
        <f>IF(C1712="","",(C1712/MEDIAN($C$2:D37273)))</f>
        <v/>
      </c>
    </row>
    <row r="1713" spans="7:8" x14ac:dyDescent="0.2">
      <c r="G1713" t="str">
        <f>IF(C1713="","",(C1713/AVERAGE($C$2:C37274)))</f>
        <v/>
      </c>
      <c r="H1713" t="str">
        <f>IF(C1713="","",(C1713/MEDIAN($C$2:D37274)))</f>
        <v/>
      </c>
    </row>
    <row r="1714" spans="7:8" x14ac:dyDescent="0.2">
      <c r="G1714" t="str">
        <f>IF(C1714="","",(C1714/AVERAGE($C$2:C37275)))</f>
        <v/>
      </c>
      <c r="H1714" t="str">
        <f>IF(C1714="","",(C1714/MEDIAN($C$2:D37275)))</f>
        <v/>
      </c>
    </row>
    <row r="1715" spans="7:8" x14ac:dyDescent="0.2">
      <c r="G1715" t="str">
        <f>IF(C1715="","",(C1715/AVERAGE($C$2:C37276)))</f>
        <v/>
      </c>
      <c r="H1715" t="str">
        <f>IF(C1715="","",(C1715/MEDIAN($C$2:D37276)))</f>
        <v/>
      </c>
    </row>
    <row r="1716" spans="7:8" x14ac:dyDescent="0.2">
      <c r="G1716" t="str">
        <f>IF(C1716="","",(C1716/AVERAGE($C$2:C37277)))</f>
        <v/>
      </c>
      <c r="H1716" t="str">
        <f>IF(C1716="","",(C1716/MEDIAN($C$2:D37277)))</f>
        <v/>
      </c>
    </row>
    <row r="1717" spans="7:8" x14ac:dyDescent="0.2">
      <c r="G1717" t="str">
        <f>IF(C1717="","",(C1717/AVERAGE($C$2:C37278)))</f>
        <v/>
      </c>
      <c r="H1717" t="str">
        <f>IF(C1717="","",(C1717/MEDIAN($C$2:D37278)))</f>
        <v/>
      </c>
    </row>
    <row r="1718" spans="7:8" x14ac:dyDescent="0.2">
      <c r="G1718" t="str">
        <f>IF(C1718="","",(C1718/AVERAGE($C$2:C37279)))</f>
        <v/>
      </c>
      <c r="H1718" t="str">
        <f>IF(C1718="","",(C1718/MEDIAN($C$2:D37279)))</f>
        <v/>
      </c>
    </row>
    <row r="1719" spans="7:8" x14ac:dyDescent="0.2">
      <c r="G1719" t="str">
        <f>IF(C1719="","",(C1719/AVERAGE($C$2:C37280)))</f>
        <v/>
      </c>
      <c r="H1719" t="str">
        <f>IF(C1719="","",(C1719/MEDIAN($C$2:D37280)))</f>
        <v/>
      </c>
    </row>
    <row r="1720" spans="7:8" x14ac:dyDescent="0.2">
      <c r="G1720" t="str">
        <f>IF(C1720="","",(C1720/AVERAGE($C$2:C37281)))</f>
        <v/>
      </c>
      <c r="H1720" t="str">
        <f>IF(C1720="","",(C1720/MEDIAN($C$2:D37281)))</f>
        <v/>
      </c>
    </row>
    <row r="1721" spans="7:8" x14ac:dyDescent="0.2">
      <c r="G1721" t="str">
        <f>IF(C1721="","",(C1721/AVERAGE($C$2:C37282)))</f>
        <v/>
      </c>
      <c r="H1721" t="str">
        <f>IF(C1721="","",(C1721/MEDIAN($C$2:D37282)))</f>
        <v/>
      </c>
    </row>
    <row r="1722" spans="7:8" x14ac:dyDescent="0.2">
      <c r="G1722" t="str">
        <f>IF(C1722="","",(C1722/AVERAGE($C$2:C37283)))</f>
        <v/>
      </c>
      <c r="H1722" t="str">
        <f>IF(C1722="","",(C1722/MEDIAN($C$2:D37283)))</f>
        <v/>
      </c>
    </row>
    <row r="1723" spans="7:8" x14ac:dyDescent="0.2">
      <c r="G1723" t="str">
        <f>IF(C1723="","",(C1723/AVERAGE($C$2:C37284)))</f>
        <v/>
      </c>
      <c r="H1723" t="str">
        <f>IF(C1723="","",(C1723/MEDIAN($C$2:D37284)))</f>
        <v/>
      </c>
    </row>
    <row r="1724" spans="7:8" x14ac:dyDescent="0.2">
      <c r="G1724" t="str">
        <f>IF(C1724="","",(C1724/AVERAGE($C$2:C37285)))</f>
        <v/>
      </c>
      <c r="H1724" t="str">
        <f>IF(C1724="","",(C1724/MEDIAN($C$2:D37285)))</f>
        <v/>
      </c>
    </row>
    <row r="1725" spans="7:8" x14ac:dyDescent="0.2">
      <c r="G1725" t="str">
        <f>IF(C1725="","",(C1725/AVERAGE($C$2:C37286)))</f>
        <v/>
      </c>
      <c r="H1725" t="str">
        <f>IF(C1725="","",(C1725/MEDIAN($C$2:D37286)))</f>
        <v/>
      </c>
    </row>
    <row r="1726" spans="7:8" x14ac:dyDescent="0.2">
      <c r="G1726" t="str">
        <f>IF(C1726="","",(C1726/AVERAGE($C$2:C37287)))</f>
        <v/>
      </c>
      <c r="H1726" t="str">
        <f>IF(C1726="","",(C1726/MEDIAN($C$2:D37287)))</f>
        <v/>
      </c>
    </row>
    <row r="1727" spans="7:8" x14ac:dyDescent="0.2">
      <c r="G1727" t="str">
        <f>IF(C1727="","",(C1727/AVERAGE($C$2:C37288)))</f>
        <v/>
      </c>
      <c r="H1727" t="str">
        <f>IF(C1727="","",(C1727/MEDIAN($C$2:D37288)))</f>
        <v/>
      </c>
    </row>
    <row r="1728" spans="7:8" x14ac:dyDescent="0.2">
      <c r="G1728" t="str">
        <f>IF(C1728="","",(C1728/AVERAGE($C$2:C37289)))</f>
        <v/>
      </c>
      <c r="H1728" t="str">
        <f>IF(C1728="","",(C1728/MEDIAN($C$2:D37289)))</f>
        <v/>
      </c>
    </row>
    <row r="1729" spans="7:8" x14ac:dyDescent="0.2">
      <c r="G1729" t="str">
        <f>IF(C1729="","",(C1729/AVERAGE($C$2:C37290)))</f>
        <v/>
      </c>
      <c r="H1729" t="str">
        <f>IF(C1729="","",(C1729/MEDIAN($C$2:D37290)))</f>
        <v/>
      </c>
    </row>
    <row r="1730" spans="7:8" x14ac:dyDescent="0.2">
      <c r="G1730" t="str">
        <f>IF(C1730="","",(C1730/AVERAGE($C$2:C37291)))</f>
        <v/>
      </c>
      <c r="H1730" t="str">
        <f>IF(C1730="","",(C1730/MEDIAN($C$2:D37291)))</f>
        <v/>
      </c>
    </row>
    <row r="1731" spans="7:8" x14ac:dyDescent="0.2">
      <c r="G1731" t="str">
        <f>IF(C1731="","",(C1731/AVERAGE($C$2:C37292)))</f>
        <v/>
      </c>
      <c r="H1731" t="str">
        <f>IF(C1731="","",(C1731/MEDIAN($C$2:D37292)))</f>
        <v/>
      </c>
    </row>
    <row r="1732" spans="7:8" x14ac:dyDescent="0.2">
      <c r="G1732" t="str">
        <f>IF(C1732="","",(C1732/AVERAGE($C$2:C37293)))</f>
        <v/>
      </c>
      <c r="H1732" t="str">
        <f>IF(C1732="","",(C1732/MEDIAN($C$2:D37293)))</f>
        <v/>
      </c>
    </row>
    <row r="1733" spans="7:8" x14ac:dyDescent="0.2">
      <c r="G1733" t="str">
        <f>IF(C1733="","",(C1733/AVERAGE($C$2:C37294)))</f>
        <v/>
      </c>
      <c r="H1733" t="str">
        <f>IF(C1733="","",(C1733/MEDIAN($C$2:D37294)))</f>
        <v/>
      </c>
    </row>
    <row r="1734" spans="7:8" x14ac:dyDescent="0.2">
      <c r="G1734" t="str">
        <f>IF(C1734="","",(C1734/AVERAGE($C$2:C37295)))</f>
        <v/>
      </c>
      <c r="H1734" t="str">
        <f>IF(C1734="","",(C1734/MEDIAN($C$2:D37295)))</f>
        <v/>
      </c>
    </row>
    <row r="1735" spans="7:8" x14ac:dyDescent="0.2">
      <c r="G1735" t="str">
        <f>IF(C1735="","",(C1735/AVERAGE($C$2:C37296)))</f>
        <v/>
      </c>
      <c r="H1735" t="str">
        <f>IF(C1735="","",(C1735/MEDIAN($C$2:D37296)))</f>
        <v/>
      </c>
    </row>
    <row r="1736" spans="7:8" x14ac:dyDescent="0.2">
      <c r="G1736" t="str">
        <f>IF(C1736="","",(C1736/AVERAGE($C$2:C37297)))</f>
        <v/>
      </c>
      <c r="H1736" t="str">
        <f>IF(C1736="","",(C1736/MEDIAN($C$2:D37297)))</f>
        <v/>
      </c>
    </row>
    <row r="1737" spans="7:8" x14ac:dyDescent="0.2">
      <c r="G1737" t="str">
        <f>IF(C1737="","",(C1737/AVERAGE($C$2:C37298)))</f>
        <v/>
      </c>
      <c r="H1737" t="str">
        <f>IF(C1737="","",(C1737/MEDIAN($C$2:D37298)))</f>
        <v/>
      </c>
    </row>
    <row r="1738" spans="7:8" x14ac:dyDescent="0.2">
      <c r="G1738" t="str">
        <f>IF(C1738="","",(C1738/AVERAGE($C$2:C37299)))</f>
        <v/>
      </c>
      <c r="H1738" t="str">
        <f>IF(C1738="","",(C1738/MEDIAN($C$2:D37299)))</f>
        <v/>
      </c>
    </row>
    <row r="1739" spans="7:8" x14ac:dyDescent="0.2">
      <c r="G1739" t="str">
        <f>IF(C1739="","",(C1739/AVERAGE($C$2:C37300)))</f>
        <v/>
      </c>
      <c r="H1739" t="str">
        <f>IF(C1739="","",(C1739/MEDIAN($C$2:D37300)))</f>
        <v/>
      </c>
    </row>
    <row r="1740" spans="7:8" x14ac:dyDescent="0.2">
      <c r="G1740" t="str">
        <f>IF(C1740="","",(C1740/AVERAGE($C$2:C37301)))</f>
        <v/>
      </c>
      <c r="H1740" t="str">
        <f>IF(C1740="","",(C1740/MEDIAN($C$2:D37301)))</f>
        <v/>
      </c>
    </row>
    <row r="1741" spans="7:8" x14ac:dyDescent="0.2">
      <c r="G1741" t="str">
        <f>IF(C1741="","",(C1741/AVERAGE($C$2:C37302)))</f>
        <v/>
      </c>
      <c r="H1741" t="str">
        <f>IF(C1741="","",(C1741/MEDIAN($C$2:D37302)))</f>
        <v/>
      </c>
    </row>
    <row r="1742" spans="7:8" x14ac:dyDescent="0.2">
      <c r="G1742" t="str">
        <f>IF(C1742="","",(C1742/AVERAGE($C$2:C37303)))</f>
        <v/>
      </c>
      <c r="H1742" t="str">
        <f>IF(C1742="","",(C1742/MEDIAN($C$2:D37303)))</f>
        <v/>
      </c>
    </row>
    <row r="1743" spans="7:8" x14ac:dyDescent="0.2">
      <c r="G1743" t="str">
        <f>IF(C1743="","",(C1743/AVERAGE($C$2:C37304)))</f>
        <v/>
      </c>
      <c r="H1743" t="str">
        <f>IF(C1743="","",(C1743/MEDIAN($C$2:D37304)))</f>
        <v/>
      </c>
    </row>
    <row r="1744" spans="7:8" x14ac:dyDescent="0.2">
      <c r="G1744" t="str">
        <f>IF(C1744="","",(C1744/AVERAGE($C$2:C37305)))</f>
        <v/>
      </c>
      <c r="H1744" t="str">
        <f>IF(C1744="","",(C1744/MEDIAN($C$2:D37305)))</f>
        <v/>
      </c>
    </row>
    <row r="1745" spans="7:8" x14ac:dyDescent="0.2">
      <c r="G1745" t="str">
        <f>IF(C1745="","",(C1745/AVERAGE($C$2:C37306)))</f>
        <v/>
      </c>
      <c r="H1745" t="str">
        <f>IF(C1745="","",(C1745/MEDIAN($C$2:D37306)))</f>
        <v/>
      </c>
    </row>
    <row r="1746" spans="7:8" x14ac:dyDescent="0.2">
      <c r="G1746" t="str">
        <f>IF(C1746="","",(C1746/AVERAGE($C$2:C37307)))</f>
        <v/>
      </c>
      <c r="H1746" t="str">
        <f>IF(C1746="","",(C1746/MEDIAN($C$2:D37307)))</f>
        <v/>
      </c>
    </row>
    <row r="1747" spans="7:8" x14ac:dyDescent="0.2">
      <c r="G1747" t="str">
        <f>IF(C1747="","",(C1747/AVERAGE($C$2:C37308)))</f>
        <v/>
      </c>
      <c r="H1747" t="str">
        <f>IF(C1747="","",(C1747/MEDIAN($C$2:D37308)))</f>
        <v/>
      </c>
    </row>
    <row r="1748" spans="7:8" x14ac:dyDescent="0.2">
      <c r="G1748" t="str">
        <f>IF(C1748="","",(C1748/AVERAGE($C$2:C37309)))</f>
        <v/>
      </c>
      <c r="H1748" t="str">
        <f>IF(C1748="","",(C1748/MEDIAN($C$2:D37309)))</f>
        <v/>
      </c>
    </row>
    <row r="1749" spans="7:8" x14ac:dyDescent="0.2">
      <c r="G1749" t="str">
        <f>IF(C1749="","",(C1749/AVERAGE($C$2:C37310)))</f>
        <v/>
      </c>
      <c r="H1749" t="str">
        <f>IF(C1749="","",(C1749/MEDIAN($C$2:D37310)))</f>
        <v/>
      </c>
    </row>
    <row r="1750" spans="7:8" x14ac:dyDescent="0.2">
      <c r="G1750" t="str">
        <f>IF(C1750="","",(C1750/AVERAGE($C$2:C37311)))</f>
        <v/>
      </c>
      <c r="H1750" t="str">
        <f>IF(C1750="","",(C1750/MEDIAN($C$2:D37311)))</f>
        <v/>
      </c>
    </row>
    <row r="1751" spans="7:8" x14ac:dyDescent="0.2">
      <c r="G1751" t="str">
        <f>IF(C1751="","",(C1751/AVERAGE($C$2:C37312)))</f>
        <v/>
      </c>
      <c r="H1751" t="str">
        <f>IF(C1751="","",(C1751/MEDIAN($C$2:D37312)))</f>
        <v/>
      </c>
    </row>
    <row r="1752" spans="7:8" x14ac:dyDescent="0.2">
      <c r="G1752" t="str">
        <f>IF(C1752="","",(C1752/AVERAGE($C$2:C37313)))</f>
        <v/>
      </c>
      <c r="H1752" t="str">
        <f>IF(C1752="","",(C1752/MEDIAN($C$2:D37313)))</f>
        <v/>
      </c>
    </row>
    <row r="1753" spans="7:8" x14ac:dyDescent="0.2">
      <c r="G1753" t="str">
        <f>IF(C1753="","",(C1753/AVERAGE($C$2:C37314)))</f>
        <v/>
      </c>
      <c r="H1753" t="str">
        <f>IF(C1753="","",(C1753/MEDIAN($C$2:D37314)))</f>
        <v/>
      </c>
    </row>
    <row r="1754" spans="7:8" x14ac:dyDescent="0.2">
      <c r="G1754" t="str">
        <f>IF(C1754="","",(C1754/AVERAGE($C$2:C37315)))</f>
        <v/>
      </c>
      <c r="H1754" t="str">
        <f>IF(C1754="","",(C1754/MEDIAN($C$2:D37315)))</f>
        <v/>
      </c>
    </row>
    <row r="1755" spans="7:8" x14ac:dyDescent="0.2">
      <c r="G1755" t="str">
        <f>IF(C1755="","",(C1755/AVERAGE($C$2:C37316)))</f>
        <v/>
      </c>
      <c r="H1755" t="str">
        <f>IF(C1755="","",(C1755/MEDIAN($C$2:D37316)))</f>
        <v/>
      </c>
    </row>
    <row r="1756" spans="7:8" x14ac:dyDescent="0.2">
      <c r="G1756" t="str">
        <f>IF(C1756="","",(C1756/AVERAGE($C$2:C37317)))</f>
        <v/>
      </c>
      <c r="H1756" t="str">
        <f>IF(C1756="","",(C1756/MEDIAN($C$2:D37317)))</f>
        <v/>
      </c>
    </row>
    <row r="1757" spans="7:8" x14ac:dyDescent="0.2">
      <c r="G1757" t="str">
        <f>IF(C1757="","",(C1757/AVERAGE($C$2:C37318)))</f>
        <v/>
      </c>
      <c r="H1757" t="str">
        <f>IF(C1757="","",(C1757/MEDIAN($C$2:D37318)))</f>
        <v/>
      </c>
    </row>
    <row r="1758" spans="7:8" x14ac:dyDescent="0.2">
      <c r="G1758" t="str">
        <f>IF(C1758="","",(C1758/AVERAGE($C$2:C37319)))</f>
        <v/>
      </c>
      <c r="H1758" t="str">
        <f>IF(C1758="","",(C1758/MEDIAN($C$2:D37319)))</f>
        <v/>
      </c>
    </row>
    <row r="1759" spans="7:8" x14ac:dyDescent="0.2">
      <c r="G1759" t="str">
        <f>IF(C1759="","",(C1759/AVERAGE($C$2:C37320)))</f>
        <v/>
      </c>
      <c r="H1759" t="str">
        <f>IF(C1759="","",(C1759/MEDIAN($C$2:D37320)))</f>
        <v/>
      </c>
    </row>
    <row r="1760" spans="7:8" x14ac:dyDescent="0.2">
      <c r="G1760" t="str">
        <f>IF(C1760="","",(C1760/AVERAGE($C$2:C37321)))</f>
        <v/>
      </c>
      <c r="H1760" t="str">
        <f>IF(C1760="","",(C1760/MEDIAN($C$2:D37321)))</f>
        <v/>
      </c>
    </row>
    <row r="1761" spans="7:8" x14ac:dyDescent="0.2">
      <c r="G1761" t="str">
        <f>IF(C1761="","",(C1761/AVERAGE($C$2:C37322)))</f>
        <v/>
      </c>
      <c r="H1761" t="str">
        <f>IF(C1761="","",(C1761/MEDIAN($C$2:D37322)))</f>
        <v/>
      </c>
    </row>
    <row r="1762" spans="7:8" x14ac:dyDescent="0.2">
      <c r="G1762" t="str">
        <f>IF(C1762="","",(C1762/AVERAGE($C$2:C37323)))</f>
        <v/>
      </c>
      <c r="H1762" t="str">
        <f>IF(C1762="","",(C1762/MEDIAN($C$2:D37323)))</f>
        <v/>
      </c>
    </row>
    <row r="1763" spans="7:8" x14ac:dyDescent="0.2">
      <c r="G1763" t="str">
        <f>IF(C1763="","",(C1763/AVERAGE($C$2:C37324)))</f>
        <v/>
      </c>
      <c r="H1763" t="str">
        <f>IF(C1763="","",(C1763/MEDIAN($C$2:D37324)))</f>
        <v/>
      </c>
    </row>
    <row r="1764" spans="7:8" x14ac:dyDescent="0.2">
      <c r="G1764" t="str">
        <f>IF(C1764="","",(C1764/AVERAGE($C$2:C37325)))</f>
        <v/>
      </c>
      <c r="H1764" t="str">
        <f>IF(C1764="","",(C1764/MEDIAN($C$2:D37325)))</f>
        <v/>
      </c>
    </row>
    <row r="1765" spans="7:8" x14ac:dyDescent="0.2">
      <c r="G1765" t="str">
        <f>IF(C1765="","",(C1765/AVERAGE($C$2:C37326)))</f>
        <v/>
      </c>
      <c r="H1765" t="str">
        <f>IF(C1765="","",(C1765/MEDIAN($C$2:D37326)))</f>
        <v/>
      </c>
    </row>
    <row r="1766" spans="7:8" x14ac:dyDescent="0.2">
      <c r="G1766" t="str">
        <f>IF(C1766="","",(C1766/AVERAGE($C$2:C37327)))</f>
        <v/>
      </c>
      <c r="H1766" t="str">
        <f>IF(C1766="","",(C1766/MEDIAN($C$2:D37327)))</f>
        <v/>
      </c>
    </row>
    <row r="1767" spans="7:8" x14ac:dyDescent="0.2">
      <c r="G1767" t="str">
        <f>IF(C1767="","",(C1767/AVERAGE($C$2:C37328)))</f>
        <v/>
      </c>
      <c r="H1767" t="str">
        <f>IF(C1767="","",(C1767/MEDIAN($C$2:D37328)))</f>
        <v/>
      </c>
    </row>
    <row r="1768" spans="7:8" x14ac:dyDescent="0.2">
      <c r="G1768" t="str">
        <f>IF(C1768="","",(C1768/AVERAGE($C$2:C37329)))</f>
        <v/>
      </c>
      <c r="H1768" t="str">
        <f>IF(C1768="","",(C1768/MEDIAN($C$2:D37329)))</f>
        <v/>
      </c>
    </row>
    <row r="1769" spans="7:8" x14ac:dyDescent="0.2">
      <c r="G1769" t="str">
        <f>IF(C1769="","",(C1769/AVERAGE($C$2:C37330)))</f>
        <v/>
      </c>
      <c r="H1769" t="str">
        <f>IF(C1769="","",(C1769/MEDIAN($C$2:D37330)))</f>
        <v/>
      </c>
    </row>
    <row r="1770" spans="7:8" x14ac:dyDescent="0.2">
      <c r="G1770" t="str">
        <f>IF(C1770="","",(C1770/AVERAGE($C$2:C37331)))</f>
        <v/>
      </c>
      <c r="H1770" t="str">
        <f>IF(C1770="","",(C1770/MEDIAN($C$2:D37331)))</f>
        <v/>
      </c>
    </row>
    <row r="1771" spans="7:8" x14ac:dyDescent="0.2">
      <c r="G1771" t="str">
        <f>IF(C1771="","",(C1771/AVERAGE($C$2:C37332)))</f>
        <v/>
      </c>
      <c r="H1771" t="str">
        <f>IF(C1771="","",(C1771/MEDIAN($C$2:D37332)))</f>
        <v/>
      </c>
    </row>
    <row r="1772" spans="7:8" x14ac:dyDescent="0.2">
      <c r="G1772" t="str">
        <f>IF(C1772="","",(C1772/AVERAGE($C$2:C37333)))</f>
        <v/>
      </c>
      <c r="H1772" t="str">
        <f>IF(C1772="","",(C1772/MEDIAN($C$2:D37333)))</f>
        <v/>
      </c>
    </row>
    <row r="1773" spans="7:8" x14ac:dyDescent="0.2">
      <c r="G1773" t="str">
        <f>IF(C1773="","",(C1773/AVERAGE($C$2:C37334)))</f>
        <v/>
      </c>
      <c r="H1773" t="str">
        <f>IF(C1773="","",(C1773/MEDIAN($C$2:D37334)))</f>
        <v/>
      </c>
    </row>
    <row r="1774" spans="7:8" x14ac:dyDescent="0.2">
      <c r="G1774" t="str">
        <f>IF(C1774="","",(C1774/AVERAGE($C$2:C37335)))</f>
        <v/>
      </c>
      <c r="H1774" t="str">
        <f>IF(C1774="","",(C1774/MEDIAN($C$2:D37335)))</f>
        <v/>
      </c>
    </row>
    <row r="1775" spans="7:8" x14ac:dyDescent="0.2">
      <c r="G1775" t="str">
        <f>IF(C1775="","",(C1775/AVERAGE($C$2:C37336)))</f>
        <v/>
      </c>
      <c r="H1775" t="str">
        <f>IF(C1775="","",(C1775/MEDIAN($C$2:D37336)))</f>
        <v/>
      </c>
    </row>
    <row r="1776" spans="7:8" x14ac:dyDescent="0.2">
      <c r="G1776" t="str">
        <f>IF(C1776="","",(C1776/AVERAGE($C$2:C37337)))</f>
        <v/>
      </c>
      <c r="H1776" t="str">
        <f>IF(C1776="","",(C1776/MEDIAN($C$2:D37337)))</f>
        <v/>
      </c>
    </row>
    <row r="1777" spans="7:8" x14ac:dyDescent="0.2">
      <c r="G1777" t="str">
        <f>IF(C1777="","",(C1777/AVERAGE($C$2:C37338)))</f>
        <v/>
      </c>
      <c r="H1777" t="str">
        <f>IF(C1777="","",(C1777/MEDIAN($C$2:D37338)))</f>
        <v/>
      </c>
    </row>
    <row r="1778" spans="7:8" x14ac:dyDescent="0.2">
      <c r="G1778" t="str">
        <f>IF(C1778="","",(C1778/AVERAGE($C$2:C37339)))</f>
        <v/>
      </c>
      <c r="H1778" t="str">
        <f>IF(C1778="","",(C1778/MEDIAN($C$2:D37339)))</f>
        <v/>
      </c>
    </row>
    <row r="1779" spans="7:8" x14ac:dyDescent="0.2">
      <c r="G1779" t="str">
        <f>IF(C1779="","",(C1779/AVERAGE($C$2:C37340)))</f>
        <v/>
      </c>
      <c r="H1779" t="str">
        <f>IF(C1779="","",(C1779/MEDIAN($C$2:D37340)))</f>
        <v/>
      </c>
    </row>
    <row r="1780" spans="7:8" x14ac:dyDescent="0.2">
      <c r="G1780" t="str">
        <f>IF(C1780="","",(C1780/AVERAGE($C$2:C37341)))</f>
        <v/>
      </c>
      <c r="H1780" t="str">
        <f>IF(C1780="","",(C1780/MEDIAN($C$2:D37341)))</f>
        <v/>
      </c>
    </row>
    <row r="1781" spans="7:8" x14ac:dyDescent="0.2">
      <c r="G1781" t="str">
        <f>IF(C1781="","",(C1781/AVERAGE($C$2:C37342)))</f>
        <v/>
      </c>
      <c r="H1781" t="str">
        <f>IF(C1781="","",(C1781/MEDIAN($C$2:D37342)))</f>
        <v/>
      </c>
    </row>
    <row r="1782" spans="7:8" x14ac:dyDescent="0.2">
      <c r="G1782" t="str">
        <f>IF(C1782="","",(C1782/AVERAGE($C$2:C37343)))</f>
        <v/>
      </c>
      <c r="H1782" t="str">
        <f>IF(C1782="","",(C1782/MEDIAN($C$2:D37343)))</f>
        <v/>
      </c>
    </row>
    <row r="1783" spans="7:8" x14ac:dyDescent="0.2">
      <c r="G1783" t="str">
        <f>IF(C1783="","",(C1783/AVERAGE($C$2:C37344)))</f>
        <v/>
      </c>
      <c r="H1783" t="str">
        <f>IF(C1783="","",(C1783/MEDIAN($C$2:D37344)))</f>
        <v/>
      </c>
    </row>
    <row r="1784" spans="7:8" x14ac:dyDescent="0.2">
      <c r="G1784" t="str">
        <f>IF(C1784="","",(C1784/AVERAGE($C$2:C37345)))</f>
        <v/>
      </c>
      <c r="H1784" t="str">
        <f>IF(C1784="","",(C1784/MEDIAN($C$2:D37345)))</f>
        <v/>
      </c>
    </row>
    <row r="1785" spans="7:8" x14ac:dyDescent="0.2">
      <c r="G1785" t="str">
        <f>IF(C1785="","",(C1785/AVERAGE($C$2:C37346)))</f>
        <v/>
      </c>
      <c r="H1785" t="str">
        <f>IF(C1785="","",(C1785/MEDIAN($C$2:D37346)))</f>
        <v/>
      </c>
    </row>
    <row r="1786" spans="7:8" x14ac:dyDescent="0.2">
      <c r="G1786" t="str">
        <f>IF(C1786="","",(C1786/AVERAGE($C$2:C37347)))</f>
        <v/>
      </c>
      <c r="H1786" t="str">
        <f>IF(C1786="","",(C1786/MEDIAN($C$2:D37347)))</f>
        <v/>
      </c>
    </row>
    <row r="1787" spans="7:8" x14ac:dyDescent="0.2">
      <c r="G1787" t="str">
        <f>IF(C1787="","",(C1787/AVERAGE($C$2:C37348)))</f>
        <v/>
      </c>
      <c r="H1787" t="str">
        <f>IF(C1787="","",(C1787/MEDIAN($C$2:D37348)))</f>
        <v/>
      </c>
    </row>
    <row r="1788" spans="7:8" x14ac:dyDescent="0.2">
      <c r="G1788" t="str">
        <f>IF(C1788="","",(C1788/AVERAGE($C$2:C37349)))</f>
        <v/>
      </c>
      <c r="H1788" t="str">
        <f>IF(C1788="","",(C1788/MEDIAN($C$2:D37349)))</f>
        <v/>
      </c>
    </row>
    <row r="1789" spans="7:8" x14ac:dyDescent="0.2">
      <c r="G1789" t="str">
        <f>IF(C1789="","",(C1789/AVERAGE($C$2:C37350)))</f>
        <v/>
      </c>
      <c r="H1789" t="str">
        <f>IF(C1789="","",(C1789/MEDIAN($C$2:D37350)))</f>
        <v/>
      </c>
    </row>
    <row r="1790" spans="7:8" x14ac:dyDescent="0.2">
      <c r="G1790" t="str">
        <f>IF(C1790="","",(C1790/AVERAGE($C$2:C37351)))</f>
        <v/>
      </c>
      <c r="H1790" t="str">
        <f>IF(C1790="","",(C1790/MEDIAN($C$2:D37351)))</f>
        <v/>
      </c>
    </row>
    <row r="1791" spans="7:8" x14ac:dyDescent="0.2">
      <c r="G1791" t="str">
        <f>IF(C1791="","",(C1791/AVERAGE($C$2:C37352)))</f>
        <v/>
      </c>
      <c r="H1791" t="str">
        <f>IF(C1791="","",(C1791/MEDIAN($C$2:D37352)))</f>
        <v/>
      </c>
    </row>
    <row r="1792" spans="7:8" x14ac:dyDescent="0.2">
      <c r="G1792" t="str">
        <f>IF(C1792="","",(C1792/AVERAGE($C$2:C37353)))</f>
        <v/>
      </c>
      <c r="H1792" t="str">
        <f>IF(C1792="","",(C1792/MEDIAN($C$2:D37353)))</f>
        <v/>
      </c>
    </row>
    <row r="1793" spans="7:8" x14ac:dyDescent="0.2">
      <c r="G1793" t="str">
        <f>IF(C1793="","",(C1793/AVERAGE($C$2:C37354)))</f>
        <v/>
      </c>
      <c r="H1793" t="str">
        <f>IF(C1793="","",(C1793/MEDIAN($C$2:D37354)))</f>
        <v/>
      </c>
    </row>
    <row r="1794" spans="7:8" x14ac:dyDescent="0.2">
      <c r="G1794" t="str">
        <f>IF(C1794="","",(C1794/AVERAGE($C$2:C37355)))</f>
        <v/>
      </c>
      <c r="H1794" t="str">
        <f>IF(C1794="","",(C1794/MEDIAN($C$2:D37355)))</f>
        <v/>
      </c>
    </row>
    <row r="1795" spans="7:8" x14ac:dyDescent="0.2">
      <c r="G1795" t="str">
        <f>IF(C1795="","",(C1795/AVERAGE($C$2:C37356)))</f>
        <v/>
      </c>
      <c r="H1795" t="str">
        <f>IF(C1795="","",(C1795/MEDIAN($C$2:D37356)))</f>
        <v/>
      </c>
    </row>
    <row r="1796" spans="7:8" x14ac:dyDescent="0.2">
      <c r="G1796" t="str">
        <f>IF(C1796="","",(C1796/AVERAGE($C$2:C37357)))</f>
        <v/>
      </c>
      <c r="H1796" t="str">
        <f>IF(C1796="","",(C1796/MEDIAN($C$2:D37357)))</f>
        <v/>
      </c>
    </row>
    <row r="1797" spans="7:8" x14ac:dyDescent="0.2">
      <c r="G1797" t="str">
        <f>IF(C1797="","",(C1797/AVERAGE($C$2:C37358)))</f>
        <v/>
      </c>
      <c r="H1797" t="str">
        <f>IF(C1797="","",(C1797/MEDIAN($C$2:D37358)))</f>
        <v/>
      </c>
    </row>
    <row r="1798" spans="7:8" x14ac:dyDescent="0.2">
      <c r="G1798" t="str">
        <f>IF(C1798="","",(C1798/AVERAGE($C$2:C37359)))</f>
        <v/>
      </c>
      <c r="H1798" t="str">
        <f>IF(C1798="","",(C1798/MEDIAN($C$2:D37359)))</f>
        <v/>
      </c>
    </row>
    <row r="1799" spans="7:8" x14ac:dyDescent="0.2">
      <c r="G1799" t="str">
        <f>IF(C1799="","",(C1799/AVERAGE($C$2:C37360)))</f>
        <v/>
      </c>
      <c r="H1799" t="str">
        <f>IF(C1799="","",(C1799/MEDIAN($C$2:D37360)))</f>
        <v/>
      </c>
    </row>
    <row r="1800" spans="7:8" x14ac:dyDescent="0.2">
      <c r="G1800" t="str">
        <f>IF(C1800="","",(C1800/AVERAGE($C$2:C37361)))</f>
        <v/>
      </c>
      <c r="H1800" t="str">
        <f>IF(C1800="","",(C1800/MEDIAN($C$2:D37361)))</f>
        <v/>
      </c>
    </row>
    <row r="1801" spans="7:8" x14ac:dyDescent="0.2">
      <c r="G1801" t="str">
        <f>IF(C1801="","",(C1801/AVERAGE($C$2:C37362)))</f>
        <v/>
      </c>
      <c r="H1801" t="str">
        <f>IF(C1801="","",(C1801/MEDIAN($C$2:D37362)))</f>
        <v/>
      </c>
    </row>
    <row r="1802" spans="7:8" x14ac:dyDescent="0.2">
      <c r="G1802" t="str">
        <f>IF(C1802="","",(C1802/AVERAGE($C$2:C37363)))</f>
        <v/>
      </c>
      <c r="H1802" t="str">
        <f>IF(C1802="","",(C1802/MEDIAN($C$2:D37363)))</f>
        <v/>
      </c>
    </row>
    <row r="1803" spans="7:8" x14ac:dyDescent="0.2">
      <c r="G1803" t="str">
        <f>IF(C1803="","",(C1803/AVERAGE($C$2:C37364)))</f>
        <v/>
      </c>
      <c r="H1803" t="str">
        <f>IF(C1803="","",(C1803/MEDIAN($C$2:D37364)))</f>
        <v/>
      </c>
    </row>
    <row r="1804" spans="7:8" x14ac:dyDescent="0.2">
      <c r="G1804" t="str">
        <f>IF(C1804="","",(C1804/AVERAGE($C$2:C37365)))</f>
        <v/>
      </c>
      <c r="H1804" t="str">
        <f>IF(C1804="","",(C1804/MEDIAN($C$2:D37365)))</f>
        <v/>
      </c>
    </row>
    <row r="1805" spans="7:8" x14ac:dyDescent="0.2">
      <c r="G1805" t="str">
        <f>IF(C1805="","",(C1805/AVERAGE($C$2:C37366)))</f>
        <v/>
      </c>
      <c r="H1805" t="str">
        <f>IF(C1805="","",(C1805/MEDIAN($C$2:D37366)))</f>
        <v/>
      </c>
    </row>
    <row r="1806" spans="7:8" x14ac:dyDescent="0.2">
      <c r="G1806" t="str">
        <f>IF(C1806="","",(C1806/AVERAGE($C$2:C37367)))</f>
        <v/>
      </c>
      <c r="H1806" t="str">
        <f>IF(C1806="","",(C1806/MEDIAN($C$2:D37367)))</f>
        <v/>
      </c>
    </row>
    <row r="1807" spans="7:8" x14ac:dyDescent="0.2">
      <c r="G1807" t="str">
        <f>IF(C1807="","",(C1807/AVERAGE($C$2:C37368)))</f>
        <v/>
      </c>
      <c r="H1807" t="str">
        <f>IF(C1807="","",(C1807/MEDIAN($C$2:D37368)))</f>
        <v/>
      </c>
    </row>
    <row r="1808" spans="7:8" x14ac:dyDescent="0.2">
      <c r="G1808" t="str">
        <f>IF(C1808="","",(C1808/AVERAGE($C$2:C37369)))</f>
        <v/>
      </c>
      <c r="H1808" t="str">
        <f>IF(C1808="","",(C1808/MEDIAN($C$2:D37369)))</f>
        <v/>
      </c>
    </row>
    <row r="1809" spans="7:8" x14ac:dyDescent="0.2">
      <c r="G1809" t="str">
        <f>IF(C1809="","",(C1809/AVERAGE($C$2:C37370)))</f>
        <v/>
      </c>
      <c r="H1809" t="str">
        <f>IF(C1809="","",(C1809/MEDIAN($C$2:D37370)))</f>
        <v/>
      </c>
    </row>
    <row r="1810" spans="7:8" x14ac:dyDescent="0.2">
      <c r="G1810" t="str">
        <f>IF(C1810="","",(C1810/AVERAGE($C$2:C37371)))</f>
        <v/>
      </c>
      <c r="H1810" t="str">
        <f>IF(C1810="","",(C1810/MEDIAN($C$2:D37371)))</f>
        <v/>
      </c>
    </row>
    <row r="1811" spans="7:8" x14ac:dyDescent="0.2">
      <c r="G1811" t="str">
        <f>IF(C1811="","",(C1811/AVERAGE($C$2:C37372)))</f>
        <v/>
      </c>
      <c r="H1811" t="str">
        <f>IF(C1811="","",(C1811/MEDIAN($C$2:D37372)))</f>
        <v/>
      </c>
    </row>
    <row r="1812" spans="7:8" x14ac:dyDescent="0.2">
      <c r="G1812" t="str">
        <f>IF(C1812="","",(C1812/AVERAGE($C$2:C37373)))</f>
        <v/>
      </c>
      <c r="H1812" t="str">
        <f>IF(C1812="","",(C1812/MEDIAN($C$2:D37373)))</f>
        <v/>
      </c>
    </row>
    <row r="1813" spans="7:8" x14ac:dyDescent="0.2">
      <c r="G1813" t="str">
        <f>IF(C1813="","",(C1813/AVERAGE($C$2:C37374)))</f>
        <v/>
      </c>
      <c r="H1813" t="str">
        <f>IF(C1813="","",(C1813/MEDIAN($C$2:D37374)))</f>
        <v/>
      </c>
    </row>
    <row r="1814" spans="7:8" x14ac:dyDescent="0.2">
      <c r="G1814" t="str">
        <f>IF(C1814="","",(C1814/AVERAGE($C$2:C37375)))</f>
        <v/>
      </c>
      <c r="H1814" t="str">
        <f>IF(C1814="","",(C1814/MEDIAN($C$2:D37375)))</f>
        <v/>
      </c>
    </row>
    <row r="1815" spans="7:8" x14ac:dyDescent="0.2">
      <c r="G1815" t="str">
        <f>IF(C1815="","",(C1815/AVERAGE($C$2:C37376)))</f>
        <v/>
      </c>
      <c r="H1815" t="str">
        <f>IF(C1815="","",(C1815/MEDIAN($C$2:D37376)))</f>
        <v/>
      </c>
    </row>
    <row r="1816" spans="7:8" x14ac:dyDescent="0.2">
      <c r="G1816" t="str">
        <f>IF(C1816="","",(C1816/AVERAGE($C$2:C37377)))</f>
        <v/>
      </c>
      <c r="H1816" t="str">
        <f>IF(C1816="","",(C1816/MEDIAN($C$2:D37377)))</f>
        <v/>
      </c>
    </row>
    <row r="1817" spans="7:8" x14ac:dyDescent="0.2">
      <c r="G1817" t="str">
        <f>IF(C1817="","",(C1817/AVERAGE($C$2:C37378)))</f>
        <v/>
      </c>
      <c r="H1817" t="str">
        <f>IF(C1817="","",(C1817/MEDIAN($C$2:D37378)))</f>
        <v/>
      </c>
    </row>
    <row r="1818" spans="7:8" x14ac:dyDescent="0.2">
      <c r="G1818" t="str">
        <f>IF(C1818="","",(C1818/AVERAGE($C$2:C37379)))</f>
        <v/>
      </c>
      <c r="H1818" t="str">
        <f>IF(C1818="","",(C1818/MEDIAN($C$2:D37379)))</f>
        <v/>
      </c>
    </row>
    <row r="1819" spans="7:8" x14ac:dyDescent="0.2">
      <c r="G1819" t="str">
        <f>IF(C1819="","",(C1819/AVERAGE($C$2:C37380)))</f>
        <v/>
      </c>
      <c r="H1819" t="str">
        <f>IF(C1819="","",(C1819/MEDIAN($C$2:D37380)))</f>
        <v/>
      </c>
    </row>
    <row r="1820" spans="7:8" x14ac:dyDescent="0.2">
      <c r="G1820" t="str">
        <f>IF(C1820="","",(C1820/AVERAGE($C$2:C37381)))</f>
        <v/>
      </c>
      <c r="H1820" t="str">
        <f>IF(C1820="","",(C1820/MEDIAN($C$2:D37381)))</f>
        <v/>
      </c>
    </row>
    <row r="1821" spans="7:8" x14ac:dyDescent="0.2">
      <c r="G1821" t="str">
        <f>IF(C1821="","",(C1821/AVERAGE($C$2:C37382)))</f>
        <v/>
      </c>
      <c r="H1821" t="str">
        <f>IF(C1821="","",(C1821/MEDIAN($C$2:D37382)))</f>
        <v/>
      </c>
    </row>
    <row r="1822" spans="7:8" x14ac:dyDescent="0.2">
      <c r="G1822" t="str">
        <f>IF(C1822="","",(C1822/AVERAGE($C$2:C37383)))</f>
        <v/>
      </c>
      <c r="H1822" t="str">
        <f>IF(C1822="","",(C1822/MEDIAN($C$2:D37383)))</f>
        <v/>
      </c>
    </row>
    <row r="1823" spans="7:8" x14ac:dyDescent="0.2">
      <c r="G1823" t="str">
        <f>IF(C1823="","",(C1823/AVERAGE($C$2:C37384)))</f>
        <v/>
      </c>
      <c r="H1823" t="str">
        <f>IF(C1823="","",(C1823/MEDIAN($C$2:D37384)))</f>
        <v/>
      </c>
    </row>
    <row r="1824" spans="7:8" x14ac:dyDescent="0.2">
      <c r="G1824" t="str">
        <f>IF(C1824="","",(C1824/AVERAGE($C$2:C37385)))</f>
        <v/>
      </c>
      <c r="H1824" t="str">
        <f>IF(C1824="","",(C1824/MEDIAN($C$2:D37385)))</f>
        <v/>
      </c>
    </row>
    <row r="1825" spans="7:8" x14ac:dyDescent="0.2">
      <c r="G1825" t="str">
        <f>IF(C1825="","",(C1825/AVERAGE($C$2:C37386)))</f>
        <v/>
      </c>
      <c r="H1825" t="str">
        <f>IF(C1825="","",(C1825/MEDIAN($C$2:D37386)))</f>
        <v/>
      </c>
    </row>
    <row r="1826" spans="7:8" x14ac:dyDescent="0.2">
      <c r="G1826" t="str">
        <f>IF(C1826="","",(C1826/AVERAGE($C$2:C37387)))</f>
        <v/>
      </c>
      <c r="H1826" t="str">
        <f>IF(C1826="","",(C1826/MEDIAN($C$2:D37387)))</f>
        <v/>
      </c>
    </row>
    <row r="1827" spans="7:8" x14ac:dyDescent="0.2">
      <c r="G1827" t="str">
        <f>IF(C1827="","",(C1827/AVERAGE($C$2:C37388)))</f>
        <v/>
      </c>
      <c r="H1827" t="str">
        <f>IF(C1827="","",(C1827/MEDIAN($C$2:D37388)))</f>
        <v/>
      </c>
    </row>
    <row r="1828" spans="7:8" x14ac:dyDescent="0.2">
      <c r="G1828" t="str">
        <f>IF(C1828="","",(C1828/AVERAGE($C$2:C37389)))</f>
        <v/>
      </c>
      <c r="H1828" t="str">
        <f>IF(C1828="","",(C1828/MEDIAN($C$2:D37389)))</f>
        <v/>
      </c>
    </row>
    <row r="1829" spans="7:8" x14ac:dyDescent="0.2">
      <c r="G1829" t="str">
        <f>IF(C1829="","",(C1829/AVERAGE($C$2:C37390)))</f>
        <v/>
      </c>
      <c r="H1829" t="str">
        <f>IF(C1829="","",(C1829/MEDIAN($C$2:D37390)))</f>
        <v/>
      </c>
    </row>
    <row r="1830" spans="7:8" x14ac:dyDescent="0.2">
      <c r="G1830" t="str">
        <f>IF(C1830="","",(C1830/AVERAGE($C$2:C37391)))</f>
        <v/>
      </c>
      <c r="H1830" t="str">
        <f>IF(C1830="","",(C1830/MEDIAN($C$2:D37391)))</f>
        <v/>
      </c>
    </row>
    <row r="1831" spans="7:8" x14ac:dyDescent="0.2">
      <c r="G1831" t="str">
        <f>IF(C1831="","",(C1831/AVERAGE($C$2:C37392)))</f>
        <v/>
      </c>
      <c r="H1831" t="str">
        <f>IF(C1831="","",(C1831/MEDIAN($C$2:D37392)))</f>
        <v/>
      </c>
    </row>
    <row r="1832" spans="7:8" x14ac:dyDescent="0.2">
      <c r="G1832" t="str">
        <f>IF(C1832="","",(C1832/AVERAGE($C$2:C37393)))</f>
        <v/>
      </c>
      <c r="H1832" t="str">
        <f>IF(C1832="","",(C1832/MEDIAN($C$2:D37393)))</f>
        <v/>
      </c>
    </row>
    <row r="1833" spans="7:8" x14ac:dyDescent="0.2">
      <c r="G1833" t="str">
        <f>IF(C1833="","",(C1833/AVERAGE($C$2:C37394)))</f>
        <v/>
      </c>
      <c r="H1833" t="str">
        <f>IF(C1833="","",(C1833/MEDIAN($C$2:D37394)))</f>
        <v/>
      </c>
    </row>
    <row r="1834" spans="7:8" x14ac:dyDescent="0.2">
      <c r="G1834" t="str">
        <f>IF(C1834="","",(C1834/AVERAGE($C$2:C37395)))</f>
        <v/>
      </c>
      <c r="H1834" t="str">
        <f>IF(C1834="","",(C1834/MEDIAN($C$2:D37395)))</f>
        <v/>
      </c>
    </row>
    <row r="1835" spans="7:8" x14ac:dyDescent="0.2">
      <c r="G1835" t="str">
        <f>IF(C1835="","",(C1835/AVERAGE($C$2:C37396)))</f>
        <v/>
      </c>
      <c r="H1835" t="str">
        <f>IF(C1835="","",(C1835/MEDIAN($C$2:D37396)))</f>
        <v/>
      </c>
    </row>
    <row r="1836" spans="7:8" x14ac:dyDescent="0.2">
      <c r="G1836" t="str">
        <f>IF(C1836="","",(C1836/AVERAGE($C$2:C37397)))</f>
        <v/>
      </c>
      <c r="H1836" t="str">
        <f>IF(C1836="","",(C1836/MEDIAN($C$2:D37397)))</f>
        <v/>
      </c>
    </row>
    <row r="1837" spans="7:8" x14ac:dyDescent="0.2">
      <c r="G1837" t="str">
        <f>IF(C1837="","",(C1837/AVERAGE($C$2:C37398)))</f>
        <v/>
      </c>
      <c r="H1837" t="str">
        <f>IF(C1837="","",(C1837/MEDIAN($C$2:D37398)))</f>
        <v/>
      </c>
    </row>
    <row r="1838" spans="7:8" x14ac:dyDescent="0.2">
      <c r="G1838" t="str">
        <f>IF(C1838="","",(C1838/AVERAGE($C$2:C37399)))</f>
        <v/>
      </c>
      <c r="H1838" t="str">
        <f>IF(C1838="","",(C1838/MEDIAN($C$2:D37399)))</f>
        <v/>
      </c>
    </row>
    <row r="1839" spans="7:8" x14ac:dyDescent="0.2">
      <c r="G1839" t="str">
        <f>IF(C1839="","",(C1839/AVERAGE($C$2:C37400)))</f>
        <v/>
      </c>
      <c r="H1839" t="str">
        <f>IF(C1839="","",(C1839/MEDIAN($C$2:D37400)))</f>
        <v/>
      </c>
    </row>
    <row r="1840" spans="7:8" x14ac:dyDescent="0.2">
      <c r="G1840" t="str">
        <f>IF(C1840="","",(C1840/AVERAGE($C$2:C37401)))</f>
        <v/>
      </c>
      <c r="H1840" t="str">
        <f>IF(C1840="","",(C1840/MEDIAN($C$2:D37401)))</f>
        <v/>
      </c>
    </row>
    <row r="1841" spans="7:8" x14ac:dyDescent="0.2">
      <c r="G1841" t="str">
        <f>IF(C1841="","",(C1841/AVERAGE($C$2:C37402)))</f>
        <v/>
      </c>
      <c r="H1841" t="str">
        <f>IF(C1841="","",(C1841/MEDIAN($C$2:D37402)))</f>
        <v/>
      </c>
    </row>
    <row r="1842" spans="7:8" x14ac:dyDescent="0.2">
      <c r="G1842" t="str">
        <f>IF(C1842="","",(C1842/AVERAGE($C$2:C37403)))</f>
        <v/>
      </c>
      <c r="H1842" t="str">
        <f>IF(C1842="","",(C1842/MEDIAN($C$2:D37403)))</f>
        <v/>
      </c>
    </row>
    <row r="1843" spans="7:8" x14ac:dyDescent="0.2">
      <c r="G1843" t="str">
        <f>IF(C1843="","",(C1843/AVERAGE($C$2:C37404)))</f>
        <v/>
      </c>
      <c r="H1843" t="str">
        <f>IF(C1843="","",(C1843/MEDIAN($C$2:D37404)))</f>
        <v/>
      </c>
    </row>
    <row r="1844" spans="7:8" x14ac:dyDescent="0.2">
      <c r="G1844" t="str">
        <f>IF(C1844="","",(C1844/AVERAGE($C$2:C37405)))</f>
        <v/>
      </c>
      <c r="H1844" t="str">
        <f>IF(C1844="","",(C1844/MEDIAN($C$2:D37405)))</f>
        <v/>
      </c>
    </row>
    <row r="1845" spans="7:8" x14ac:dyDescent="0.2">
      <c r="G1845" t="str">
        <f>IF(C1845="","",(C1845/AVERAGE($C$2:C37406)))</f>
        <v/>
      </c>
      <c r="H1845" t="str">
        <f>IF(C1845="","",(C1845/MEDIAN($C$2:D37406)))</f>
        <v/>
      </c>
    </row>
    <row r="1846" spans="7:8" x14ac:dyDescent="0.2">
      <c r="G1846" t="str">
        <f>IF(C1846="","",(C1846/AVERAGE($C$2:C37407)))</f>
        <v/>
      </c>
      <c r="H1846" t="str">
        <f>IF(C1846="","",(C1846/MEDIAN($C$2:D37407)))</f>
        <v/>
      </c>
    </row>
    <row r="1847" spans="7:8" x14ac:dyDescent="0.2">
      <c r="G1847" t="str">
        <f>IF(C1847="","",(C1847/AVERAGE($C$2:C37408)))</f>
        <v/>
      </c>
      <c r="H1847" t="str">
        <f>IF(C1847="","",(C1847/MEDIAN($C$2:D37408)))</f>
        <v/>
      </c>
    </row>
    <row r="1848" spans="7:8" x14ac:dyDescent="0.2">
      <c r="G1848" t="str">
        <f>IF(C1848="","",(C1848/AVERAGE($C$2:C37409)))</f>
        <v/>
      </c>
      <c r="H1848" t="str">
        <f>IF(C1848="","",(C1848/MEDIAN($C$2:D37409)))</f>
        <v/>
      </c>
    </row>
    <row r="1849" spans="7:8" x14ac:dyDescent="0.2">
      <c r="G1849" t="str">
        <f>IF(C1849="","",(C1849/AVERAGE($C$2:C37410)))</f>
        <v/>
      </c>
      <c r="H1849" t="str">
        <f>IF(C1849="","",(C1849/MEDIAN($C$2:D37410)))</f>
        <v/>
      </c>
    </row>
    <row r="1850" spans="7:8" x14ac:dyDescent="0.2">
      <c r="G1850" t="str">
        <f>IF(C1850="","",(C1850/AVERAGE($C$2:C37411)))</f>
        <v/>
      </c>
      <c r="H1850" t="str">
        <f>IF(C1850="","",(C1850/MEDIAN($C$2:D37411)))</f>
        <v/>
      </c>
    </row>
    <row r="1851" spans="7:8" x14ac:dyDescent="0.2">
      <c r="G1851" t="str">
        <f>IF(C1851="","",(C1851/AVERAGE($C$2:C37412)))</f>
        <v/>
      </c>
      <c r="H1851" t="str">
        <f>IF(C1851="","",(C1851/MEDIAN($C$2:D37412)))</f>
        <v/>
      </c>
    </row>
    <row r="1852" spans="7:8" x14ac:dyDescent="0.2">
      <c r="G1852" t="str">
        <f>IF(C1852="","",(C1852/AVERAGE($C$2:C37413)))</f>
        <v/>
      </c>
      <c r="H1852" t="str">
        <f>IF(C1852="","",(C1852/MEDIAN($C$2:D37413)))</f>
        <v/>
      </c>
    </row>
    <row r="1853" spans="7:8" x14ac:dyDescent="0.2">
      <c r="G1853" t="str">
        <f>IF(C1853="","",(C1853/AVERAGE($C$2:C37414)))</f>
        <v/>
      </c>
      <c r="H1853" t="str">
        <f>IF(C1853="","",(C1853/MEDIAN($C$2:D37414)))</f>
        <v/>
      </c>
    </row>
    <row r="1854" spans="7:8" x14ac:dyDescent="0.2">
      <c r="G1854" t="str">
        <f>IF(C1854="","",(C1854/AVERAGE($C$2:C37415)))</f>
        <v/>
      </c>
      <c r="H1854" t="str">
        <f>IF(C1854="","",(C1854/MEDIAN($C$2:D37415)))</f>
        <v/>
      </c>
    </row>
    <row r="1855" spans="7:8" x14ac:dyDescent="0.2">
      <c r="G1855" t="str">
        <f>IF(C1855="","",(C1855/AVERAGE($C$2:C37416)))</f>
        <v/>
      </c>
      <c r="H1855" t="str">
        <f>IF(C1855="","",(C1855/MEDIAN($C$2:D37416)))</f>
        <v/>
      </c>
    </row>
    <row r="1856" spans="7:8" x14ac:dyDescent="0.2">
      <c r="G1856" t="str">
        <f>IF(C1856="","",(C1856/AVERAGE($C$2:C37417)))</f>
        <v/>
      </c>
      <c r="H1856" t="str">
        <f>IF(C1856="","",(C1856/MEDIAN($C$2:D37417)))</f>
        <v/>
      </c>
    </row>
    <row r="1857" spans="7:8" x14ac:dyDescent="0.2">
      <c r="G1857" t="str">
        <f>IF(C1857="","",(C1857/AVERAGE($C$2:C37418)))</f>
        <v/>
      </c>
      <c r="H1857" t="str">
        <f>IF(C1857="","",(C1857/MEDIAN($C$2:D37418)))</f>
        <v/>
      </c>
    </row>
    <row r="1858" spans="7:8" x14ac:dyDescent="0.2">
      <c r="G1858" t="str">
        <f>IF(C1858="","",(C1858/AVERAGE($C$2:C37419)))</f>
        <v/>
      </c>
      <c r="H1858" t="str">
        <f>IF(C1858="","",(C1858/MEDIAN($C$2:D37419)))</f>
        <v/>
      </c>
    </row>
    <row r="1859" spans="7:8" x14ac:dyDescent="0.2">
      <c r="G1859" t="str">
        <f>IF(C1859="","",(C1859/AVERAGE($C$2:C37420)))</f>
        <v/>
      </c>
      <c r="H1859" t="str">
        <f>IF(C1859="","",(C1859/MEDIAN($C$2:D37420)))</f>
        <v/>
      </c>
    </row>
    <row r="1860" spans="7:8" x14ac:dyDescent="0.2">
      <c r="G1860" t="str">
        <f>IF(C1860="","",(C1860/AVERAGE($C$2:C37421)))</f>
        <v/>
      </c>
      <c r="H1860" t="str">
        <f>IF(C1860="","",(C1860/MEDIAN($C$2:D37421)))</f>
        <v/>
      </c>
    </row>
    <row r="1861" spans="7:8" x14ac:dyDescent="0.2">
      <c r="G1861" t="str">
        <f>IF(C1861="","",(C1861/AVERAGE($C$2:C37422)))</f>
        <v/>
      </c>
      <c r="H1861" t="str">
        <f>IF(C1861="","",(C1861/MEDIAN($C$2:D37422)))</f>
        <v/>
      </c>
    </row>
    <row r="1862" spans="7:8" x14ac:dyDescent="0.2">
      <c r="G1862" t="str">
        <f>IF(C1862="","",(C1862/AVERAGE($C$2:C37423)))</f>
        <v/>
      </c>
      <c r="H1862" t="str">
        <f>IF(C1862="","",(C1862/MEDIAN($C$2:D37423)))</f>
        <v/>
      </c>
    </row>
    <row r="1863" spans="7:8" x14ac:dyDescent="0.2">
      <c r="G1863" t="str">
        <f>IF(C1863="","",(C1863/AVERAGE($C$2:C37424)))</f>
        <v/>
      </c>
      <c r="H1863" t="str">
        <f>IF(C1863="","",(C1863/MEDIAN($C$2:D37424)))</f>
        <v/>
      </c>
    </row>
    <row r="1864" spans="7:8" x14ac:dyDescent="0.2">
      <c r="G1864" t="str">
        <f>IF(C1864="","",(C1864/AVERAGE($C$2:C37425)))</f>
        <v/>
      </c>
      <c r="H1864" t="str">
        <f>IF(C1864="","",(C1864/MEDIAN($C$2:D37425)))</f>
        <v/>
      </c>
    </row>
    <row r="1865" spans="7:8" x14ac:dyDescent="0.2">
      <c r="G1865" t="str">
        <f>IF(C1865="","",(C1865/AVERAGE($C$2:C37426)))</f>
        <v/>
      </c>
      <c r="H1865" t="str">
        <f>IF(C1865="","",(C1865/MEDIAN($C$2:D37426)))</f>
        <v/>
      </c>
    </row>
    <row r="1866" spans="7:8" x14ac:dyDescent="0.2">
      <c r="G1866" t="str">
        <f>IF(C1866="","",(C1866/AVERAGE($C$2:C37427)))</f>
        <v/>
      </c>
      <c r="H1866" t="str">
        <f>IF(C1866="","",(C1866/MEDIAN($C$2:D37427)))</f>
        <v/>
      </c>
    </row>
    <row r="1867" spans="7:8" x14ac:dyDescent="0.2">
      <c r="G1867" t="str">
        <f>IF(C1867="","",(C1867/AVERAGE($C$2:C37428)))</f>
        <v/>
      </c>
      <c r="H1867" t="str">
        <f>IF(C1867="","",(C1867/MEDIAN($C$2:D37428)))</f>
        <v/>
      </c>
    </row>
    <row r="1868" spans="7:8" x14ac:dyDescent="0.2">
      <c r="G1868" t="str">
        <f>IF(C1868="","",(C1868/AVERAGE($C$2:C37429)))</f>
        <v/>
      </c>
      <c r="H1868" t="str">
        <f>IF(C1868="","",(C1868/MEDIAN($C$2:D37429)))</f>
        <v/>
      </c>
    </row>
    <row r="1869" spans="7:8" x14ac:dyDescent="0.2">
      <c r="G1869" t="str">
        <f>IF(C1869="","",(C1869/AVERAGE($C$2:C37430)))</f>
        <v/>
      </c>
      <c r="H1869" t="str">
        <f>IF(C1869="","",(C1869/MEDIAN($C$2:D37430)))</f>
        <v/>
      </c>
    </row>
    <row r="1870" spans="7:8" x14ac:dyDescent="0.2">
      <c r="G1870" t="str">
        <f>IF(C1870="","",(C1870/AVERAGE($C$2:C37431)))</f>
        <v/>
      </c>
      <c r="H1870" t="str">
        <f>IF(C1870="","",(C1870/MEDIAN($C$2:D37431)))</f>
        <v/>
      </c>
    </row>
    <row r="1871" spans="7:8" x14ac:dyDescent="0.2">
      <c r="G1871" t="str">
        <f>IF(C1871="","",(C1871/AVERAGE($C$2:C37432)))</f>
        <v/>
      </c>
      <c r="H1871" t="str">
        <f>IF(C1871="","",(C1871/MEDIAN($C$2:D37432)))</f>
        <v/>
      </c>
    </row>
    <row r="1872" spans="7:8" x14ac:dyDescent="0.2">
      <c r="G1872" t="str">
        <f>IF(C1872="","",(C1872/AVERAGE($C$2:C37433)))</f>
        <v/>
      </c>
      <c r="H1872" t="str">
        <f>IF(C1872="","",(C1872/MEDIAN($C$2:D37433)))</f>
        <v/>
      </c>
    </row>
    <row r="1873" spans="7:8" x14ac:dyDescent="0.2">
      <c r="G1873" t="str">
        <f>IF(C1873="","",(C1873/AVERAGE($C$2:C37434)))</f>
        <v/>
      </c>
      <c r="H1873" t="str">
        <f>IF(C1873="","",(C1873/MEDIAN($C$2:D37434)))</f>
        <v/>
      </c>
    </row>
    <row r="1874" spans="7:8" x14ac:dyDescent="0.2">
      <c r="G1874" t="str">
        <f>IF(C1874="","",(C1874/AVERAGE($C$2:C37435)))</f>
        <v/>
      </c>
      <c r="H1874" t="str">
        <f>IF(C1874="","",(C1874/MEDIAN($C$2:D37435)))</f>
        <v/>
      </c>
    </row>
    <row r="1875" spans="7:8" x14ac:dyDescent="0.2">
      <c r="G1875" t="str">
        <f>IF(C1875="","",(C1875/AVERAGE($C$2:C37436)))</f>
        <v/>
      </c>
      <c r="H1875" t="str">
        <f>IF(C1875="","",(C1875/MEDIAN($C$2:D37436)))</f>
        <v/>
      </c>
    </row>
    <row r="1876" spans="7:8" x14ac:dyDescent="0.2">
      <c r="G1876" t="str">
        <f>IF(C1876="","",(C1876/AVERAGE($C$2:C37437)))</f>
        <v/>
      </c>
      <c r="H1876" t="str">
        <f>IF(C1876="","",(C1876/MEDIAN($C$2:D37437)))</f>
        <v/>
      </c>
    </row>
    <row r="1877" spans="7:8" x14ac:dyDescent="0.2">
      <c r="G1877" t="str">
        <f>IF(C1877="","",(C1877/AVERAGE($C$2:C37438)))</f>
        <v/>
      </c>
      <c r="H1877" t="str">
        <f>IF(C1877="","",(C1877/MEDIAN($C$2:D37438)))</f>
        <v/>
      </c>
    </row>
    <row r="1878" spans="7:8" x14ac:dyDescent="0.2">
      <c r="G1878" t="str">
        <f>IF(C1878="","",(C1878/AVERAGE($C$2:C37439)))</f>
        <v/>
      </c>
      <c r="H1878" t="str">
        <f>IF(C1878="","",(C1878/MEDIAN($C$2:D37439)))</f>
        <v/>
      </c>
    </row>
    <row r="1879" spans="7:8" x14ac:dyDescent="0.2">
      <c r="G1879" t="str">
        <f>IF(C1879="","",(C1879/AVERAGE($C$2:C37440)))</f>
        <v/>
      </c>
      <c r="H1879" t="str">
        <f>IF(C1879="","",(C1879/MEDIAN($C$2:D37440)))</f>
        <v/>
      </c>
    </row>
    <row r="1880" spans="7:8" x14ac:dyDescent="0.2">
      <c r="G1880" t="str">
        <f>IF(C1880="","",(C1880/AVERAGE($C$2:C37441)))</f>
        <v/>
      </c>
      <c r="H1880" t="str">
        <f>IF(C1880="","",(C1880/MEDIAN($C$2:D37441)))</f>
        <v/>
      </c>
    </row>
    <row r="1881" spans="7:8" x14ac:dyDescent="0.2">
      <c r="G1881" t="str">
        <f>IF(C1881="","",(C1881/AVERAGE($C$2:C37442)))</f>
        <v/>
      </c>
      <c r="H1881" t="str">
        <f>IF(C1881="","",(C1881/MEDIAN($C$2:D37442)))</f>
        <v/>
      </c>
    </row>
    <row r="1882" spans="7:8" x14ac:dyDescent="0.2">
      <c r="G1882" t="str">
        <f>IF(C1882="","",(C1882/AVERAGE($C$2:C37443)))</f>
        <v/>
      </c>
      <c r="H1882" t="str">
        <f>IF(C1882="","",(C1882/MEDIAN($C$2:D37443)))</f>
        <v/>
      </c>
    </row>
    <row r="1883" spans="7:8" x14ac:dyDescent="0.2">
      <c r="G1883" t="str">
        <f>IF(C1883="","",(C1883/AVERAGE($C$2:C37444)))</f>
        <v/>
      </c>
      <c r="H1883" t="str">
        <f>IF(C1883="","",(C1883/MEDIAN($C$2:D37444)))</f>
        <v/>
      </c>
    </row>
    <row r="1884" spans="7:8" x14ac:dyDescent="0.2">
      <c r="G1884" t="str">
        <f>IF(C1884="","",(C1884/AVERAGE($C$2:C37445)))</f>
        <v/>
      </c>
      <c r="H1884" t="str">
        <f>IF(C1884="","",(C1884/MEDIAN($C$2:D37445)))</f>
        <v/>
      </c>
    </row>
    <row r="1885" spans="7:8" x14ac:dyDescent="0.2">
      <c r="G1885" t="str">
        <f>IF(C1885="","",(C1885/AVERAGE($C$2:C37446)))</f>
        <v/>
      </c>
      <c r="H1885" t="str">
        <f>IF(C1885="","",(C1885/MEDIAN($C$2:D37446)))</f>
        <v/>
      </c>
    </row>
    <row r="1886" spans="7:8" x14ac:dyDescent="0.2">
      <c r="G1886" t="str">
        <f>IF(C1886="","",(C1886/AVERAGE($C$2:C37447)))</f>
        <v/>
      </c>
      <c r="H1886" t="str">
        <f>IF(C1886="","",(C1886/MEDIAN($C$2:D37447)))</f>
        <v/>
      </c>
    </row>
    <row r="1887" spans="7:8" x14ac:dyDescent="0.2">
      <c r="G1887" t="str">
        <f>IF(C1887="","",(C1887/AVERAGE($C$2:C37448)))</f>
        <v/>
      </c>
      <c r="H1887" t="str">
        <f>IF(C1887="","",(C1887/MEDIAN($C$2:D37448)))</f>
        <v/>
      </c>
    </row>
    <row r="1888" spans="7:8" x14ac:dyDescent="0.2">
      <c r="G1888" t="str">
        <f>IF(C1888="","",(C1888/AVERAGE($C$2:C37449)))</f>
        <v/>
      </c>
      <c r="H1888" t="str">
        <f>IF(C1888="","",(C1888/MEDIAN($C$2:D37449)))</f>
        <v/>
      </c>
    </row>
    <row r="1889" spans="7:8" x14ac:dyDescent="0.2">
      <c r="G1889" t="str">
        <f>IF(C1889="","",(C1889/AVERAGE($C$2:C37450)))</f>
        <v/>
      </c>
      <c r="H1889" t="str">
        <f>IF(C1889="","",(C1889/MEDIAN($C$2:D37450)))</f>
        <v/>
      </c>
    </row>
    <row r="1890" spans="7:8" x14ac:dyDescent="0.2">
      <c r="G1890" t="str">
        <f>IF(C1890="","",(C1890/AVERAGE($C$2:C37451)))</f>
        <v/>
      </c>
      <c r="H1890" t="str">
        <f>IF(C1890="","",(C1890/MEDIAN($C$2:D37451)))</f>
        <v/>
      </c>
    </row>
    <row r="1891" spans="7:8" x14ac:dyDescent="0.2">
      <c r="G1891" t="str">
        <f>IF(C1891="","",(C1891/AVERAGE($C$2:C37452)))</f>
        <v/>
      </c>
      <c r="H1891" t="str">
        <f>IF(C1891="","",(C1891/MEDIAN($C$2:D37452)))</f>
        <v/>
      </c>
    </row>
    <row r="1892" spans="7:8" x14ac:dyDescent="0.2">
      <c r="G1892" t="str">
        <f>IF(C1892="","",(C1892/AVERAGE($C$2:C37453)))</f>
        <v/>
      </c>
      <c r="H1892" t="str">
        <f>IF(C1892="","",(C1892/MEDIAN($C$2:D37453)))</f>
        <v/>
      </c>
    </row>
    <row r="1893" spans="7:8" x14ac:dyDescent="0.2">
      <c r="G1893" t="str">
        <f>IF(C1893="","",(C1893/AVERAGE($C$2:C37454)))</f>
        <v/>
      </c>
      <c r="H1893" t="str">
        <f>IF(C1893="","",(C1893/MEDIAN($C$2:D37454)))</f>
        <v/>
      </c>
    </row>
    <row r="1894" spans="7:8" x14ac:dyDescent="0.2">
      <c r="G1894" t="str">
        <f>IF(C1894="","",(C1894/AVERAGE($C$2:C37455)))</f>
        <v/>
      </c>
      <c r="H1894" t="str">
        <f>IF(C1894="","",(C1894/MEDIAN($C$2:D37455)))</f>
        <v/>
      </c>
    </row>
    <row r="1895" spans="7:8" x14ac:dyDescent="0.2">
      <c r="G1895" t="str">
        <f>IF(C1895="","",(C1895/AVERAGE($C$2:C37456)))</f>
        <v/>
      </c>
      <c r="H1895" t="str">
        <f>IF(C1895="","",(C1895/MEDIAN($C$2:D37456)))</f>
        <v/>
      </c>
    </row>
    <row r="1896" spans="7:8" x14ac:dyDescent="0.2">
      <c r="G1896" t="str">
        <f>IF(C1896="","",(C1896/AVERAGE($C$2:C37457)))</f>
        <v/>
      </c>
      <c r="H1896" t="str">
        <f>IF(C1896="","",(C1896/MEDIAN($C$2:D37457)))</f>
        <v/>
      </c>
    </row>
    <row r="1897" spans="7:8" x14ac:dyDescent="0.2">
      <c r="G1897" t="str">
        <f>IF(C1897="","",(C1897/AVERAGE($C$2:C37458)))</f>
        <v/>
      </c>
      <c r="H1897" t="str">
        <f>IF(C1897="","",(C1897/MEDIAN($C$2:D37458)))</f>
        <v/>
      </c>
    </row>
    <row r="1898" spans="7:8" x14ac:dyDescent="0.2">
      <c r="G1898" t="str">
        <f>IF(C1898="","",(C1898/AVERAGE($C$2:C37459)))</f>
        <v/>
      </c>
      <c r="H1898" t="str">
        <f>IF(C1898="","",(C1898/MEDIAN($C$2:D37459)))</f>
        <v/>
      </c>
    </row>
    <row r="1899" spans="7:8" x14ac:dyDescent="0.2">
      <c r="G1899" t="str">
        <f>IF(C1899="","",(C1899/AVERAGE($C$2:C37460)))</f>
        <v/>
      </c>
      <c r="H1899" t="str">
        <f>IF(C1899="","",(C1899/MEDIAN($C$2:D37460)))</f>
        <v/>
      </c>
    </row>
    <row r="1900" spans="7:8" x14ac:dyDescent="0.2">
      <c r="G1900" t="str">
        <f>IF(C1900="","",(C1900/AVERAGE($C$2:C37461)))</f>
        <v/>
      </c>
      <c r="H1900" t="str">
        <f>IF(C1900="","",(C1900/MEDIAN($C$2:D37461)))</f>
        <v/>
      </c>
    </row>
    <row r="1901" spans="7:8" x14ac:dyDescent="0.2">
      <c r="G1901" t="str">
        <f>IF(C1901="","",(C1901/AVERAGE($C$2:C37462)))</f>
        <v/>
      </c>
      <c r="H1901" t="str">
        <f>IF(C1901="","",(C1901/MEDIAN($C$2:D37462)))</f>
        <v/>
      </c>
    </row>
    <row r="1902" spans="7:8" x14ac:dyDescent="0.2">
      <c r="G1902" t="str">
        <f>IF(C1902="","",(C1902/AVERAGE($C$2:C37463)))</f>
        <v/>
      </c>
      <c r="H1902" t="str">
        <f>IF(C1902="","",(C1902/MEDIAN($C$2:D37463)))</f>
        <v/>
      </c>
    </row>
    <row r="1903" spans="7:8" x14ac:dyDescent="0.2">
      <c r="G1903" t="str">
        <f>IF(C1903="","",(C1903/AVERAGE($C$2:C37464)))</f>
        <v/>
      </c>
      <c r="H1903" t="str">
        <f>IF(C1903="","",(C1903/MEDIAN($C$2:D37464)))</f>
        <v/>
      </c>
    </row>
    <row r="1904" spans="7:8" x14ac:dyDescent="0.2">
      <c r="G1904" t="str">
        <f>IF(C1904="","",(C1904/AVERAGE($C$2:C37465)))</f>
        <v/>
      </c>
      <c r="H1904" t="str">
        <f>IF(C1904="","",(C1904/MEDIAN($C$2:D37465)))</f>
        <v/>
      </c>
    </row>
    <row r="1905" spans="7:8" x14ac:dyDescent="0.2">
      <c r="G1905" t="str">
        <f>IF(C1905="","",(C1905/AVERAGE($C$2:C37466)))</f>
        <v/>
      </c>
      <c r="H1905" t="str">
        <f>IF(C1905="","",(C1905/MEDIAN($C$2:D37466)))</f>
        <v/>
      </c>
    </row>
    <row r="1906" spans="7:8" x14ac:dyDescent="0.2">
      <c r="G1906" t="str">
        <f>IF(C1906="","",(C1906/AVERAGE($C$2:C37467)))</f>
        <v/>
      </c>
      <c r="H1906" t="str">
        <f>IF(C1906="","",(C1906/MEDIAN($C$2:D37467)))</f>
        <v/>
      </c>
    </row>
    <row r="1907" spans="7:8" x14ac:dyDescent="0.2">
      <c r="G1907" t="str">
        <f>IF(C1907="","",(C1907/AVERAGE($C$2:C37468)))</f>
        <v/>
      </c>
      <c r="H1907" t="str">
        <f>IF(C1907="","",(C1907/MEDIAN($C$2:D37468)))</f>
        <v/>
      </c>
    </row>
    <row r="1908" spans="7:8" x14ac:dyDescent="0.2">
      <c r="G1908" t="str">
        <f>IF(C1908="","",(C1908/AVERAGE($C$2:C37469)))</f>
        <v/>
      </c>
      <c r="H1908" t="str">
        <f>IF(C1908="","",(C1908/MEDIAN($C$2:D37469)))</f>
        <v/>
      </c>
    </row>
    <row r="1909" spans="7:8" x14ac:dyDescent="0.2">
      <c r="G1909" t="str">
        <f>IF(C1909="","",(C1909/AVERAGE($C$2:C37470)))</f>
        <v/>
      </c>
      <c r="H1909" t="str">
        <f>IF(C1909="","",(C1909/MEDIAN($C$2:D37470)))</f>
        <v/>
      </c>
    </row>
    <row r="1910" spans="7:8" x14ac:dyDescent="0.2">
      <c r="G1910" t="str">
        <f>IF(C1910="","",(C1910/AVERAGE($C$2:C37471)))</f>
        <v/>
      </c>
      <c r="H1910" t="str">
        <f>IF(C1910="","",(C1910/MEDIAN($C$2:D37471)))</f>
        <v/>
      </c>
    </row>
    <row r="1911" spans="7:8" x14ac:dyDescent="0.2">
      <c r="G1911" t="str">
        <f>IF(C1911="","",(C1911/AVERAGE($C$2:C37472)))</f>
        <v/>
      </c>
      <c r="H1911" t="str">
        <f>IF(C1911="","",(C1911/MEDIAN($C$2:D37472)))</f>
        <v/>
      </c>
    </row>
    <row r="1912" spans="7:8" x14ac:dyDescent="0.2">
      <c r="G1912" t="str">
        <f>IF(C1912="","",(C1912/AVERAGE($C$2:C37473)))</f>
        <v/>
      </c>
      <c r="H1912" t="str">
        <f>IF(C1912="","",(C1912/MEDIAN($C$2:D37473)))</f>
        <v/>
      </c>
    </row>
    <row r="1913" spans="7:8" x14ac:dyDescent="0.2">
      <c r="G1913" t="str">
        <f>IF(C1913="","",(C1913/AVERAGE($C$2:C37474)))</f>
        <v/>
      </c>
      <c r="H1913" t="str">
        <f>IF(C1913="","",(C1913/MEDIAN($C$2:D37474)))</f>
        <v/>
      </c>
    </row>
    <row r="1914" spans="7:8" x14ac:dyDescent="0.2">
      <c r="G1914" t="str">
        <f>IF(C1914="","",(C1914/AVERAGE($C$2:C37475)))</f>
        <v/>
      </c>
      <c r="H1914" t="str">
        <f>IF(C1914="","",(C1914/MEDIAN($C$2:D37475)))</f>
        <v/>
      </c>
    </row>
    <row r="1915" spans="7:8" x14ac:dyDescent="0.2">
      <c r="G1915" t="str">
        <f>IF(C1915="","",(C1915/AVERAGE($C$2:C37476)))</f>
        <v/>
      </c>
      <c r="H1915" t="str">
        <f>IF(C1915="","",(C1915/MEDIAN($C$2:D37476)))</f>
        <v/>
      </c>
    </row>
    <row r="1916" spans="7:8" x14ac:dyDescent="0.2">
      <c r="G1916" t="str">
        <f>IF(C1916="","",(C1916/AVERAGE($C$2:C37477)))</f>
        <v/>
      </c>
      <c r="H1916" t="str">
        <f>IF(C1916="","",(C1916/MEDIAN($C$2:D37477)))</f>
        <v/>
      </c>
    </row>
    <row r="1917" spans="7:8" x14ac:dyDescent="0.2">
      <c r="G1917" t="str">
        <f>IF(C1917="","",(C1917/AVERAGE($C$2:C37478)))</f>
        <v/>
      </c>
      <c r="H1917" t="str">
        <f>IF(C1917="","",(C1917/MEDIAN($C$2:D37478)))</f>
        <v/>
      </c>
    </row>
    <row r="1918" spans="7:8" x14ac:dyDescent="0.2">
      <c r="G1918" t="str">
        <f>IF(C1918="","",(C1918/AVERAGE($C$2:C37479)))</f>
        <v/>
      </c>
      <c r="H1918" t="str">
        <f>IF(C1918="","",(C1918/MEDIAN($C$2:D37479)))</f>
        <v/>
      </c>
    </row>
    <row r="1919" spans="7:8" x14ac:dyDescent="0.2">
      <c r="G1919" t="str">
        <f>IF(C1919="","",(C1919/AVERAGE($C$2:C37480)))</f>
        <v/>
      </c>
      <c r="H1919" t="str">
        <f>IF(C1919="","",(C1919/MEDIAN($C$2:D37480)))</f>
        <v/>
      </c>
    </row>
    <row r="1920" spans="7:8" x14ac:dyDescent="0.2">
      <c r="G1920" t="str">
        <f>IF(C1920="","",(C1920/AVERAGE($C$2:C37481)))</f>
        <v/>
      </c>
      <c r="H1920" t="str">
        <f>IF(C1920="","",(C1920/MEDIAN($C$2:D37481)))</f>
        <v/>
      </c>
    </row>
    <row r="1921" spans="7:8" x14ac:dyDescent="0.2">
      <c r="G1921" t="str">
        <f>IF(C1921="","",(C1921/AVERAGE($C$2:C37482)))</f>
        <v/>
      </c>
      <c r="H1921" t="str">
        <f>IF(C1921="","",(C1921/MEDIAN($C$2:D37482)))</f>
        <v/>
      </c>
    </row>
    <row r="1922" spans="7:8" x14ac:dyDescent="0.2">
      <c r="G1922" t="str">
        <f>IF(C1922="","",(C1922/AVERAGE($C$2:C37483)))</f>
        <v/>
      </c>
      <c r="H1922" t="str">
        <f>IF(C1922="","",(C1922/MEDIAN($C$2:D37483)))</f>
        <v/>
      </c>
    </row>
    <row r="1923" spans="7:8" x14ac:dyDescent="0.2">
      <c r="G1923" t="str">
        <f>IF(C1923="","",(C1923/AVERAGE($C$2:C37484)))</f>
        <v/>
      </c>
      <c r="H1923" t="str">
        <f>IF(C1923="","",(C1923/MEDIAN($C$2:D37484)))</f>
        <v/>
      </c>
    </row>
    <row r="1924" spans="7:8" x14ac:dyDescent="0.2">
      <c r="G1924" t="str">
        <f>IF(C1924="","",(C1924/AVERAGE($C$2:C37485)))</f>
        <v/>
      </c>
      <c r="H1924" t="str">
        <f>IF(C1924="","",(C1924/MEDIAN($C$2:D37485)))</f>
        <v/>
      </c>
    </row>
    <row r="1925" spans="7:8" x14ac:dyDescent="0.2">
      <c r="G1925" t="str">
        <f>IF(C1925="","",(C1925/AVERAGE($C$2:C37486)))</f>
        <v/>
      </c>
      <c r="H1925" t="str">
        <f>IF(C1925="","",(C1925/MEDIAN($C$2:D37486)))</f>
        <v/>
      </c>
    </row>
    <row r="1926" spans="7:8" x14ac:dyDescent="0.2">
      <c r="G1926" t="str">
        <f>IF(C1926="","",(C1926/AVERAGE($C$2:C37487)))</f>
        <v/>
      </c>
      <c r="H1926" t="str">
        <f>IF(C1926="","",(C1926/MEDIAN($C$2:D37487)))</f>
        <v/>
      </c>
    </row>
    <row r="1927" spans="7:8" x14ac:dyDescent="0.2">
      <c r="G1927" t="str">
        <f>IF(C1927="","",(C1927/AVERAGE($C$2:C37488)))</f>
        <v/>
      </c>
      <c r="H1927" t="str">
        <f>IF(C1927="","",(C1927/MEDIAN($C$2:D37488)))</f>
        <v/>
      </c>
    </row>
    <row r="1928" spans="7:8" x14ac:dyDescent="0.2">
      <c r="G1928" t="str">
        <f>IF(C1928="","",(C1928/AVERAGE($C$2:C37489)))</f>
        <v/>
      </c>
      <c r="H1928" t="str">
        <f>IF(C1928="","",(C1928/MEDIAN($C$2:D37489)))</f>
        <v/>
      </c>
    </row>
    <row r="1929" spans="7:8" x14ac:dyDescent="0.2">
      <c r="G1929" t="str">
        <f>IF(C1929="","",(C1929/AVERAGE($C$2:C37490)))</f>
        <v/>
      </c>
      <c r="H1929" t="str">
        <f>IF(C1929="","",(C1929/MEDIAN($C$2:D37490)))</f>
        <v/>
      </c>
    </row>
    <row r="1930" spans="7:8" x14ac:dyDescent="0.2">
      <c r="G1930" t="str">
        <f>IF(C1930="","",(C1930/AVERAGE($C$2:C37491)))</f>
        <v/>
      </c>
      <c r="H1930" t="str">
        <f>IF(C1930="","",(C1930/MEDIAN($C$2:D37491)))</f>
        <v/>
      </c>
    </row>
    <row r="1931" spans="7:8" x14ac:dyDescent="0.2">
      <c r="G1931" t="str">
        <f>IF(C1931="","",(C1931/AVERAGE($C$2:C37492)))</f>
        <v/>
      </c>
      <c r="H1931" t="str">
        <f>IF(C1931="","",(C1931/MEDIAN($C$2:D37492)))</f>
        <v/>
      </c>
    </row>
    <row r="1932" spans="7:8" x14ac:dyDescent="0.2">
      <c r="G1932" t="str">
        <f>IF(C1932="","",(C1932/AVERAGE($C$2:C37493)))</f>
        <v/>
      </c>
      <c r="H1932" t="str">
        <f>IF(C1932="","",(C1932/MEDIAN($C$2:D37493)))</f>
        <v/>
      </c>
    </row>
    <row r="1933" spans="7:8" x14ac:dyDescent="0.2">
      <c r="G1933" t="str">
        <f>IF(C1933="","",(C1933/AVERAGE($C$2:C37494)))</f>
        <v/>
      </c>
      <c r="H1933" t="str">
        <f>IF(C1933="","",(C1933/MEDIAN($C$2:D37494)))</f>
        <v/>
      </c>
    </row>
    <row r="1934" spans="7:8" x14ac:dyDescent="0.2">
      <c r="G1934" t="str">
        <f>IF(C1934="","",(C1934/AVERAGE($C$2:C37495)))</f>
        <v/>
      </c>
      <c r="H1934" t="str">
        <f>IF(C1934="","",(C1934/MEDIAN($C$2:D37495)))</f>
        <v/>
      </c>
    </row>
    <row r="1935" spans="7:8" x14ac:dyDescent="0.2">
      <c r="G1935" t="str">
        <f>IF(C1935="","",(C1935/AVERAGE($C$2:C37496)))</f>
        <v/>
      </c>
      <c r="H1935" t="str">
        <f>IF(C1935="","",(C1935/MEDIAN($C$2:D37496)))</f>
        <v/>
      </c>
    </row>
    <row r="1936" spans="7:8" x14ac:dyDescent="0.2">
      <c r="G1936" t="str">
        <f>IF(C1936="","",(C1936/AVERAGE($C$2:C37497)))</f>
        <v/>
      </c>
      <c r="H1936" t="str">
        <f>IF(C1936="","",(C1936/MEDIAN($C$2:D37497)))</f>
        <v/>
      </c>
    </row>
    <row r="1937" spans="7:8" x14ac:dyDescent="0.2">
      <c r="G1937" t="str">
        <f>IF(C1937="","",(C1937/AVERAGE($C$2:C37498)))</f>
        <v/>
      </c>
      <c r="H1937" t="str">
        <f>IF(C1937="","",(C1937/MEDIAN($C$2:D37498)))</f>
        <v/>
      </c>
    </row>
    <row r="1938" spans="7:8" x14ac:dyDescent="0.2">
      <c r="G1938" t="str">
        <f>IF(C1938="","",(C1938/AVERAGE($C$2:C37499)))</f>
        <v/>
      </c>
      <c r="H1938" t="str">
        <f>IF(C1938="","",(C1938/MEDIAN($C$2:D37499)))</f>
        <v/>
      </c>
    </row>
    <row r="1939" spans="7:8" x14ac:dyDescent="0.2">
      <c r="G1939" t="str">
        <f>IF(C1939="","",(C1939/AVERAGE($C$2:C37500)))</f>
        <v/>
      </c>
      <c r="H1939" t="str">
        <f>IF(C1939="","",(C1939/MEDIAN($C$2:D37500)))</f>
        <v/>
      </c>
    </row>
    <row r="1940" spans="7:8" x14ac:dyDescent="0.2">
      <c r="G1940" t="str">
        <f>IF(C1940="","",(C1940/AVERAGE($C$2:C37501)))</f>
        <v/>
      </c>
      <c r="H1940" t="str">
        <f>IF(C1940="","",(C1940/MEDIAN($C$2:D37501)))</f>
        <v/>
      </c>
    </row>
    <row r="1941" spans="7:8" x14ac:dyDescent="0.2">
      <c r="G1941" t="str">
        <f>IF(C1941="","",(C1941/AVERAGE($C$2:C37502)))</f>
        <v/>
      </c>
      <c r="H1941" t="str">
        <f>IF(C1941="","",(C1941/MEDIAN($C$2:D37502)))</f>
        <v/>
      </c>
    </row>
    <row r="1942" spans="7:8" x14ac:dyDescent="0.2">
      <c r="G1942" t="str">
        <f>IF(C1942="","",(C1942/AVERAGE($C$2:C37503)))</f>
        <v/>
      </c>
      <c r="H1942" t="str">
        <f>IF(C1942="","",(C1942/MEDIAN($C$2:D37503)))</f>
        <v/>
      </c>
    </row>
    <row r="1943" spans="7:8" x14ac:dyDescent="0.2">
      <c r="G1943" t="str">
        <f>IF(C1943="","",(C1943/AVERAGE($C$2:C37504)))</f>
        <v/>
      </c>
      <c r="H1943" t="str">
        <f>IF(C1943="","",(C1943/MEDIAN($C$2:D37504)))</f>
        <v/>
      </c>
    </row>
    <row r="1944" spans="7:8" x14ac:dyDescent="0.2">
      <c r="G1944" t="str">
        <f>IF(C1944="","",(C1944/AVERAGE($C$2:C37505)))</f>
        <v/>
      </c>
      <c r="H1944" t="str">
        <f>IF(C1944="","",(C1944/MEDIAN($C$2:D37505)))</f>
        <v/>
      </c>
    </row>
    <row r="1945" spans="7:8" x14ac:dyDescent="0.2">
      <c r="G1945" t="str">
        <f>IF(C1945="","",(C1945/AVERAGE($C$2:C37506)))</f>
        <v/>
      </c>
      <c r="H1945" t="str">
        <f>IF(C1945="","",(C1945/MEDIAN($C$2:D37506)))</f>
        <v/>
      </c>
    </row>
    <row r="1946" spans="7:8" x14ac:dyDescent="0.2">
      <c r="G1946" t="str">
        <f>IF(C1946="","",(C1946/AVERAGE($C$2:C37507)))</f>
        <v/>
      </c>
      <c r="H1946" t="str">
        <f>IF(C1946="","",(C1946/MEDIAN($C$2:D37507)))</f>
        <v/>
      </c>
    </row>
    <row r="1947" spans="7:8" x14ac:dyDescent="0.2">
      <c r="G1947" t="str">
        <f>IF(C1947="","",(C1947/AVERAGE($C$2:C37508)))</f>
        <v/>
      </c>
      <c r="H1947" t="str">
        <f>IF(C1947="","",(C1947/MEDIAN($C$2:D37508)))</f>
        <v/>
      </c>
    </row>
    <row r="1948" spans="7:8" x14ac:dyDescent="0.2">
      <c r="G1948" t="str">
        <f>IF(C1948="","",(C1948/AVERAGE($C$2:C37509)))</f>
        <v/>
      </c>
      <c r="H1948" t="str">
        <f>IF(C1948="","",(C1948/MEDIAN($C$2:D37509)))</f>
        <v/>
      </c>
    </row>
    <row r="1949" spans="7:8" x14ac:dyDescent="0.2">
      <c r="G1949" t="str">
        <f>IF(C1949="","",(C1949/AVERAGE($C$2:C37510)))</f>
        <v/>
      </c>
      <c r="H1949" t="str">
        <f>IF(C1949="","",(C1949/MEDIAN($C$2:D37510)))</f>
        <v/>
      </c>
    </row>
    <row r="1950" spans="7:8" x14ac:dyDescent="0.2">
      <c r="G1950" t="str">
        <f>IF(C1950="","",(C1950/AVERAGE($C$2:C37511)))</f>
        <v/>
      </c>
      <c r="H1950" t="str">
        <f>IF(C1950="","",(C1950/MEDIAN($C$2:D37511)))</f>
        <v/>
      </c>
    </row>
    <row r="1951" spans="7:8" x14ac:dyDescent="0.2">
      <c r="G1951" t="str">
        <f>IF(C1951="","",(C1951/AVERAGE($C$2:C37512)))</f>
        <v/>
      </c>
      <c r="H1951" t="str">
        <f>IF(C1951="","",(C1951/MEDIAN($C$2:D37512)))</f>
        <v/>
      </c>
    </row>
    <row r="1952" spans="7:8" x14ac:dyDescent="0.2">
      <c r="G1952" t="str">
        <f>IF(C1952="","",(C1952/AVERAGE($C$2:C37513)))</f>
        <v/>
      </c>
      <c r="H1952" t="str">
        <f>IF(C1952="","",(C1952/MEDIAN($C$2:D37513)))</f>
        <v/>
      </c>
    </row>
    <row r="1953" spans="7:8" x14ac:dyDescent="0.2">
      <c r="G1953" t="str">
        <f>IF(C1953="","",(C1953/AVERAGE($C$2:C37514)))</f>
        <v/>
      </c>
      <c r="H1953" t="str">
        <f>IF(C1953="","",(C1953/MEDIAN($C$2:D37514)))</f>
        <v/>
      </c>
    </row>
    <row r="1954" spans="7:8" x14ac:dyDescent="0.2">
      <c r="G1954" t="str">
        <f>IF(C1954="","",(C1954/AVERAGE($C$2:C37515)))</f>
        <v/>
      </c>
      <c r="H1954" t="str">
        <f>IF(C1954="","",(C1954/MEDIAN($C$2:D37515)))</f>
        <v/>
      </c>
    </row>
    <row r="1955" spans="7:8" x14ac:dyDescent="0.2">
      <c r="G1955" t="str">
        <f>IF(C1955="","",(C1955/AVERAGE($C$2:C37516)))</f>
        <v/>
      </c>
      <c r="H1955" t="str">
        <f>IF(C1955="","",(C1955/MEDIAN($C$2:D37516)))</f>
        <v/>
      </c>
    </row>
    <row r="1956" spans="7:8" x14ac:dyDescent="0.2">
      <c r="G1956" t="str">
        <f>IF(C1956="","",(C1956/AVERAGE($C$2:C37517)))</f>
        <v/>
      </c>
      <c r="H1956" t="str">
        <f>IF(C1956="","",(C1956/MEDIAN($C$2:D37517)))</f>
        <v/>
      </c>
    </row>
    <row r="1957" spans="7:8" x14ac:dyDescent="0.2">
      <c r="G1957" t="str">
        <f>IF(C1957="","",(C1957/AVERAGE($C$2:C37518)))</f>
        <v/>
      </c>
      <c r="H1957" t="str">
        <f>IF(C1957="","",(C1957/MEDIAN($C$2:D37518)))</f>
        <v/>
      </c>
    </row>
    <row r="1958" spans="7:8" x14ac:dyDescent="0.2">
      <c r="G1958" t="str">
        <f>IF(C1958="","",(C1958/AVERAGE($C$2:C37519)))</f>
        <v/>
      </c>
      <c r="H1958" t="str">
        <f>IF(C1958="","",(C1958/MEDIAN($C$2:D37519)))</f>
        <v/>
      </c>
    </row>
    <row r="1959" spans="7:8" x14ac:dyDescent="0.2">
      <c r="G1959" t="str">
        <f>IF(C1959="","",(C1959/AVERAGE($C$2:C37520)))</f>
        <v/>
      </c>
      <c r="H1959" t="str">
        <f>IF(C1959="","",(C1959/MEDIAN($C$2:D37520)))</f>
        <v/>
      </c>
    </row>
    <row r="1960" spans="7:8" x14ac:dyDescent="0.2">
      <c r="G1960" t="str">
        <f>IF(C1960="","",(C1960/AVERAGE($C$2:C37521)))</f>
        <v/>
      </c>
      <c r="H1960" t="str">
        <f>IF(C1960="","",(C1960/MEDIAN($C$2:D37521)))</f>
        <v/>
      </c>
    </row>
    <row r="1961" spans="7:8" x14ac:dyDescent="0.2">
      <c r="G1961" t="str">
        <f>IF(C1961="","",(C1961/AVERAGE($C$2:C37522)))</f>
        <v/>
      </c>
      <c r="H1961" t="str">
        <f>IF(C1961="","",(C1961/MEDIAN($C$2:D37522)))</f>
        <v/>
      </c>
    </row>
    <row r="1962" spans="7:8" x14ac:dyDescent="0.2">
      <c r="G1962" t="str">
        <f>IF(C1962="","",(C1962/AVERAGE($C$2:C37523)))</f>
        <v/>
      </c>
      <c r="H1962" t="str">
        <f>IF(C1962="","",(C1962/MEDIAN($C$2:D37523)))</f>
        <v/>
      </c>
    </row>
    <row r="1963" spans="7:8" x14ac:dyDescent="0.2">
      <c r="G1963" t="str">
        <f>IF(C1963="","",(C1963/AVERAGE($C$2:C37524)))</f>
        <v/>
      </c>
      <c r="H1963" t="str">
        <f>IF(C1963="","",(C1963/MEDIAN($C$2:D37524)))</f>
        <v/>
      </c>
    </row>
    <row r="1964" spans="7:8" x14ac:dyDescent="0.2">
      <c r="G1964" t="str">
        <f>IF(C1964="","",(C1964/AVERAGE($C$2:C37525)))</f>
        <v/>
      </c>
      <c r="H1964" t="str">
        <f>IF(C1964="","",(C1964/MEDIAN($C$2:D37525)))</f>
        <v/>
      </c>
    </row>
    <row r="1965" spans="7:8" x14ac:dyDescent="0.2">
      <c r="G1965" t="str">
        <f>IF(C1965="","",(C1965/AVERAGE($C$2:C37526)))</f>
        <v/>
      </c>
      <c r="H1965" t="str">
        <f>IF(C1965="","",(C1965/MEDIAN($C$2:D37526)))</f>
        <v/>
      </c>
    </row>
    <row r="1966" spans="7:8" x14ac:dyDescent="0.2">
      <c r="G1966" t="str">
        <f>IF(C1966="","",(C1966/AVERAGE($C$2:C37527)))</f>
        <v/>
      </c>
      <c r="H1966" t="str">
        <f>IF(C1966="","",(C1966/MEDIAN($C$2:D37527)))</f>
        <v/>
      </c>
    </row>
    <row r="1967" spans="7:8" x14ac:dyDescent="0.2">
      <c r="G1967" t="str">
        <f>IF(C1967="","",(C1967/AVERAGE($C$2:C37528)))</f>
        <v/>
      </c>
      <c r="H1967" t="str">
        <f>IF(C1967="","",(C1967/MEDIAN($C$2:D37528)))</f>
        <v/>
      </c>
    </row>
    <row r="1968" spans="7:8" x14ac:dyDescent="0.2">
      <c r="G1968" t="str">
        <f>IF(C1968="","",(C1968/AVERAGE($C$2:C37529)))</f>
        <v/>
      </c>
      <c r="H1968" t="str">
        <f>IF(C1968="","",(C1968/MEDIAN($C$2:D37529)))</f>
        <v/>
      </c>
    </row>
    <row r="1969" spans="7:8" x14ac:dyDescent="0.2">
      <c r="G1969" t="str">
        <f>IF(C1969="","",(C1969/AVERAGE($C$2:C37530)))</f>
        <v/>
      </c>
      <c r="H1969" t="str">
        <f>IF(C1969="","",(C1969/MEDIAN($C$2:D37530)))</f>
        <v/>
      </c>
    </row>
    <row r="1970" spans="7:8" x14ac:dyDescent="0.2">
      <c r="G1970" t="str">
        <f>IF(C1970="","",(C1970/AVERAGE($C$2:C37531)))</f>
        <v/>
      </c>
      <c r="H1970" t="str">
        <f>IF(C1970="","",(C1970/MEDIAN($C$2:D37531)))</f>
        <v/>
      </c>
    </row>
    <row r="1971" spans="7:8" x14ac:dyDescent="0.2">
      <c r="G1971" t="str">
        <f>IF(C1971="","",(C1971/AVERAGE($C$2:C37532)))</f>
        <v/>
      </c>
      <c r="H1971" t="str">
        <f>IF(C1971="","",(C1971/MEDIAN($C$2:D37532)))</f>
        <v/>
      </c>
    </row>
    <row r="1972" spans="7:8" x14ac:dyDescent="0.2">
      <c r="G1972" t="str">
        <f>IF(C1972="","",(C1972/AVERAGE($C$2:C37533)))</f>
        <v/>
      </c>
      <c r="H1972" t="str">
        <f>IF(C1972="","",(C1972/MEDIAN($C$2:D37533)))</f>
        <v/>
      </c>
    </row>
    <row r="1973" spans="7:8" x14ac:dyDescent="0.2">
      <c r="G1973" t="str">
        <f>IF(C1973="","",(C1973/AVERAGE($C$2:C37534)))</f>
        <v/>
      </c>
      <c r="H1973" t="str">
        <f>IF(C1973="","",(C1973/MEDIAN($C$2:D37534)))</f>
        <v/>
      </c>
    </row>
    <row r="1974" spans="7:8" x14ac:dyDescent="0.2">
      <c r="G1974" t="str">
        <f>IF(C1974="","",(C1974/AVERAGE($C$2:C37535)))</f>
        <v/>
      </c>
      <c r="H1974" t="str">
        <f>IF(C1974="","",(C1974/MEDIAN($C$2:D37535)))</f>
        <v/>
      </c>
    </row>
    <row r="1975" spans="7:8" x14ac:dyDescent="0.2">
      <c r="G1975" t="str">
        <f>IF(C1975="","",(C1975/AVERAGE($C$2:C37536)))</f>
        <v/>
      </c>
      <c r="H1975" t="str">
        <f>IF(C1975="","",(C1975/MEDIAN($C$2:D37536)))</f>
        <v/>
      </c>
    </row>
    <row r="1976" spans="7:8" x14ac:dyDescent="0.2">
      <c r="G1976" t="str">
        <f>IF(C1976="","",(C1976/AVERAGE($C$2:C37537)))</f>
        <v/>
      </c>
      <c r="H1976" t="str">
        <f>IF(C1976="","",(C1976/MEDIAN($C$2:D37537)))</f>
        <v/>
      </c>
    </row>
    <row r="1977" spans="7:8" x14ac:dyDescent="0.2">
      <c r="G1977" t="str">
        <f>IF(C1977="","",(C1977/AVERAGE($C$2:C37538)))</f>
        <v/>
      </c>
      <c r="H1977" t="str">
        <f>IF(C1977="","",(C1977/MEDIAN($C$2:D37538)))</f>
        <v/>
      </c>
    </row>
    <row r="1978" spans="7:8" x14ac:dyDescent="0.2">
      <c r="G1978" t="str">
        <f>IF(C1978="","",(C1978/AVERAGE($C$2:C37539)))</f>
        <v/>
      </c>
      <c r="H1978" t="str">
        <f>IF(C1978="","",(C1978/MEDIAN($C$2:D37539)))</f>
        <v/>
      </c>
    </row>
    <row r="1979" spans="7:8" x14ac:dyDescent="0.2">
      <c r="G1979" t="str">
        <f>IF(C1979="","",(C1979/AVERAGE($C$2:C37540)))</f>
        <v/>
      </c>
      <c r="H1979" t="str">
        <f>IF(C1979="","",(C1979/MEDIAN($C$2:D37540)))</f>
        <v/>
      </c>
    </row>
    <row r="1980" spans="7:8" x14ac:dyDescent="0.2">
      <c r="G1980" t="str">
        <f>IF(C1980="","",(C1980/AVERAGE($C$2:C37541)))</f>
        <v/>
      </c>
      <c r="H1980" t="str">
        <f>IF(C1980="","",(C1980/MEDIAN($C$2:D37541)))</f>
        <v/>
      </c>
    </row>
    <row r="1981" spans="7:8" x14ac:dyDescent="0.2">
      <c r="G1981" t="str">
        <f>IF(C1981="","",(C1981/AVERAGE($C$2:C37542)))</f>
        <v/>
      </c>
      <c r="H1981" t="str">
        <f>IF(C1981="","",(C1981/MEDIAN($C$2:D37542)))</f>
        <v/>
      </c>
    </row>
    <row r="1982" spans="7:8" x14ac:dyDescent="0.2">
      <c r="G1982" t="str">
        <f>IF(C1982="","",(C1982/AVERAGE($C$2:C37543)))</f>
        <v/>
      </c>
      <c r="H1982" t="str">
        <f>IF(C1982="","",(C1982/MEDIAN($C$2:D37543)))</f>
        <v/>
      </c>
    </row>
    <row r="1983" spans="7:8" x14ac:dyDescent="0.2">
      <c r="G1983" t="str">
        <f>IF(C1983="","",(C1983/AVERAGE($C$2:C37544)))</f>
        <v/>
      </c>
      <c r="H1983" t="str">
        <f>IF(C1983="","",(C1983/MEDIAN($C$2:D37544)))</f>
        <v/>
      </c>
    </row>
    <row r="1984" spans="7:8" x14ac:dyDescent="0.2">
      <c r="G1984" t="str">
        <f>IF(C1984="","",(C1984/AVERAGE($C$2:C37545)))</f>
        <v/>
      </c>
      <c r="H1984" t="str">
        <f>IF(C1984="","",(C1984/MEDIAN($C$2:D37545)))</f>
        <v/>
      </c>
    </row>
    <row r="1985" spans="7:8" x14ac:dyDescent="0.2">
      <c r="G1985" t="str">
        <f>IF(C1985="","",(C1985/AVERAGE($C$2:C37546)))</f>
        <v/>
      </c>
      <c r="H1985" t="str">
        <f>IF(C1985="","",(C1985/MEDIAN($C$2:D37546)))</f>
        <v/>
      </c>
    </row>
    <row r="1986" spans="7:8" x14ac:dyDescent="0.2">
      <c r="G1986" t="str">
        <f>IF(C1986="","",(C1986/AVERAGE($C$2:C37547)))</f>
        <v/>
      </c>
      <c r="H1986" t="str">
        <f>IF(C1986="","",(C1986/MEDIAN($C$2:D37547)))</f>
        <v/>
      </c>
    </row>
    <row r="1987" spans="7:8" x14ac:dyDescent="0.2">
      <c r="G1987" t="str">
        <f>IF(C1987="","",(C1987/AVERAGE($C$2:C37548)))</f>
        <v/>
      </c>
      <c r="H1987" t="str">
        <f>IF(C1987="","",(C1987/MEDIAN($C$2:D37548)))</f>
        <v/>
      </c>
    </row>
    <row r="1988" spans="7:8" x14ac:dyDescent="0.2">
      <c r="G1988" t="str">
        <f>IF(C1988="","",(C1988/AVERAGE($C$2:C37549)))</f>
        <v/>
      </c>
      <c r="H1988" t="str">
        <f>IF(C1988="","",(C1988/MEDIAN($C$2:D37549)))</f>
        <v/>
      </c>
    </row>
    <row r="1989" spans="7:8" x14ac:dyDescent="0.2">
      <c r="G1989" t="str">
        <f>IF(C1989="","",(C1989/AVERAGE($C$2:C37550)))</f>
        <v/>
      </c>
      <c r="H1989" t="str">
        <f>IF(C1989="","",(C1989/MEDIAN($C$2:D37550)))</f>
        <v/>
      </c>
    </row>
    <row r="1990" spans="7:8" x14ac:dyDescent="0.2">
      <c r="G1990" t="str">
        <f>IF(C1990="","",(C1990/AVERAGE($C$2:C37551)))</f>
        <v/>
      </c>
      <c r="H1990" t="str">
        <f>IF(C1990="","",(C1990/MEDIAN($C$2:D37551)))</f>
        <v/>
      </c>
    </row>
    <row r="1991" spans="7:8" x14ac:dyDescent="0.2">
      <c r="G1991" t="str">
        <f>IF(C1991="","",(C1991/AVERAGE($C$2:C37552)))</f>
        <v/>
      </c>
      <c r="H1991" t="str">
        <f>IF(C1991="","",(C1991/MEDIAN($C$2:D37552)))</f>
        <v/>
      </c>
    </row>
    <row r="1992" spans="7:8" x14ac:dyDescent="0.2">
      <c r="G1992" t="str">
        <f>IF(C1992="","",(C1992/AVERAGE($C$2:C37553)))</f>
        <v/>
      </c>
      <c r="H1992" t="str">
        <f>IF(C1992="","",(C1992/MEDIAN($C$2:D37553)))</f>
        <v/>
      </c>
    </row>
    <row r="1993" spans="7:8" x14ac:dyDescent="0.2">
      <c r="G1993" t="str">
        <f>IF(C1993="","",(C1993/AVERAGE($C$2:C37554)))</f>
        <v/>
      </c>
      <c r="H1993" t="str">
        <f>IF(C1993="","",(C1993/MEDIAN($C$2:D37554)))</f>
        <v/>
      </c>
    </row>
    <row r="1994" spans="7:8" x14ac:dyDescent="0.2">
      <c r="G1994" t="str">
        <f>IF(C1994="","",(C1994/AVERAGE($C$2:C37555)))</f>
        <v/>
      </c>
      <c r="H1994" t="str">
        <f>IF(C1994="","",(C1994/MEDIAN($C$2:D37555)))</f>
        <v/>
      </c>
    </row>
    <row r="1995" spans="7:8" x14ac:dyDescent="0.2">
      <c r="G1995" t="str">
        <f>IF(C1995="","",(C1995/AVERAGE($C$2:C37556)))</f>
        <v/>
      </c>
      <c r="H1995" t="str">
        <f>IF(C1995="","",(C1995/MEDIAN($C$2:D37556)))</f>
        <v/>
      </c>
    </row>
    <row r="1996" spans="7:8" x14ac:dyDescent="0.2">
      <c r="G1996" t="str">
        <f>IF(C1996="","",(C1996/AVERAGE($C$2:C37557)))</f>
        <v/>
      </c>
      <c r="H1996" t="str">
        <f>IF(C1996="","",(C1996/MEDIAN($C$2:D37557)))</f>
        <v/>
      </c>
    </row>
    <row r="1997" spans="7:8" x14ac:dyDescent="0.2">
      <c r="G1997" t="str">
        <f>IF(C1997="","",(C1997/AVERAGE($C$2:C37558)))</f>
        <v/>
      </c>
      <c r="H1997" t="str">
        <f>IF(C1997="","",(C1997/MEDIAN($C$2:D37558)))</f>
        <v/>
      </c>
    </row>
    <row r="1998" spans="7:8" x14ac:dyDescent="0.2">
      <c r="G1998" t="str">
        <f>IF(C1998="","",(C1998/AVERAGE($C$2:C37559)))</f>
        <v/>
      </c>
      <c r="H1998" t="str">
        <f>IF(C1998="","",(C1998/MEDIAN($C$2:D37559)))</f>
        <v/>
      </c>
    </row>
    <row r="1999" spans="7:8" x14ac:dyDescent="0.2">
      <c r="G1999" t="str">
        <f>IF(C1999="","",(C1999/AVERAGE($C$2:C37560)))</f>
        <v/>
      </c>
      <c r="H1999" t="str">
        <f>IF(C1999="","",(C1999/MEDIAN($C$2:D37560)))</f>
        <v/>
      </c>
    </row>
    <row r="2000" spans="7:8" x14ac:dyDescent="0.2">
      <c r="G2000" t="str">
        <f>IF(C2000="","",(C2000/AVERAGE($C$2:C37561)))</f>
        <v/>
      </c>
      <c r="H2000" t="str">
        <f>IF(C2000="","",(C2000/MEDIAN($C$2:D37561)))</f>
        <v/>
      </c>
    </row>
  </sheetData>
  <sheetProtection sheet="1" objects="1" scenarios="1"/>
  <sortState ref="A3:A10">
    <sortCondition descending="1" ref="A3"/>
  </sortState>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3" tint="0.39997558519241921"/>
  </sheetPr>
  <dimension ref="A1"/>
  <sheetViews>
    <sheetView workbookViewId="0">
      <selection activeCell="L45" sqref="L45"/>
    </sheetView>
  </sheetViews>
  <sheetFormatPr baseColWidth="10" defaultRowHeight="14.25" x14ac:dyDescent="0.2"/>
  <cols>
    <col min="1" max="16384" width="11" style="36"/>
  </cols>
  <sheetData/>
  <sheetProtection sheet="1" objects="1" scenarios="1" selectLockedCells="1"/>
  <sortState ref="A3:A7">
    <sortCondition descending="1" ref="A3"/>
  </sortState>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24" r:id="rId4" name="CommandButton3">
          <controlPr defaultSize="0" autoLine="0" r:id="rId5">
            <anchor moveWithCells="1">
              <from>
                <xdr:col>2</xdr:col>
                <xdr:colOff>0</xdr:colOff>
                <xdr:row>13</xdr:row>
                <xdr:rowOff>171450</xdr:rowOff>
              </from>
              <to>
                <xdr:col>4</xdr:col>
                <xdr:colOff>704850</xdr:colOff>
                <xdr:row>16</xdr:row>
                <xdr:rowOff>85725</xdr:rowOff>
              </to>
            </anchor>
          </controlPr>
        </control>
      </mc:Choice>
      <mc:Fallback>
        <control shapeId="30724" r:id="rId4" name="CommandButton3"/>
      </mc:Fallback>
    </mc:AlternateContent>
    <mc:AlternateContent xmlns:mc="http://schemas.openxmlformats.org/markup-compatibility/2006">
      <mc:Choice Requires="x14">
        <control shapeId="30723" r:id="rId6" name="CommandButton2">
          <controlPr defaultSize="0" autoLine="0" r:id="rId7">
            <anchor moveWithCells="1">
              <from>
                <xdr:col>2</xdr:col>
                <xdr:colOff>9525</xdr:colOff>
                <xdr:row>10</xdr:row>
                <xdr:rowOff>9525</xdr:rowOff>
              </from>
              <to>
                <xdr:col>4</xdr:col>
                <xdr:colOff>714375</xdr:colOff>
                <xdr:row>12</xdr:row>
                <xdr:rowOff>104775</xdr:rowOff>
              </to>
            </anchor>
          </controlPr>
        </control>
      </mc:Choice>
      <mc:Fallback>
        <control shapeId="30723" r:id="rId6" name="CommandButton2"/>
      </mc:Fallback>
    </mc:AlternateContent>
    <mc:AlternateContent xmlns:mc="http://schemas.openxmlformats.org/markup-compatibility/2006">
      <mc:Choice Requires="x14">
        <control shapeId="30721" r:id="rId8" name="CommandButton1">
          <controlPr defaultSize="0" autoLine="0" r:id="rId9">
            <anchor moveWithCells="1">
              <from>
                <xdr:col>2</xdr:col>
                <xdr:colOff>9525</xdr:colOff>
                <xdr:row>6</xdr:row>
                <xdr:rowOff>19050</xdr:rowOff>
              </from>
              <to>
                <xdr:col>4</xdr:col>
                <xdr:colOff>714375</xdr:colOff>
                <xdr:row>8</xdr:row>
                <xdr:rowOff>114300</xdr:rowOff>
              </to>
            </anchor>
          </controlPr>
        </control>
      </mc:Choice>
      <mc:Fallback>
        <control shapeId="30721" r:id="rId8" name="CommandButton1"/>
      </mc:Fallback>
    </mc:AlternateContent>
    <mc:AlternateContent xmlns:mc="http://schemas.openxmlformats.org/markup-compatibility/2006">
      <mc:Choice Requires="x14">
        <control shapeId="30726" r:id="rId10" name="ComboBox1">
          <controlPr defaultSize="0" autoLine="0" r:id="rId11">
            <anchor moveWithCells="1">
              <from>
                <xdr:col>2</xdr:col>
                <xdr:colOff>9525</xdr:colOff>
                <xdr:row>17</xdr:row>
                <xdr:rowOff>133350</xdr:rowOff>
              </from>
              <to>
                <xdr:col>4</xdr:col>
                <xdr:colOff>695325</xdr:colOff>
                <xdr:row>19</xdr:row>
                <xdr:rowOff>19050</xdr:rowOff>
              </to>
            </anchor>
          </controlPr>
        </control>
      </mc:Choice>
      <mc:Fallback>
        <control shapeId="30726" r:id="rId10" name="Combo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tabColor rgb="FFC00000"/>
  </sheetPr>
  <dimension ref="A1:AG400"/>
  <sheetViews>
    <sheetView zoomScale="75" zoomScaleNormal="75" zoomScaleSheetLayoutView="70" workbookViewId="0">
      <selection activeCell="C5" sqref="C5"/>
    </sheetView>
  </sheetViews>
  <sheetFormatPr baseColWidth="10" defaultRowHeight="14.25" x14ac:dyDescent="0.2"/>
  <cols>
    <col min="1" max="1" width="16.625" customWidth="1"/>
    <col min="2" max="2" width="34.75" bestFit="1" customWidth="1"/>
    <col min="3" max="3" width="49.125" bestFit="1" customWidth="1"/>
    <col min="4" max="4" width="45.875" customWidth="1"/>
    <col min="6" max="6" width="19.25" bestFit="1" customWidth="1"/>
    <col min="8" max="8" width="23.75" bestFit="1" customWidth="1"/>
    <col min="11" max="33" width="11" style="36"/>
  </cols>
  <sheetData>
    <row r="1" spans="1:10" ht="15.75" thickBot="1" x14ac:dyDescent="0.3">
      <c r="A1" s="36"/>
      <c r="B1" s="152" t="s">
        <v>17</v>
      </c>
      <c r="C1" s="153"/>
      <c r="D1" s="36"/>
      <c r="E1" s="36"/>
      <c r="F1" s="36"/>
      <c r="G1" s="36"/>
      <c r="H1" s="54">
        <f>COUNTIF(WorkbookNames!B:B,"*")</f>
        <v>4</v>
      </c>
      <c r="I1" s="36"/>
      <c r="J1" s="36"/>
    </row>
    <row r="2" spans="1:10" ht="15.75" thickBot="1" x14ac:dyDescent="0.3">
      <c r="A2" s="36"/>
      <c r="B2" s="91" t="s">
        <v>11</v>
      </c>
      <c r="C2" s="92" t="s">
        <v>33</v>
      </c>
      <c r="D2" s="36"/>
      <c r="E2" s="36"/>
      <c r="F2" s="36"/>
      <c r="G2" s="36"/>
      <c r="H2" s="36"/>
      <c r="I2" s="36"/>
      <c r="J2" s="36"/>
    </row>
    <row r="3" spans="1:10" ht="18.75" thickBot="1" x14ac:dyDescent="0.3">
      <c r="A3" s="36"/>
      <c r="B3" s="81" t="s">
        <v>18</v>
      </c>
      <c r="C3" s="82">
        <v>0</v>
      </c>
      <c r="D3" s="120" t="s">
        <v>95</v>
      </c>
      <c r="E3" s="121"/>
      <c r="F3" s="36"/>
      <c r="G3" s="36"/>
      <c r="H3" s="36"/>
      <c r="I3" s="36"/>
      <c r="J3" s="36"/>
    </row>
    <row r="4" spans="1:10" ht="18.75" thickBot="1" x14ac:dyDescent="0.3">
      <c r="A4" s="36"/>
      <c r="B4" s="83" t="s">
        <v>12</v>
      </c>
      <c r="C4" s="84">
        <v>0.1</v>
      </c>
      <c r="D4" s="120" t="s">
        <v>94</v>
      </c>
      <c r="E4" s="121"/>
      <c r="F4" s="36"/>
      <c r="G4" s="36"/>
      <c r="H4" s="36"/>
      <c r="I4" s="36"/>
      <c r="J4" s="36"/>
    </row>
    <row r="5" spans="1:10" x14ac:dyDescent="0.2">
      <c r="A5" s="36"/>
      <c r="B5" s="85" t="s">
        <v>13</v>
      </c>
      <c r="C5" s="84">
        <v>0.2</v>
      </c>
      <c r="D5" s="36"/>
      <c r="E5" s="36"/>
      <c r="F5" s="36"/>
      <c r="G5" s="36"/>
      <c r="H5" s="36"/>
      <c r="I5" s="36"/>
      <c r="J5" s="36"/>
    </row>
    <row r="6" spans="1:10" x14ac:dyDescent="0.2">
      <c r="A6" s="36"/>
      <c r="B6" s="86" t="s">
        <v>14</v>
      </c>
      <c r="C6" s="84">
        <v>0.45</v>
      </c>
      <c r="D6" s="36"/>
      <c r="E6" s="36"/>
      <c r="F6" s="36"/>
      <c r="G6" s="36"/>
      <c r="H6" s="36"/>
      <c r="I6" s="36"/>
      <c r="J6" s="36"/>
    </row>
    <row r="7" spans="1:10" x14ac:dyDescent="0.2">
      <c r="A7" s="36"/>
      <c r="B7" s="87" t="s">
        <v>15</v>
      </c>
      <c r="C7" s="84">
        <v>0.8</v>
      </c>
      <c r="D7" s="36"/>
      <c r="E7" s="36"/>
      <c r="F7" s="36"/>
      <c r="G7" s="36"/>
      <c r="H7" s="36"/>
      <c r="I7" s="36"/>
      <c r="J7" s="36"/>
    </row>
    <row r="8" spans="1:10" ht="15" thickBot="1" x14ac:dyDescent="0.25">
      <c r="A8" s="36"/>
      <c r="B8" s="88" t="s">
        <v>16</v>
      </c>
      <c r="C8" s="89">
        <v>1</v>
      </c>
      <c r="D8" s="36"/>
      <c r="E8" s="36"/>
      <c r="F8" s="36"/>
      <c r="G8" s="36"/>
      <c r="H8" s="36"/>
      <c r="I8" s="36"/>
      <c r="J8" s="36"/>
    </row>
    <row r="9" spans="1:10" x14ac:dyDescent="0.2">
      <c r="A9" s="36"/>
      <c r="B9" s="36"/>
      <c r="C9" s="36"/>
      <c r="D9" s="36"/>
      <c r="E9" s="36"/>
      <c r="F9" s="36"/>
      <c r="G9" s="36"/>
      <c r="H9" s="36"/>
      <c r="I9" s="36"/>
      <c r="J9" s="36"/>
    </row>
    <row r="10" spans="1:10" x14ac:dyDescent="0.2">
      <c r="A10" s="36"/>
      <c r="B10" s="36"/>
      <c r="C10" s="36"/>
      <c r="D10" s="36"/>
      <c r="E10" s="36"/>
      <c r="F10" s="36"/>
      <c r="G10" s="36"/>
      <c r="H10" s="36"/>
      <c r="I10" s="36"/>
      <c r="J10" s="36"/>
    </row>
    <row r="11" spans="1:10" x14ac:dyDescent="0.2">
      <c r="A11" s="36"/>
      <c r="B11" s="36"/>
      <c r="C11" s="36"/>
      <c r="D11" s="36"/>
      <c r="E11" s="36"/>
      <c r="F11" s="36"/>
      <c r="G11" s="36"/>
      <c r="H11" s="36"/>
      <c r="I11" s="36"/>
      <c r="J11" s="36"/>
    </row>
    <row r="12" spans="1:10" x14ac:dyDescent="0.2">
      <c r="A12" s="36"/>
      <c r="B12" s="36"/>
      <c r="C12" s="36"/>
      <c r="D12" s="36"/>
      <c r="E12" s="36"/>
      <c r="F12" s="36"/>
      <c r="G12" s="36"/>
      <c r="H12" s="36"/>
      <c r="I12" s="36"/>
      <c r="J12" s="36"/>
    </row>
    <row r="13" spans="1:10" x14ac:dyDescent="0.2">
      <c r="A13" s="36"/>
      <c r="B13" s="36"/>
      <c r="C13" s="36"/>
      <c r="D13" s="36"/>
      <c r="E13" s="36"/>
      <c r="F13" s="36"/>
      <c r="G13" s="36"/>
      <c r="H13" s="36"/>
      <c r="I13" s="36"/>
      <c r="J13" s="36"/>
    </row>
    <row r="14" spans="1:10" ht="15" thickBot="1" x14ac:dyDescent="0.25">
      <c r="A14" s="36"/>
      <c r="B14" s="36"/>
      <c r="C14" s="36"/>
      <c r="D14" s="36"/>
      <c r="E14" s="36"/>
      <c r="F14" s="36"/>
      <c r="G14" s="36"/>
      <c r="H14" s="36"/>
      <c r="I14" s="36"/>
      <c r="J14" s="36"/>
    </row>
    <row r="15" spans="1:10" ht="15.75" thickBot="1" x14ac:dyDescent="0.3">
      <c r="A15" s="36"/>
      <c r="B15" s="123" t="s">
        <v>34</v>
      </c>
      <c r="C15" s="154"/>
      <c r="D15" s="90" t="s">
        <v>35</v>
      </c>
      <c r="E15" s="36"/>
      <c r="F15" s="36"/>
      <c r="G15" s="36"/>
      <c r="H15" s="36"/>
      <c r="I15" s="36"/>
      <c r="J15" s="36"/>
    </row>
    <row r="16" spans="1:10" ht="28.5" x14ac:dyDescent="0.2">
      <c r="A16" s="36"/>
      <c r="B16" s="70" t="s">
        <v>22</v>
      </c>
      <c r="C16" s="50">
        <v>0</v>
      </c>
      <c r="D16" s="71" t="s">
        <v>72</v>
      </c>
      <c r="E16" s="36"/>
      <c r="F16" s="36"/>
      <c r="G16" s="36"/>
      <c r="H16" s="36"/>
      <c r="I16" s="36"/>
      <c r="J16" s="36"/>
    </row>
    <row r="17" spans="1:10" ht="28.5" x14ac:dyDescent="0.2">
      <c r="A17" s="36"/>
      <c r="B17" s="72" t="s">
        <v>12</v>
      </c>
      <c r="C17" s="51">
        <v>1</v>
      </c>
      <c r="D17" s="73" t="s">
        <v>73</v>
      </c>
      <c r="E17" s="36"/>
      <c r="F17" s="36"/>
      <c r="G17" s="36"/>
      <c r="H17" s="36"/>
      <c r="I17" s="36"/>
      <c r="J17" s="36"/>
    </row>
    <row r="18" spans="1:10" ht="28.5" x14ac:dyDescent="0.2">
      <c r="A18" s="36"/>
      <c r="B18" s="74" t="s">
        <v>13</v>
      </c>
      <c r="C18" s="51">
        <v>2</v>
      </c>
      <c r="D18" s="73" t="s">
        <v>74</v>
      </c>
      <c r="E18" s="36"/>
      <c r="F18" s="36"/>
      <c r="G18" s="36"/>
      <c r="H18" s="36"/>
      <c r="I18" s="36"/>
      <c r="J18" s="36"/>
    </row>
    <row r="19" spans="1:10" ht="42.75" x14ac:dyDescent="0.2">
      <c r="A19" s="36"/>
      <c r="B19" s="75" t="s">
        <v>14</v>
      </c>
      <c r="C19" s="51">
        <v>3</v>
      </c>
      <c r="D19" s="73" t="s">
        <v>75</v>
      </c>
      <c r="E19" s="36"/>
      <c r="F19" s="36"/>
      <c r="G19" s="36"/>
      <c r="H19" s="36"/>
      <c r="I19" s="36"/>
      <c r="J19" s="36"/>
    </row>
    <row r="20" spans="1:10" ht="42.75" x14ac:dyDescent="0.2">
      <c r="A20" s="36"/>
      <c r="B20" s="76" t="s">
        <v>15</v>
      </c>
      <c r="C20" s="51">
        <v>4</v>
      </c>
      <c r="D20" s="73" t="s">
        <v>76</v>
      </c>
      <c r="E20" s="36"/>
      <c r="F20" s="36"/>
      <c r="G20" s="36"/>
      <c r="H20" s="36"/>
      <c r="I20" s="36"/>
      <c r="J20" s="36"/>
    </row>
    <row r="21" spans="1:10" ht="42.75" x14ac:dyDescent="0.2">
      <c r="A21" s="36"/>
      <c r="B21" s="77" t="s">
        <v>16</v>
      </c>
      <c r="C21" s="51">
        <v>5</v>
      </c>
      <c r="D21" s="73" t="s">
        <v>77</v>
      </c>
      <c r="E21" s="36"/>
      <c r="F21" s="36"/>
      <c r="G21" s="36"/>
      <c r="H21" s="36"/>
      <c r="I21" s="36"/>
      <c r="J21" s="36"/>
    </row>
    <row r="22" spans="1:10" ht="43.5" thickBot="1" x14ac:dyDescent="0.25">
      <c r="A22" s="36"/>
      <c r="B22" s="78" t="s">
        <v>19</v>
      </c>
      <c r="C22" s="79">
        <v>8</v>
      </c>
      <c r="D22" s="80" t="s">
        <v>78</v>
      </c>
      <c r="E22" s="36"/>
      <c r="F22" s="36"/>
      <c r="G22" s="36"/>
      <c r="H22" s="36"/>
      <c r="I22" s="36"/>
      <c r="J22" s="36"/>
    </row>
    <row r="23" spans="1:10" x14ac:dyDescent="0.2">
      <c r="A23" s="36"/>
      <c r="B23" s="36"/>
      <c r="C23" s="36"/>
      <c r="D23" s="36"/>
      <c r="E23" s="36"/>
      <c r="F23" s="36"/>
      <c r="G23" s="36"/>
      <c r="H23" s="36"/>
      <c r="I23" s="36"/>
      <c r="J23" s="36"/>
    </row>
    <row r="24" spans="1:10" x14ac:dyDescent="0.2">
      <c r="A24" s="36"/>
      <c r="B24" s="36"/>
      <c r="C24" s="36"/>
      <c r="D24" s="36"/>
      <c r="E24" s="36"/>
      <c r="F24" s="36"/>
      <c r="G24" s="36"/>
      <c r="H24" s="36"/>
      <c r="I24" s="36"/>
      <c r="J24" s="36"/>
    </row>
    <row r="25" spans="1:10" x14ac:dyDescent="0.2">
      <c r="A25" s="36"/>
      <c r="B25" s="36"/>
      <c r="C25" s="36"/>
      <c r="D25" s="36"/>
      <c r="E25" s="36"/>
      <c r="F25" s="36"/>
      <c r="G25" s="36"/>
      <c r="H25" s="36"/>
      <c r="I25" s="36"/>
      <c r="J25" s="36"/>
    </row>
    <row r="26" spans="1:10" x14ac:dyDescent="0.2">
      <c r="A26" s="36"/>
      <c r="B26" s="36"/>
      <c r="C26" s="36"/>
      <c r="D26" s="36"/>
      <c r="E26" s="36"/>
      <c r="F26" s="36"/>
      <c r="G26" s="36"/>
      <c r="H26" s="36"/>
      <c r="I26" s="36"/>
      <c r="J26" s="36"/>
    </row>
    <row r="27" spans="1:10" x14ac:dyDescent="0.2">
      <c r="A27" s="36"/>
      <c r="B27" s="36"/>
      <c r="C27" s="36"/>
      <c r="D27" s="36"/>
      <c r="E27" s="36"/>
      <c r="F27" s="36"/>
      <c r="G27" s="36"/>
      <c r="H27" s="36"/>
      <c r="I27" s="36"/>
      <c r="J27" s="36"/>
    </row>
    <row r="28" spans="1:10" ht="15.75" thickBot="1" x14ac:dyDescent="0.3">
      <c r="A28" s="36"/>
      <c r="B28" s="65" t="s">
        <v>56</v>
      </c>
      <c r="C28" s="19" t="s">
        <v>48</v>
      </c>
      <c r="D28" s="43">
        <f>SUM(D29:D400)</f>
        <v>136</v>
      </c>
      <c r="E28" s="23" t="s">
        <v>50</v>
      </c>
      <c r="F28" s="23" t="s">
        <v>58</v>
      </c>
      <c r="G28" s="36"/>
      <c r="H28" s="20" t="s">
        <v>48</v>
      </c>
      <c r="I28" s="20" t="s">
        <v>51</v>
      </c>
      <c r="J28" s="36"/>
    </row>
    <row r="29" spans="1:10" ht="28.5" x14ac:dyDescent="0.2">
      <c r="A29" s="36"/>
      <c r="B29" s="62" t="s">
        <v>45</v>
      </c>
      <c r="C29" s="64" t="s">
        <v>54</v>
      </c>
      <c r="D29" s="43">
        <f>IF(C29=""," ",(VLOOKUP(C29,$H$28:$I$32,2,FALSE))*$E$36)</f>
        <v>32</v>
      </c>
      <c r="E29" s="25">
        <v>1</v>
      </c>
      <c r="F29" s="24" t="s">
        <v>59</v>
      </c>
      <c r="G29" s="36"/>
      <c r="H29" s="24" t="s">
        <v>55</v>
      </c>
      <c r="I29" s="24">
        <v>1</v>
      </c>
      <c r="J29" s="36"/>
    </row>
    <row r="30" spans="1:10" x14ac:dyDescent="0.2">
      <c r="A30" s="36"/>
      <c r="B30" s="63" t="s">
        <v>92</v>
      </c>
      <c r="C30" s="64" t="s">
        <v>53</v>
      </c>
      <c r="D30" s="43">
        <f t="shared" ref="D30:D66" si="0">IF(C30=""," ",(VLOOKUP(C30,$H$28:$I$32,2,FALSE))*$E$36)</f>
        <v>24</v>
      </c>
      <c r="E30" s="25">
        <v>2</v>
      </c>
      <c r="F30" s="24"/>
      <c r="G30" s="36"/>
      <c r="H30" s="24" t="s">
        <v>52</v>
      </c>
      <c r="I30" s="24">
        <v>2</v>
      </c>
      <c r="J30" s="36"/>
    </row>
    <row r="31" spans="1:10" x14ac:dyDescent="0.2">
      <c r="A31" s="36"/>
      <c r="B31" s="63" t="s">
        <v>46</v>
      </c>
      <c r="C31" s="64" t="s">
        <v>52</v>
      </c>
      <c r="D31" s="43">
        <f t="shared" si="0"/>
        <v>16</v>
      </c>
      <c r="E31" s="25">
        <v>3</v>
      </c>
      <c r="F31" s="24"/>
      <c r="G31" s="36"/>
      <c r="H31" s="24" t="s">
        <v>53</v>
      </c>
      <c r="I31" s="24">
        <v>3</v>
      </c>
      <c r="J31" s="36"/>
    </row>
    <row r="32" spans="1:10" x14ac:dyDescent="0.2">
      <c r="A32" s="36"/>
      <c r="B32" s="63" t="s">
        <v>49</v>
      </c>
      <c r="C32" s="64" t="s">
        <v>54</v>
      </c>
      <c r="D32" s="43">
        <f t="shared" si="0"/>
        <v>32</v>
      </c>
      <c r="E32" s="25">
        <v>4</v>
      </c>
      <c r="F32" s="24"/>
      <c r="G32" s="36"/>
      <c r="H32" s="24" t="s">
        <v>54</v>
      </c>
      <c r="I32" s="24">
        <v>4</v>
      </c>
      <c r="J32" s="36"/>
    </row>
    <row r="33" spans="1:10" x14ac:dyDescent="0.2">
      <c r="A33" s="36"/>
      <c r="B33" s="63" t="s">
        <v>47</v>
      </c>
      <c r="C33" s="64" t="s">
        <v>55</v>
      </c>
      <c r="D33" s="43">
        <f t="shared" si="0"/>
        <v>8</v>
      </c>
      <c r="E33" s="25">
        <v>5</v>
      </c>
      <c r="F33" s="24"/>
      <c r="G33" s="36"/>
      <c r="H33" s="36"/>
      <c r="I33" s="36"/>
      <c r="J33" s="36"/>
    </row>
    <row r="34" spans="1:10" x14ac:dyDescent="0.2">
      <c r="A34" s="36"/>
      <c r="B34" s="63" t="s">
        <v>62</v>
      </c>
      <c r="C34" s="64" t="s">
        <v>53</v>
      </c>
      <c r="D34" s="43">
        <f t="shared" si="0"/>
        <v>24</v>
      </c>
      <c r="E34" s="25">
        <v>6</v>
      </c>
      <c r="F34" s="24"/>
      <c r="G34" s="36"/>
      <c r="H34" s="36"/>
      <c r="I34" s="36"/>
      <c r="J34" s="36"/>
    </row>
    <row r="35" spans="1:10" x14ac:dyDescent="0.2">
      <c r="A35" s="36"/>
      <c r="B35" s="63"/>
      <c r="C35" s="64"/>
      <c r="D35" s="43" t="str">
        <f t="shared" si="0"/>
        <v xml:space="preserve"> </v>
      </c>
      <c r="E35" s="25">
        <v>7</v>
      </c>
      <c r="F35" s="24"/>
      <c r="G35" s="36"/>
      <c r="H35" s="36"/>
      <c r="I35" s="36"/>
      <c r="J35" s="36"/>
    </row>
    <row r="36" spans="1:10" x14ac:dyDescent="0.2">
      <c r="A36" s="36"/>
      <c r="B36" s="63"/>
      <c r="C36" s="64"/>
      <c r="D36" s="43" t="str">
        <f t="shared" si="0"/>
        <v xml:space="preserve"> </v>
      </c>
      <c r="E36" s="25">
        <v>8</v>
      </c>
      <c r="F36" s="24" t="s">
        <v>60</v>
      </c>
      <c r="G36" s="36"/>
      <c r="H36" s="36"/>
      <c r="I36" s="36"/>
      <c r="J36" s="36"/>
    </row>
    <row r="37" spans="1:10" x14ac:dyDescent="0.2">
      <c r="A37" s="36"/>
      <c r="B37" s="63"/>
      <c r="C37" s="64"/>
      <c r="D37" s="43" t="str">
        <f t="shared" si="0"/>
        <v xml:space="preserve"> </v>
      </c>
      <c r="E37" s="45"/>
      <c r="F37" s="36"/>
      <c r="G37" s="36"/>
      <c r="H37" s="36"/>
      <c r="I37" s="36"/>
      <c r="J37" s="36"/>
    </row>
    <row r="38" spans="1:10" x14ac:dyDescent="0.2">
      <c r="A38" s="36"/>
      <c r="B38" s="63"/>
      <c r="C38" s="64"/>
      <c r="D38" s="43" t="str">
        <f t="shared" si="0"/>
        <v xml:space="preserve"> </v>
      </c>
      <c r="E38" s="45"/>
      <c r="F38" s="36"/>
      <c r="G38" s="36"/>
      <c r="H38" s="36"/>
      <c r="I38" s="36"/>
      <c r="J38" s="36"/>
    </row>
    <row r="39" spans="1:10" x14ac:dyDescent="0.2">
      <c r="A39" s="36"/>
      <c r="B39" s="63"/>
      <c r="C39" s="64"/>
      <c r="D39" s="43" t="str">
        <f t="shared" si="0"/>
        <v xml:space="preserve"> </v>
      </c>
      <c r="E39" s="46">
        <f>D28+10</f>
        <v>146</v>
      </c>
      <c r="F39" s="36"/>
      <c r="G39" s="36"/>
      <c r="H39" s="36"/>
      <c r="I39" s="36"/>
      <c r="J39" s="36"/>
    </row>
    <row r="40" spans="1:10" x14ac:dyDescent="0.2">
      <c r="A40" s="36"/>
      <c r="B40" s="63"/>
      <c r="C40" s="64"/>
      <c r="D40" s="43" t="str">
        <f t="shared" si="0"/>
        <v xml:space="preserve"> </v>
      </c>
      <c r="E40" s="47"/>
      <c r="F40" s="36"/>
      <c r="G40" s="36"/>
      <c r="H40" s="36"/>
      <c r="I40" s="36"/>
      <c r="J40" s="36"/>
    </row>
    <row r="41" spans="1:10" x14ac:dyDescent="0.2">
      <c r="A41" s="36"/>
      <c r="B41" s="63"/>
      <c r="C41" s="64"/>
      <c r="D41" s="49" t="str">
        <f t="shared" si="0"/>
        <v xml:space="preserve"> </v>
      </c>
      <c r="E41" s="48"/>
      <c r="F41" s="36"/>
      <c r="G41" s="36"/>
      <c r="H41" s="36"/>
      <c r="I41" s="36"/>
      <c r="J41" s="36"/>
    </row>
    <row r="42" spans="1:10" x14ac:dyDescent="0.2">
      <c r="A42" s="36"/>
      <c r="B42" s="63"/>
      <c r="C42" s="64"/>
      <c r="D42" s="43" t="str">
        <f t="shared" si="0"/>
        <v xml:space="preserve"> </v>
      </c>
      <c r="E42" s="48"/>
      <c r="F42" s="36"/>
      <c r="G42" s="36"/>
      <c r="H42" s="36"/>
      <c r="I42" s="36"/>
      <c r="J42" s="36"/>
    </row>
    <row r="43" spans="1:10" x14ac:dyDescent="0.2">
      <c r="A43" s="36"/>
      <c r="B43" s="63"/>
      <c r="C43" s="64"/>
      <c r="D43" s="43" t="str">
        <f t="shared" si="0"/>
        <v xml:space="preserve"> </v>
      </c>
      <c r="E43" s="48"/>
      <c r="F43" s="36"/>
      <c r="G43" s="36"/>
      <c r="H43" s="36"/>
      <c r="I43" s="36"/>
      <c r="J43" s="36"/>
    </row>
    <row r="44" spans="1:10" x14ac:dyDescent="0.2">
      <c r="A44" s="36"/>
      <c r="B44" s="63"/>
      <c r="C44" s="64"/>
      <c r="D44" s="43" t="str">
        <f t="shared" si="0"/>
        <v xml:space="preserve"> </v>
      </c>
      <c r="E44" s="48"/>
      <c r="F44" s="36"/>
      <c r="G44" s="36"/>
      <c r="H44" s="36"/>
      <c r="I44" s="36"/>
      <c r="J44" s="36"/>
    </row>
    <row r="45" spans="1:10" x14ac:dyDescent="0.2">
      <c r="A45" s="36"/>
      <c r="B45" s="63"/>
      <c r="C45" s="64"/>
      <c r="D45" s="43" t="str">
        <f t="shared" si="0"/>
        <v xml:space="preserve"> </v>
      </c>
      <c r="E45" s="36"/>
      <c r="F45" s="36"/>
      <c r="G45" s="36"/>
      <c r="H45" s="36"/>
      <c r="I45" s="36"/>
      <c r="J45" s="36"/>
    </row>
    <row r="46" spans="1:10" x14ac:dyDescent="0.2">
      <c r="A46" s="36"/>
      <c r="B46" s="63"/>
      <c r="C46" s="64"/>
      <c r="D46" s="43" t="str">
        <f t="shared" si="0"/>
        <v xml:space="preserve"> </v>
      </c>
      <c r="E46" s="36"/>
      <c r="F46" s="36"/>
      <c r="G46" s="36"/>
      <c r="H46" s="36"/>
      <c r="I46" s="36"/>
      <c r="J46" s="36"/>
    </row>
    <row r="47" spans="1:10" x14ac:dyDescent="0.2">
      <c r="A47" s="36"/>
      <c r="B47" s="63"/>
      <c r="C47" s="64"/>
      <c r="D47" s="43" t="str">
        <f t="shared" si="0"/>
        <v xml:space="preserve"> </v>
      </c>
      <c r="E47" s="36"/>
      <c r="F47" s="36"/>
      <c r="G47" s="36"/>
      <c r="H47" s="36"/>
      <c r="I47" s="36"/>
      <c r="J47" s="36"/>
    </row>
    <row r="48" spans="1:10" x14ac:dyDescent="0.2">
      <c r="A48" s="36"/>
      <c r="B48" s="63"/>
      <c r="C48" s="64"/>
      <c r="D48" s="43" t="str">
        <f t="shared" si="0"/>
        <v xml:space="preserve"> </v>
      </c>
      <c r="E48" s="36"/>
      <c r="F48" s="36"/>
      <c r="G48" s="36"/>
      <c r="H48" s="36"/>
      <c r="I48" s="36"/>
      <c r="J48" s="36"/>
    </row>
    <row r="49" spans="1:10" x14ac:dyDescent="0.2">
      <c r="A49" s="36"/>
      <c r="B49" s="63"/>
      <c r="C49" s="64"/>
      <c r="D49" s="43" t="str">
        <f t="shared" si="0"/>
        <v xml:space="preserve"> </v>
      </c>
      <c r="E49" s="36"/>
      <c r="F49" s="36"/>
      <c r="G49" s="36"/>
      <c r="H49" s="36"/>
      <c r="I49" s="36"/>
      <c r="J49" s="36"/>
    </row>
    <row r="50" spans="1:10" x14ac:dyDescent="0.2">
      <c r="A50" s="36"/>
      <c r="B50" s="63"/>
      <c r="C50" s="64"/>
      <c r="D50" s="43" t="str">
        <f t="shared" si="0"/>
        <v xml:space="preserve"> </v>
      </c>
      <c r="E50" s="36"/>
      <c r="F50" s="36"/>
      <c r="G50" s="36"/>
      <c r="H50" s="36"/>
      <c r="I50" s="36"/>
      <c r="J50" s="36"/>
    </row>
    <row r="51" spans="1:10" x14ac:dyDescent="0.2">
      <c r="A51" s="36"/>
      <c r="B51" s="63"/>
      <c r="C51" s="64"/>
      <c r="D51" s="43" t="str">
        <f t="shared" si="0"/>
        <v xml:space="preserve"> </v>
      </c>
      <c r="E51" s="36"/>
      <c r="F51" s="36"/>
      <c r="G51" s="36"/>
      <c r="H51" s="36"/>
      <c r="I51" s="36"/>
      <c r="J51" s="36"/>
    </row>
    <row r="52" spans="1:10" x14ac:dyDescent="0.2">
      <c r="A52" s="36"/>
      <c r="B52" s="63"/>
      <c r="C52" s="64"/>
      <c r="D52" s="43" t="str">
        <f t="shared" si="0"/>
        <v xml:space="preserve"> </v>
      </c>
      <c r="E52" s="36"/>
      <c r="F52" s="36"/>
      <c r="G52" s="36"/>
      <c r="H52" s="36"/>
      <c r="I52" s="36"/>
      <c r="J52" s="36"/>
    </row>
    <row r="53" spans="1:10" x14ac:dyDescent="0.2">
      <c r="A53" s="36"/>
      <c r="B53" s="63"/>
      <c r="C53" s="64"/>
      <c r="D53" s="43" t="str">
        <f t="shared" si="0"/>
        <v xml:space="preserve"> </v>
      </c>
      <c r="E53" s="36"/>
      <c r="F53" s="36"/>
      <c r="G53" s="36"/>
      <c r="H53" s="36"/>
      <c r="I53" s="36"/>
      <c r="J53" s="36"/>
    </row>
    <row r="54" spans="1:10" x14ac:dyDescent="0.2">
      <c r="A54" s="36"/>
      <c r="B54" s="63"/>
      <c r="C54" s="64"/>
      <c r="D54" s="43" t="str">
        <f t="shared" si="0"/>
        <v xml:space="preserve"> </v>
      </c>
      <c r="E54" s="36"/>
      <c r="F54" s="36"/>
      <c r="G54" s="36"/>
      <c r="H54" s="36"/>
      <c r="I54" s="36"/>
      <c r="J54" s="36"/>
    </row>
    <row r="55" spans="1:10" x14ac:dyDescent="0.2">
      <c r="A55" s="36"/>
      <c r="B55" s="63"/>
      <c r="C55" s="64"/>
      <c r="D55" s="43" t="str">
        <f t="shared" si="0"/>
        <v xml:space="preserve"> </v>
      </c>
      <c r="E55" s="36"/>
      <c r="F55" s="36"/>
      <c r="G55" s="36"/>
      <c r="H55" s="36"/>
      <c r="I55" s="36"/>
      <c r="J55" s="36"/>
    </row>
    <row r="56" spans="1:10" x14ac:dyDescent="0.2">
      <c r="A56" s="36"/>
      <c r="B56" s="63"/>
      <c r="C56" s="64"/>
      <c r="D56" s="43" t="str">
        <f t="shared" si="0"/>
        <v xml:space="preserve"> </v>
      </c>
      <c r="E56" s="36"/>
      <c r="F56" s="36"/>
      <c r="G56" s="36"/>
      <c r="H56" s="36"/>
      <c r="I56" s="36"/>
      <c r="J56" s="36"/>
    </row>
    <row r="57" spans="1:10" x14ac:dyDescent="0.2">
      <c r="A57" s="36"/>
      <c r="B57" s="63"/>
      <c r="C57" s="64"/>
      <c r="D57" s="43" t="str">
        <f t="shared" si="0"/>
        <v xml:space="preserve"> </v>
      </c>
      <c r="E57" s="36"/>
      <c r="F57" s="36"/>
      <c r="G57" s="36"/>
      <c r="H57" s="36"/>
      <c r="I57" s="36"/>
      <c r="J57" s="36"/>
    </row>
    <row r="58" spans="1:10" x14ac:dyDescent="0.2">
      <c r="A58" s="36"/>
      <c r="B58" s="63"/>
      <c r="C58" s="64"/>
      <c r="D58" s="43" t="str">
        <f t="shared" si="0"/>
        <v xml:space="preserve"> </v>
      </c>
      <c r="E58" s="36"/>
      <c r="F58" s="36"/>
      <c r="G58" s="36"/>
      <c r="H58" s="36"/>
      <c r="I58" s="36"/>
      <c r="J58" s="36"/>
    </row>
    <row r="59" spans="1:10" x14ac:dyDescent="0.2">
      <c r="A59" s="36"/>
      <c r="B59" s="63"/>
      <c r="C59" s="64"/>
      <c r="D59" s="43" t="str">
        <f t="shared" si="0"/>
        <v xml:space="preserve"> </v>
      </c>
      <c r="E59" s="36"/>
      <c r="F59" s="36"/>
      <c r="G59" s="36"/>
      <c r="H59" s="36"/>
      <c r="I59" s="36"/>
      <c r="J59" s="36"/>
    </row>
    <row r="60" spans="1:10" x14ac:dyDescent="0.2">
      <c r="A60" s="36"/>
      <c r="B60" s="63"/>
      <c r="C60" s="64"/>
      <c r="D60" s="43" t="str">
        <f t="shared" si="0"/>
        <v xml:space="preserve"> </v>
      </c>
      <c r="E60" s="36"/>
      <c r="F60" s="36"/>
      <c r="G60" s="36"/>
      <c r="H60" s="36"/>
      <c r="I60" s="36"/>
      <c r="J60" s="36"/>
    </row>
    <row r="61" spans="1:10" x14ac:dyDescent="0.2">
      <c r="A61" s="36"/>
      <c r="B61" s="63"/>
      <c r="C61" s="64"/>
      <c r="D61" s="43" t="str">
        <f t="shared" si="0"/>
        <v xml:space="preserve"> </v>
      </c>
      <c r="E61" s="36"/>
      <c r="F61" s="36"/>
      <c r="G61" s="36"/>
      <c r="H61" s="36"/>
      <c r="I61" s="36"/>
      <c r="J61" s="36"/>
    </row>
    <row r="62" spans="1:10" x14ac:dyDescent="0.2">
      <c r="A62" s="36"/>
      <c r="B62" s="63"/>
      <c r="C62" s="64"/>
      <c r="D62" s="43" t="str">
        <f t="shared" si="0"/>
        <v xml:space="preserve"> </v>
      </c>
      <c r="E62" s="36"/>
      <c r="F62" s="36"/>
      <c r="G62" s="36"/>
      <c r="H62" s="36"/>
      <c r="I62" s="36"/>
      <c r="J62" s="36"/>
    </row>
    <row r="63" spans="1:10" x14ac:dyDescent="0.2">
      <c r="A63" s="36"/>
      <c r="B63" s="63"/>
      <c r="C63" s="64"/>
      <c r="D63" s="43" t="str">
        <f t="shared" si="0"/>
        <v xml:space="preserve"> </v>
      </c>
      <c r="E63" s="36"/>
      <c r="F63" s="36"/>
      <c r="G63" s="36"/>
      <c r="H63" s="36"/>
      <c r="I63" s="36"/>
      <c r="J63" s="36"/>
    </row>
    <row r="64" spans="1:10" x14ac:dyDescent="0.2">
      <c r="A64" s="36"/>
      <c r="B64" s="63"/>
      <c r="C64" s="64"/>
      <c r="D64" s="43" t="str">
        <f t="shared" si="0"/>
        <v xml:space="preserve"> </v>
      </c>
      <c r="E64" s="36"/>
      <c r="F64" s="36"/>
      <c r="G64" s="36"/>
      <c r="H64" s="36"/>
      <c r="I64" s="36"/>
      <c r="J64" s="36"/>
    </row>
    <row r="65" spans="1:10" x14ac:dyDescent="0.2">
      <c r="A65" s="36"/>
      <c r="B65" s="63"/>
      <c r="C65" s="64"/>
      <c r="D65" s="43" t="str">
        <f t="shared" si="0"/>
        <v xml:space="preserve"> </v>
      </c>
      <c r="E65" s="36"/>
      <c r="F65" s="36"/>
      <c r="G65" s="36"/>
      <c r="H65" s="36"/>
      <c r="I65" s="36"/>
      <c r="J65" s="36"/>
    </row>
    <row r="66" spans="1:10" x14ac:dyDescent="0.2">
      <c r="A66" s="36"/>
      <c r="B66" s="63"/>
      <c r="C66" s="64"/>
      <c r="D66" s="43" t="str">
        <f t="shared" si="0"/>
        <v xml:space="preserve"> </v>
      </c>
      <c r="E66" s="36"/>
      <c r="F66" s="36"/>
      <c r="G66" s="36"/>
      <c r="H66" s="36"/>
      <c r="I66" s="36"/>
      <c r="J66" s="36"/>
    </row>
    <row r="67" spans="1:10" x14ac:dyDescent="0.2">
      <c r="A67" s="36"/>
      <c r="B67" s="63"/>
      <c r="C67" s="64"/>
      <c r="D67" s="43" t="str">
        <f t="shared" ref="D67:D93" si="1">IF(C67=""," ",(VLOOKUP(C67,$H$28:$I$32,2,FALSE))*$E$36)</f>
        <v xml:space="preserve"> </v>
      </c>
      <c r="E67" s="36"/>
      <c r="F67" s="36"/>
      <c r="G67" s="36"/>
      <c r="H67" s="36"/>
      <c r="I67" s="36"/>
      <c r="J67" s="36"/>
    </row>
    <row r="68" spans="1:10" x14ac:dyDescent="0.2">
      <c r="A68" s="36"/>
      <c r="B68" s="63"/>
      <c r="C68" s="64"/>
      <c r="D68" s="43" t="str">
        <f t="shared" si="1"/>
        <v xml:space="preserve"> </v>
      </c>
      <c r="E68" s="36"/>
      <c r="F68" s="36"/>
      <c r="G68" s="36"/>
      <c r="H68" s="36"/>
      <c r="I68" s="36"/>
      <c r="J68" s="36"/>
    </row>
    <row r="69" spans="1:10" x14ac:dyDescent="0.2">
      <c r="A69" s="36"/>
      <c r="B69" s="63"/>
      <c r="C69" s="64"/>
      <c r="D69" s="43" t="str">
        <f t="shared" si="1"/>
        <v xml:space="preserve"> </v>
      </c>
      <c r="E69" s="36"/>
      <c r="F69" s="36"/>
      <c r="G69" s="36"/>
      <c r="H69" s="36"/>
      <c r="I69" s="36"/>
      <c r="J69" s="36"/>
    </row>
    <row r="70" spans="1:10" x14ac:dyDescent="0.2">
      <c r="A70" s="36"/>
      <c r="B70" s="63"/>
      <c r="C70" s="64"/>
      <c r="D70" s="43" t="str">
        <f t="shared" si="1"/>
        <v xml:space="preserve"> </v>
      </c>
      <c r="E70" s="36"/>
      <c r="F70" s="36"/>
      <c r="G70" s="36"/>
      <c r="H70" s="36"/>
      <c r="I70" s="36"/>
      <c r="J70" s="36"/>
    </row>
    <row r="71" spans="1:10" x14ac:dyDescent="0.2">
      <c r="A71" s="36"/>
      <c r="B71" s="63"/>
      <c r="C71" s="64"/>
      <c r="D71" s="43" t="str">
        <f t="shared" si="1"/>
        <v xml:space="preserve"> </v>
      </c>
      <c r="E71" s="36"/>
      <c r="F71" s="36"/>
      <c r="G71" s="36"/>
      <c r="H71" s="36"/>
      <c r="I71" s="36"/>
      <c r="J71" s="36"/>
    </row>
    <row r="72" spans="1:10" x14ac:dyDescent="0.2">
      <c r="A72" s="36"/>
      <c r="B72" s="63"/>
      <c r="C72" s="64"/>
      <c r="D72" s="43" t="str">
        <f t="shared" si="1"/>
        <v xml:space="preserve"> </v>
      </c>
      <c r="E72" s="36"/>
      <c r="F72" s="36"/>
      <c r="G72" s="36"/>
      <c r="H72" s="36"/>
      <c r="I72" s="36"/>
      <c r="J72" s="36"/>
    </row>
    <row r="73" spans="1:10" x14ac:dyDescent="0.2">
      <c r="A73" s="36"/>
      <c r="B73" s="63"/>
      <c r="C73" s="64"/>
      <c r="D73" s="43" t="str">
        <f t="shared" si="1"/>
        <v xml:space="preserve"> </v>
      </c>
      <c r="E73" s="36"/>
      <c r="F73" s="36"/>
      <c r="G73" s="36"/>
      <c r="H73" s="36"/>
      <c r="I73" s="36"/>
      <c r="J73" s="36"/>
    </row>
    <row r="74" spans="1:10" x14ac:dyDescent="0.2">
      <c r="A74" s="36"/>
      <c r="B74" s="63"/>
      <c r="C74" s="64"/>
      <c r="D74" s="43" t="str">
        <f t="shared" si="1"/>
        <v xml:space="preserve"> </v>
      </c>
      <c r="E74" s="36"/>
      <c r="F74" s="36"/>
      <c r="G74" s="36"/>
      <c r="H74" s="36"/>
      <c r="I74" s="36"/>
      <c r="J74" s="36"/>
    </row>
    <row r="75" spans="1:10" x14ac:dyDescent="0.2">
      <c r="A75" s="36"/>
      <c r="B75" s="63"/>
      <c r="C75" s="64"/>
      <c r="D75" s="43" t="str">
        <f t="shared" si="1"/>
        <v xml:space="preserve"> </v>
      </c>
      <c r="E75" s="36"/>
      <c r="F75" s="36"/>
      <c r="G75" s="36"/>
      <c r="H75" s="36"/>
      <c r="I75" s="36"/>
      <c r="J75" s="36"/>
    </row>
    <row r="76" spans="1:10" x14ac:dyDescent="0.2">
      <c r="A76" s="36"/>
      <c r="B76" s="63"/>
      <c r="C76" s="64"/>
      <c r="D76" s="43" t="str">
        <f t="shared" si="1"/>
        <v xml:space="preserve"> </v>
      </c>
      <c r="E76" s="36"/>
      <c r="F76" s="36"/>
      <c r="G76" s="36"/>
      <c r="H76" s="36"/>
      <c r="I76" s="36"/>
      <c r="J76" s="36"/>
    </row>
    <row r="77" spans="1:10" x14ac:dyDescent="0.2">
      <c r="A77" s="36"/>
      <c r="B77" s="63"/>
      <c r="C77" s="64"/>
      <c r="D77" s="43" t="str">
        <f t="shared" si="1"/>
        <v xml:space="preserve"> </v>
      </c>
      <c r="E77" s="36"/>
      <c r="F77" s="36"/>
      <c r="G77" s="36"/>
      <c r="H77" s="36"/>
      <c r="I77" s="36"/>
      <c r="J77" s="36"/>
    </row>
    <row r="78" spans="1:10" x14ac:dyDescent="0.2">
      <c r="A78" s="36"/>
      <c r="B78" s="63"/>
      <c r="C78" s="64"/>
      <c r="D78" s="43" t="str">
        <f t="shared" si="1"/>
        <v xml:space="preserve"> </v>
      </c>
      <c r="E78" s="36"/>
      <c r="F78" s="36"/>
      <c r="G78" s="36"/>
      <c r="H78" s="36"/>
      <c r="I78" s="36"/>
      <c r="J78" s="36"/>
    </row>
    <row r="79" spans="1:10" x14ac:dyDescent="0.2">
      <c r="A79" s="36"/>
      <c r="B79" s="63"/>
      <c r="C79" s="64"/>
      <c r="D79" s="43" t="str">
        <f t="shared" si="1"/>
        <v xml:space="preserve"> </v>
      </c>
      <c r="E79" s="36"/>
      <c r="F79" s="36"/>
      <c r="G79" s="36"/>
      <c r="H79" s="36"/>
      <c r="I79" s="36"/>
      <c r="J79" s="36"/>
    </row>
    <row r="80" spans="1:10" x14ac:dyDescent="0.2">
      <c r="A80" s="36"/>
      <c r="B80" s="63"/>
      <c r="C80" s="64"/>
      <c r="D80" s="43" t="str">
        <f t="shared" si="1"/>
        <v xml:space="preserve"> </v>
      </c>
      <c r="E80" s="36"/>
      <c r="F80" s="36"/>
      <c r="G80" s="36"/>
      <c r="H80" s="36"/>
      <c r="I80" s="36"/>
      <c r="J80" s="36"/>
    </row>
    <row r="81" spans="1:10" x14ac:dyDescent="0.2">
      <c r="A81" s="36"/>
      <c r="B81" s="63"/>
      <c r="C81" s="64"/>
      <c r="D81" s="43" t="str">
        <f t="shared" si="1"/>
        <v xml:space="preserve"> </v>
      </c>
      <c r="E81" s="36"/>
      <c r="F81" s="36"/>
      <c r="G81" s="36"/>
      <c r="H81" s="36"/>
      <c r="I81" s="36"/>
      <c r="J81" s="36"/>
    </row>
    <row r="82" spans="1:10" x14ac:dyDescent="0.2">
      <c r="A82" s="36"/>
      <c r="B82" s="63"/>
      <c r="C82" s="64"/>
      <c r="D82" s="43" t="str">
        <f t="shared" si="1"/>
        <v xml:space="preserve"> </v>
      </c>
      <c r="E82" s="36"/>
      <c r="F82" s="36"/>
      <c r="G82" s="36"/>
      <c r="H82" s="36"/>
      <c r="I82" s="36"/>
      <c r="J82" s="36"/>
    </row>
    <row r="83" spans="1:10" x14ac:dyDescent="0.2">
      <c r="A83" s="36"/>
      <c r="B83" s="63"/>
      <c r="C83" s="64"/>
      <c r="D83" s="43" t="str">
        <f t="shared" si="1"/>
        <v xml:space="preserve"> </v>
      </c>
      <c r="E83" s="36"/>
      <c r="F83" s="36"/>
      <c r="G83" s="36"/>
      <c r="H83" s="36"/>
      <c r="I83" s="36"/>
      <c r="J83" s="36"/>
    </row>
    <row r="84" spans="1:10" x14ac:dyDescent="0.2">
      <c r="A84" s="36"/>
      <c r="B84" s="63"/>
      <c r="C84" s="64"/>
      <c r="D84" s="43" t="str">
        <f t="shared" si="1"/>
        <v xml:space="preserve"> </v>
      </c>
      <c r="E84" s="36"/>
      <c r="F84" s="36"/>
      <c r="G84" s="36"/>
      <c r="H84" s="36"/>
      <c r="I84" s="36"/>
      <c r="J84" s="36"/>
    </row>
    <row r="85" spans="1:10" x14ac:dyDescent="0.2">
      <c r="A85" s="36"/>
      <c r="B85" s="63"/>
      <c r="C85" s="64"/>
      <c r="D85" s="43" t="str">
        <f t="shared" si="1"/>
        <v xml:space="preserve"> </v>
      </c>
      <c r="E85" s="36"/>
      <c r="F85" s="36"/>
      <c r="G85" s="36"/>
      <c r="H85" s="36"/>
      <c r="I85" s="36"/>
      <c r="J85" s="36"/>
    </row>
    <row r="86" spans="1:10" x14ac:dyDescent="0.2">
      <c r="A86" s="36"/>
      <c r="B86" s="63"/>
      <c r="C86" s="64"/>
      <c r="D86" s="43" t="str">
        <f t="shared" si="1"/>
        <v xml:space="preserve"> </v>
      </c>
      <c r="E86" s="36"/>
      <c r="F86" s="36"/>
      <c r="G86" s="36"/>
      <c r="H86" s="36"/>
      <c r="I86" s="36"/>
      <c r="J86" s="36"/>
    </row>
    <row r="87" spans="1:10" x14ac:dyDescent="0.2">
      <c r="A87" s="36"/>
      <c r="B87" s="63"/>
      <c r="C87" s="64"/>
      <c r="D87" s="43" t="str">
        <f t="shared" si="1"/>
        <v xml:space="preserve"> </v>
      </c>
      <c r="E87" s="36"/>
      <c r="F87" s="36"/>
      <c r="G87" s="36"/>
      <c r="H87" s="36"/>
      <c r="I87" s="36"/>
      <c r="J87" s="36"/>
    </row>
    <row r="88" spans="1:10" x14ac:dyDescent="0.2">
      <c r="A88" s="36"/>
      <c r="B88" s="63"/>
      <c r="C88" s="64"/>
      <c r="D88" s="43" t="str">
        <f t="shared" si="1"/>
        <v xml:space="preserve"> </v>
      </c>
      <c r="E88" s="36"/>
      <c r="F88" s="36"/>
      <c r="G88" s="36"/>
      <c r="H88" s="36"/>
      <c r="I88" s="36"/>
      <c r="J88" s="36"/>
    </row>
    <row r="89" spans="1:10" x14ac:dyDescent="0.2">
      <c r="A89" s="36"/>
      <c r="B89" s="63"/>
      <c r="C89" s="64"/>
      <c r="D89" s="43" t="str">
        <f t="shared" si="1"/>
        <v xml:space="preserve"> </v>
      </c>
      <c r="E89" s="36"/>
      <c r="F89" s="36"/>
      <c r="G89" s="36"/>
      <c r="H89" s="36"/>
      <c r="I89" s="36"/>
      <c r="J89" s="36"/>
    </row>
    <row r="90" spans="1:10" x14ac:dyDescent="0.2">
      <c r="A90" s="36"/>
      <c r="B90" s="63"/>
      <c r="C90" s="64"/>
      <c r="D90" s="43" t="str">
        <f t="shared" si="1"/>
        <v xml:space="preserve"> </v>
      </c>
      <c r="E90" s="36"/>
      <c r="F90" s="36"/>
      <c r="G90" s="36"/>
      <c r="H90" s="36"/>
      <c r="I90" s="36"/>
      <c r="J90" s="36"/>
    </row>
    <row r="91" spans="1:10" x14ac:dyDescent="0.2">
      <c r="A91" s="36"/>
      <c r="B91" s="63"/>
      <c r="C91" s="64"/>
      <c r="D91" s="43" t="str">
        <f t="shared" si="1"/>
        <v xml:space="preserve"> </v>
      </c>
      <c r="E91" s="36"/>
      <c r="F91" s="36"/>
      <c r="G91" s="36"/>
      <c r="H91" s="36"/>
      <c r="I91" s="36"/>
      <c r="J91" s="36"/>
    </row>
    <row r="92" spans="1:10" x14ac:dyDescent="0.2">
      <c r="A92" s="36"/>
      <c r="B92" s="44"/>
      <c r="C92" s="44"/>
      <c r="D92" s="43" t="str">
        <f t="shared" si="1"/>
        <v xml:space="preserve"> </v>
      </c>
      <c r="E92" s="36"/>
      <c r="F92" s="36"/>
      <c r="G92" s="36"/>
      <c r="H92" s="36"/>
      <c r="I92" s="36"/>
      <c r="J92" s="36"/>
    </row>
    <row r="93" spans="1:10" x14ac:dyDescent="0.2">
      <c r="A93" s="36"/>
      <c r="B93" s="44"/>
      <c r="C93" s="44"/>
      <c r="D93" s="43" t="str">
        <f t="shared" si="1"/>
        <v xml:space="preserve"> </v>
      </c>
      <c r="E93" s="36"/>
      <c r="F93" s="36"/>
      <c r="G93" s="36"/>
      <c r="H93" s="36"/>
      <c r="I93" s="36"/>
      <c r="J93" s="36"/>
    </row>
    <row r="94" spans="1:10" x14ac:dyDescent="0.2">
      <c r="A94" s="36"/>
      <c r="B94" s="44"/>
      <c r="C94" s="44"/>
      <c r="D94" s="43" t="str">
        <f t="shared" ref="D94:D157" si="2">IF(C94=""," ",(VLOOKUP(C94,$H$28:$I$32,2,FALSE))*$E$36)</f>
        <v xml:space="preserve"> </v>
      </c>
      <c r="E94" s="36"/>
      <c r="F94" s="36"/>
      <c r="G94" s="36"/>
      <c r="H94" s="36"/>
      <c r="I94" s="36"/>
      <c r="J94" s="36"/>
    </row>
    <row r="95" spans="1:10" x14ac:dyDescent="0.2">
      <c r="A95" s="36"/>
      <c r="B95" s="44"/>
      <c r="C95" s="44"/>
      <c r="D95" s="43" t="str">
        <f t="shared" si="2"/>
        <v xml:space="preserve"> </v>
      </c>
      <c r="E95" s="36"/>
      <c r="F95" s="36"/>
      <c r="G95" s="36"/>
      <c r="H95" s="36"/>
      <c r="I95" s="36"/>
      <c r="J95" s="36"/>
    </row>
    <row r="96" spans="1:10" x14ac:dyDescent="0.2">
      <c r="A96" s="36"/>
      <c r="B96" s="44"/>
      <c r="C96" s="44"/>
      <c r="D96" s="43" t="str">
        <f t="shared" si="2"/>
        <v xml:space="preserve"> </v>
      </c>
      <c r="E96" s="36"/>
      <c r="F96" s="36"/>
      <c r="G96" s="36"/>
      <c r="H96" s="36"/>
      <c r="I96" s="36"/>
      <c r="J96" s="36"/>
    </row>
    <row r="97" spans="1:10" x14ac:dyDescent="0.2">
      <c r="A97" s="36"/>
      <c r="B97" s="44"/>
      <c r="C97" s="44"/>
      <c r="D97" s="43" t="str">
        <f t="shared" si="2"/>
        <v xml:space="preserve"> </v>
      </c>
      <c r="E97" s="36"/>
      <c r="F97" s="36"/>
      <c r="G97" s="36"/>
      <c r="H97" s="36"/>
      <c r="I97" s="36"/>
      <c r="J97" s="36"/>
    </row>
    <row r="98" spans="1:10" x14ac:dyDescent="0.2">
      <c r="A98" s="36"/>
      <c r="B98" s="44"/>
      <c r="C98" s="44"/>
      <c r="D98" s="43" t="str">
        <f t="shared" si="2"/>
        <v xml:space="preserve"> </v>
      </c>
      <c r="E98" s="36"/>
      <c r="F98" s="36"/>
      <c r="G98" s="36"/>
      <c r="H98" s="36"/>
      <c r="I98" s="36"/>
      <c r="J98" s="36"/>
    </row>
    <row r="99" spans="1:10" x14ac:dyDescent="0.2">
      <c r="A99" s="36"/>
      <c r="B99" s="44"/>
      <c r="C99" s="44"/>
      <c r="D99" s="43" t="str">
        <f t="shared" si="2"/>
        <v xml:space="preserve"> </v>
      </c>
      <c r="E99" s="36"/>
      <c r="F99" s="36"/>
      <c r="G99" s="36"/>
      <c r="H99" s="36"/>
      <c r="I99" s="36"/>
      <c r="J99" s="36"/>
    </row>
    <row r="100" spans="1:10" x14ac:dyDescent="0.2">
      <c r="A100" s="36"/>
      <c r="B100" s="44"/>
      <c r="C100" s="44"/>
      <c r="D100" s="43" t="str">
        <f t="shared" si="2"/>
        <v xml:space="preserve"> </v>
      </c>
      <c r="E100" s="36"/>
      <c r="F100" s="36"/>
      <c r="G100" s="36"/>
      <c r="H100" s="36"/>
      <c r="I100" s="36"/>
      <c r="J100" s="36"/>
    </row>
    <row r="101" spans="1:10" x14ac:dyDescent="0.2">
      <c r="A101" s="36"/>
      <c r="B101" s="44"/>
      <c r="C101" s="44"/>
      <c r="D101" s="43" t="str">
        <f t="shared" si="2"/>
        <v xml:space="preserve"> </v>
      </c>
      <c r="E101" s="36"/>
      <c r="F101" s="36"/>
      <c r="G101" s="36"/>
      <c r="H101" s="36"/>
      <c r="I101" s="36"/>
      <c r="J101" s="36"/>
    </row>
    <row r="102" spans="1:10" x14ac:dyDescent="0.2">
      <c r="A102" s="36"/>
      <c r="B102" s="44"/>
      <c r="C102" s="44"/>
      <c r="D102" s="43" t="str">
        <f t="shared" si="2"/>
        <v xml:space="preserve"> </v>
      </c>
      <c r="E102" s="36"/>
      <c r="F102" s="36"/>
      <c r="G102" s="36"/>
      <c r="H102" s="36"/>
      <c r="I102" s="36"/>
      <c r="J102" s="36"/>
    </row>
    <row r="103" spans="1:10" x14ac:dyDescent="0.2">
      <c r="A103" s="36"/>
      <c r="B103" s="44"/>
      <c r="C103" s="44"/>
      <c r="D103" s="43" t="str">
        <f t="shared" si="2"/>
        <v xml:space="preserve"> </v>
      </c>
      <c r="E103" s="36"/>
      <c r="F103" s="36"/>
      <c r="G103" s="36"/>
      <c r="H103" s="36"/>
      <c r="I103" s="36"/>
      <c r="J103" s="36"/>
    </row>
    <row r="104" spans="1:10" x14ac:dyDescent="0.2">
      <c r="A104" s="36"/>
      <c r="B104" s="44"/>
      <c r="C104" s="44"/>
      <c r="D104" s="43" t="str">
        <f t="shared" si="2"/>
        <v xml:space="preserve"> </v>
      </c>
      <c r="E104" s="36"/>
      <c r="F104" s="36"/>
      <c r="G104" s="36"/>
      <c r="H104" s="36"/>
      <c r="I104" s="36"/>
      <c r="J104" s="36"/>
    </row>
    <row r="105" spans="1:10" x14ac:dyDescent="0.2">
      <c r="A105" s="36"/>
      <c r="B105" s="44"/>
      <c r="C105" s="44"/>
      <c r="D105" s="43" t="str">
        <f t="shared" si="2"/>
        <v xml:space="preserve"> </v>
      </c>
      <c r="E105" s="36"/>
      <c r="F105" s="36"/>
      <c r="G105" s="36"/>
      <c r="H105" s="36"/>
      <c r="I105" s="36"/>
      <c r="J105" s="36"/>
    </row>
    <row r="106" spans="1:10" x14ac:dyDescent="0.2">
      <c r="A106" s="36"/>
      <c r="B106" s="44"/>
      <c r="C106" s="44"/>
      <c r="D106" s="43" t="str">
        <f t="shared" si="2"/>
        <v xml:space="preserve"> </v>
      </c>
      <c r="E106" s="36"/>
      <c r="F106" s="36"/>
      <c r="G106" s="36"/>
      <c r="H106" s="36"/>
      <c r="I106" s="36"/>
      <c r="J106" s="36"/>
    </row>
    <row r="107" spans="1:10" x14ac:dyDescent="0.2">
      <c r="A107" s="36"/>
      <c r="B107" s="44"/>
      <c r="C107" s="44"/>
      <c r="D107" s="43" t="str">
        <f t="shared" si="2"/>
        <v xml:space="preserve"> </v>
      </c>
      <c r="E107" s="36"/>
      <c r="F107" s="36"/>
      <c r="G107" s="36"/>
      <c r="H107" s="36"/>
      <c r="I107" s="36"/>
      <c r="J107" s="36"/>
    </row>
    <row r="108" spans="1:10" x14ac:dyDescent="0.2">
      <c r="A108" s="36"/>
      <c r="B108" s="44"/>
      <c r="C108" s="44"/>
      <c r="D108" s="43" t="str">
        <f t="shared" si="2"/>
        <v xml:space="preserve"> </v>
      </c>
      <c r="E108" s="36"/>
      <c r="F108" s="36"/>
      <c r="G108" s="36"/>
      <c r="H108" s="36"/>
      <c r="I108" s="36"/>
      <c r="J108" s="36"/>
    </row>
    <row r="109" spans="1:10" x14ac:dyDescent="0.2">
      <c r="A109" s="36"/>
      <c r="B109" s="44"/>
      <c r="C109" s="44"/>
      <c r="D109" s="43" t="str">
        <f t="shared" si="2"/>
        <v xml:space="preserve"> </v>
      </c>
      <c r="E109" s="36"/>
      <c r="F109" s="36"/>
      <c r="G109" s="36"/>
      <c r="H109" s="36"/>
      <c r="I109" s="36"/>
      <c r="J109" s="36"/>
    </row>
    <row r="110" spans="1:10" x14ac:dyDescent="0.2">
      <c r="A110" s="36"/>
      <c r="B110" s="44"/>
      <c r="C110" s="44"/>
      <c r="D110" s="43" t="str">
        <f t="shared" si="2"/>
        <v xml:space="preserve"> </v>
      </c>
      <c r="E110" s="36"/>
      <c r="F110" s="36"/>
      <c r="G110" s="36"/>
      <c r="H110" s="36"/>
      <c r="I110" s="36"/>
      <c r="J110" s="36"/>
    </row>
    <row r="111" spans="1:10" x14ac:dyDescent="0.2">
      <c r="A111" s="36"/>
      <c r="B111" s="44"/>
      <c r="C111" s="44"/>
      <c r="D111" s="43" t="str">
        <f t="shared" si="2"/>
        <v xml:space="preserve"> </v>
      </c>
      <c r="E111" s="36"/>
      <c r="F111" s="36"/>
      <c r="G111" s="36"/>
      <c r="H111" s="36"/>
      <c r="I111" s="36"/>
      <c r="J111" s="36"/>
    </row>
    <row r="112" spans="1:10" x14ac:dyDescent="0.2">
      <c r="A112" s="36"/>
      <c r="B112" s="44"/>
      <c r="C112" s="44"/>
      <c r="D112" s="43" t="str">
        <f t="shared" si="2"/>
        <v xml:space="preserve"> </v>
      </c>
      <c r="E112" s="36"/>
      <c r="F112" s="36"/>
      <c r="G112" s="36"/>
      <c r="H112" s="36"/>
      <c r="I112" s="36"/>
      <c r="J112" s="36"/>
    </row>
    <row r="113" spans="1:10" x14ac:dyDescent="0.2">
      <c r="A113" s="36"/>
      <c r="B113" s="44"/>
      <c r="C113" s="44"/>
      <c r="D113" s="43" t="str">
        <f t="shared" si="2"/>
        <v xml:space="preserve"> </v>
      </c>
      <c r="E113" s="36"/>
      <c r="F113" s="36"/>
      <c r="G113" s="36"/>
      <c r="H113" s="36"/>
      <c r="I113" s="36"/>
      <c r="J113" s="36"/>
    </row>
    <row r="114" spans="1:10" x14ac:dyDescent="0.2">
      <c r="A114" s="36"/>
      <c r="B114" s="44"/>
      <c r="C114" s="44"/>
      <c r="D114" s="43" t="str">
        <f t="shared" si="2"/>
        <v xml:space="preserve"> </v>
      </c>
      <c r="E114" s="36"/>
      <c r="F114" s="36"/>
      <c r="G114" s="36"/>
      <c r="H114" s="36"/>
      <c r="I114" s="36"/>
      <c r="J114" s="36"/>
    </row>
    <row r="115" spans="1:10" x14ac:dyDescent="0.2">
      <c r="A115" s="36"/>
      <c r="B115" s="44"/>
      <c r="C115" s="44"/>
      <c r="D115" s="43" t="str">
        <f t="shared" si="2"/>
        <v xml:space="preserve"> </v>
      </c>
      <c r="E115" s="36"/>
      <c r="F115" s="36"/>
      <c r="G115" s="36"/>
      <c r="H115" s="36"/>
      <c r="I115" s="36"/>
      <c r="J115" s="36"/>
    </row>
    <row r="116" spans="1:10" x14ac:dyDescent="0.2">
      <c r="A116" s="36"/>
      <c r="B116" s="44"/>
      <c r="C116" s="44"/>
      <c r="D116" s="43" t="str">
        <f t="shared" si="2"/>
        <v xml:space="preserve"> </v>
      </c>
      <c r="E116" s="36"/>
      <c r="F116" s="36"/>
      <c r="G116" s="36"/>
      <c r="H116" s="36"/>
      <c r="I116" s="36"/>
      <c r="J116" s="36"/>
    </row>
    <row r="117" spans="1:10" x14ac:dyDescent="0.2">
      <c r="A117" s="36"/>
      <c r="B117" s="44"/>
      <c r="C117" s="44"/>
      <c r="D117" s="43" t="str">
        <f t="shared" si="2"/>
        <v xml:space="preserve"> </v>
      </c>
      <c r="E117" s="36"/>
      <c r="F117" s="36"/>
      <c r="G117" s="36"/>
      <c r="H117" s="36"/>
      <c r="I117" s="36"/>
      <c r="J117" s="36"/>
    </row>
    <row r="118" spans="1:10" x14ac:dyDescent="0.2">
      <c r="A118" s="36"/>
      <c r="B118" s="44"/>
      <c r="C118" s="44"/>
      <c r="D118" s="43" t="str">
        <f t="shared" si="2"/>
        <v xml:space="preserve"> </v>
      </c>
      <c r="E118" s="36"/>
      <c r="F118" s="36"/>
      <c r="G118" s="36"/>
      <c r="H118" s="36"/>
      <c r="I118" s="36"/>
      <c r="J118" s="36"/>
    </row>
    <row r="119" spans="1:10" x14ac:dyDescent="0.2">
      <c r="A119" s="36"/>
      <c r="B119" s="44"/>
      <c r="C119" s="44"/>
      <c r="D119" s="43" t="str">
        <f t="shared" si="2"/>
        <v xml:space="preserve"> </v>
      </c>
      <c r="E119" s="36"/>
      <c r="F119" s="36"/>
      <c r="G119" s="36"/>
      <c r="H119" s="36"/>
      <c r="I119" s="36"/>
      <c r="J119" s="36"/>
    </row>
    <row r="120" spans="1:10" x14ac:dyDescent="0.2">
      <c r="A120" s="36"/>
      <c r="B120" s="44"/>
      <c r="C120" s="44"/>
      <c r="D120" s="43" t="str">
        <f t="shared" si="2"/>
        <v xml:space="preserve"> </v>
      </c>
      <c r="E120" s="36"/>
      <c r="F120" s="36"/>
      <c r="G120" s="36"/>
      <c r="H120" s="36"/>
      <c r="I120" s="36"/>
      <c r="J120" s="36"/>
    </row>
    <row r="121" spans="1:10" x14ac:dyDescent="0.2">
      <c r="A121" s="36"/>
      <c r="B121" s="44"/>
      <c r="C121" s="44"/>
      <c r="D121" s="43" t="str">
        <f t="shared" si="2"/>
        <v xml:space="preserve"> </v>
      </c>
      <c r="E121" s="36"/>
      <c r="F121" s="36"/>
      <c r="G121" s="36"/>
      <c r="H121" s="36"/>
      <c r="I121" s="36"/>
      <c r="J121" s="36"/>
    </row>
    <row r="122" spans="1:10" x14ac:dyDescent="0.2">
      <c r="A122" s="36"/>
      <c r="B122" s="44"/>
      <c r="C122" s="44"/>
      <c r="D122" s="43" t="str">
        <f t="shared" si="2"/>
        <v xml:space="preserve"> </v>
      </c>
      <c r="E122" s="36"/>
      <c r="F122" s="36"/>
      <c r="G122" s="36"/>
      <c r="H122" s="36"/>
      <c r="I122" s="36"/>
      <c r="J122" s="36"/>
    </row>
    <row r="123" spans="1:10" x14ac:dyDescent="0.2">
      <c r="A123" s="36"/>
      <c r="B123" s="44"/>
      <c r="C123" s="44"/>
      <c r="D123" s="43" t="str">
        <f t="shared" si="2"/>
        <v xml:space="preserve"> </v>
      </c>
      <c r="E123" s="36"/>
      <c r="F123" s="36"/>
      <c r="G123" s="36"/>
      <c r="H123" s="36"/>
      <c r="I123" s="36"/>
      <c r="J123" s="36"/>
    </row>
    <row r="124" spans="1:10" x14ac:dyDescent="0.2">
      <c r="A124" s="36"/>
      <c r="B124" s="44"/>
      <c r="C124" s="44"/>
      <c r="D124" s="43" t="str">
        <f t="shared" si="2"/>
        <v xml:space="preserve"> </v>
      </c>
      <c r="E124" s="36"/>
      <c r="F124" s="36"/>
      <c r="G124" s="36"/>
      <c r="H124" s="36"/>
      <c r="I124" s="36"/>
      <c r="J124" s="36"/>
    </row>
    <row r="125" spans="1:10" x14ac:dyDescent="0.2">
      <c r="A125" s="36"/>
      <c r="B125" s="44"/>
      <c r="C125" s="44"/>
      <c r="D125" s="43" t="str">
        <f t="shared" si="2"/>
        <v xml:space="preserve"> </v>
      </c>
      <c r="E125" s="36"/>
      <c r="F125" s="36"/>
      <c r="G125" s="36"/>
      <c r="H125" s="36"/>
      <c r="I125" s="36"/>
      <c r="J125" s="36"/>
    </row>
    <row r="126" spans="1:10" x14ac:dyDescent="0.2">
      <c r="A126" s="36"/>
      <c r="B126" s="44"/>
      <c r="C126" s="44"/>
      <c r="D126" s="43" t="str">
        <f t="shared" si="2"/>
        <v xml:space="preserve"> </v>
      </c>
      <c r="E126" s="36"/>
      <c r="F126" s="36"/>
      <c r="G126" s="36"/>
      <c r="H126" s="36"/>
      <c r="I126" s="36"/>
      <c r="J126" s="36"/>
    </row>
    <row r="127" spans="1:10" x14ac:dyDescent="0.2">
      <c r="A127" s="36"/>
      <c r="B127" s="44"/>
      <c r="C127" s="44"/>
      <c r="D127" s="43" t="str">
        <f t="shared" si="2"/>
        <v xml:space="preserve"> </v>
      </c>
      <c r="E127" s="36"/>
      <c r="F127" s="36"/>
      <c r="G127" s="36"/>
      <c r="H127" s="36"/>
      <c r="I127" s="36"/>
      <c r="J127" s="36"/>
    </row>
    <row r="128" spans="1:10" x14ac:dyDescent="0.2">
      <c r="A128" s="36"/>
      <c r="B128" s="44"/>
      <c r="C128" s="44"/>
      <c r="D128" s="43" t="str">
        <f t="shared" si="2"/>
        <v xml:space="preserve"> </v>
      </c>
      <c r="E128" s="36"/>
      <c r="F128" s="36"/>
      <c r="G128" s="36"/>
      <c r="H128" s="36"/>
      <c r="I128" s="36"/>
      <c r="J128" s="36"/>
    </row>
    <row r="129" spans="1:10" x14ac:dyDescent="0.2">
      <c r="A129" s="36"/>
      <c r="B129" s="44"/>
      <c r="C129" s="44"/>
      <c r="D129" s="43" t="str">
        <f t="shared" si="2"/>
        <v xml:space="preserve"> </v>
      </c>
      <c r="E129" s="36"/>
      <c r="F129" s="36"/>
      <c r="G129" s="36"/>
      <c r="H129" s="36"/>
      <c r="I129" s="36"/>
      <c r="J129" s="36"/>
    </row>
    <row r="130" spans="1:10" x14ac:dyDescent="0.2">
      <c r="A130" s="36"/>
      <c r="B130" s="44"/>
      <c r="C130" s="44"/>
      <c r="D130" s="43" t="str">
        <f t="shared" si="2"/>
        <v xml:space="preserve"> </v>
      </c>
      <c r="E130" s="36"/>
      <c r="F130" s="36"/>
      <c r="G130" s="36"/>
      <c r="H130" s="36"/>
      <c r="I130" s="36"/>
      <c r="J130" s="36"/>
    </row>
    <row r="131" spans="1:10" x14ac:dyDescent="0.2">
      <c r="A131" s="36"/>
      <c r="B131" s="44"/>
      <c r="C131" s="44"/>
      <c r="D131" s="43" t="str">
        <f t="shared" si="2"/>
        <v xml:space="preserve"> </v>
      </c>
      <c r="E131" s="36"/>
      <c r="F131" s="36"/>
      <c r="G131" s="36"/>
      <c r="H131" s="36"/>
      <c r="I131" s="36"/>
      <c r="J131" s="36"/>
    </row>
    <row r="132" spans="1:10" x14ac:dyDescent="0.2">
      <c r="A132" s="36"/>
      <c r="B132" s="44"/>
      <c r="C132" s="44"/>
      <c r="D132" s="43" t="str">
        <f t="shared" si="2"/>
        <v xml:space="preserve"> </v>
      </c>
      <c r="E132" s="36"/>
      <c r="F132" s="36"/>
      <c r="G132" s="36"/>
      <c r="H132" s="36"/>
      <c r="I132" s="36"/>
      <c r="J132" s="36"/>
    </row>
    <row r="133" spans="1:10" x14ac:dyDescent="0.2">
      <c r="A133" s="36"/>
      <c r="B133" s="44"/>
      <c r="C133" s="44"/>
      <c r="D133" s="43" t="str">
        <f t="shared" si="2"/>
        <v xml:space="preserve"> </v>
      </c>
      <c r="E133" s="36"/>
      <c r="F133" s="36"/>
      <c r="G133" s="36"/>
      <c r="H133" s="36"/>
      <c r="I133" s="36"/>
      <c r="J133" s="36"/>
    </row>
    <row r="134" spans="1:10" x14ac:dyDescent="0.2">
      <c r="A134" s="36"/>
      <c r="B134" s="44"/>
      <c r="C134" s="44"/>
      <c r="D134" s="43" t="str">
        <f t="shared" si="2"/>
        <v xml:space="preserve"> </v>
      </c>
      <c r="E134" s="36"/>
      <c r="F134" s="36"/>
      <c r="G134" s="36"/>
      <c r="H134" s="36"/>
      <c r="I134" s="36"/>
      <c r="J134" s="36"/>
    </row>
    <row r="135" spans="1:10" x14ac:dyDescent="0.2">
      <c r="A135" s="36"/>
      <c r="B135" s="44"/>
      <c r="C135" s="44"/>
      <c r="D135" s="43" t="str">
        <f t="shared" si="2"/>
        <v xml:space="preserve"> </v>
      </c>
      <c r="E135" s="36"/>
      <c r="F135" s="36"/>
      <c r="G135" s="36"/>
      <c r="H135" s="36"/>
      <c r="I135" s="36"/>
      <c r="J135" s="36"/>
    </row>
    <row r="136" spans="1:10" x14ac:dyDescent="0.2">
      <c r="A136" s="36"/>
      <c r="B136" s="44"/>
      <c r="C136" s="44"/>
      <c r="D136" s="43" t="str">
        <f t="shared" si="2"/>
        <v xml:space="preserve"> </v>
      </c>
      <c r="E136" s="36"/>
      <c r="F136" s="36"/>
      <c r="G136" s="36"/>
      <c r="H136" s="36"/>
      <c r="I136" s="36"/>
      <c r="J136" s="36"/>
    </row>
    <row r="137" spans="1:10" x14ac:dyDescent="0.2">
      <c r="A137" s="36"/>
      <c r="B137" s="44"/>
      <c r="C137" s="44"/>
      <c r="D137" s="43" t="str">
        <f t="shared" si="2"/>
        <v xml:space="preserve"> </v>
      </c>
      <c r="E137" s="36"/>
      <c r="F137" s="36"/>
      <c r="G137" s="36"/>
      <c r="H137" s="36"/>
      <c r="I137" s="36"/>
      <c r="J137" s="36"/>
    </row>
    <row r="138" spans="1:10" x14ac:dyDescent="0.2">
      <c r="A138" s="36"/>
      <c r="B138" s="44"/>
      <c r="C138" s="44"/>
      <c r="D138" s="43" t="str">
        <f t="shared" si="2"/>
        <v xml:space="preserve"> </v>
      </c>
      <c r="E138" s="36"/>
      <c r="F138" s="36"/>
      <c r="G138" s="36"/>
      <c r="H138" s="36"/>
      <c r="I138" s="36"/>
      <c r="J138" s="36"/>
    </row>
    <row r="139" spans="1:10" x14ac:dyDescent="0.2">
      <c r="A139" s="36"/>
      <c r="B139" s="44"/>
      <c r="C139" s="44"/>
      <c r="D139" s="43" t="str">
        <f t="shared" si="2"/>
        <v xml:space="preserve"> </v>
      </c>
      <c r="E139" s="36"/>
      <c r="F139" s="36"/>
      <c r="G139" s="36"/>
      <c r="H139" s="36"/>
      <c r="I139" s="36"/>
      <c r="J139" s="36"/>
    </row>
    <row r="140" spans="1:10" x14ac:dyDescent="0.2">
      <c r="A140" s="36"/>
      <c r="B140" s="44"/>
      <c r="C140" s="44"/>
      <c r="D140" s="43" t="str">
        <f t="shared" si="2"/>
        <v xml:space="preserve"> </v>
      </c>
      <c r="E140" s="36"/>
      <c r="F140" s="36"/>
      <c r="G140" s="36"/>
      <c r="H140" s="36"/>
      <c r="I140" s="36"/>
      <c r="J140" s="36"/>
    </row>
    <row r="141" spans="1:10" x14ac:dyDescent="0.2">
      <c r="A141" s="36"/>
      <c r="B141" s="44"/>
      <c r="C141" s="44"/>
      <c r="D141" s="43" t="str">
        <f t="shared" si="2"/>
        <v xml:space="preserve"> </v>
      </c>
      <c r="E141" s="36"/>
      <c r="F141" s="36"/>
      <c r="G141" s="36"/>
      <c r="H141" s="36"/>
      <c r="I141" s="36"/>
      <c r="J141" s="36"/>
    </row>
    <row r="142" spans="1:10" x14ac:dyDescent="0.2">
      <c r="A142" s="36"/>
      <c r="B142" s="44"/>
      <c r="C142" s="44"/>
      <c r="D142" s="43" t="str">
        <f t="shared" si="2"/>
        <v xml:space="preserve"> </v>
      </c>
      <c r="E142" s="36"/>
      <c r="F142" s="36"/>
      <c r="G142" s="36"/>
      <c r="H142" s="36"/>
      <c r="I142" s="36"/>
      <c r="J142" s="36"/>
    </row>
    <row r="143" spans="1:10" x14ac:dyDescent="0.2">
      <c r="A143" s="36"/>
      <c r="B143" s="44"/>
      <c r="C143" s="44"/>
      <c r="D143" s="43" t="str">
        <f t="shared" si="2"/>
        <v xml:space="preserve"> </v>
      </c>
      <c r="E143" s="36"/>
      <c r="F143" s="36"/>
      <c r="G143" s="36"/>
      <c r="H143" s="36"/>
      <c r="I143" s="36"/>
      <c r="J143" s="36"/>
    </row>
    <row r="144" spans="1:10" x14ac:dyDescent="0.2">
      <c r="A144" s="36"/>
      <c r="B144" s="44"/>
      <c r="C144" s="44"/>
      <c r="D144" s="43" t="str">
        <f t="shared" si="2"/>
        <v xml:space="preserve"> </v>
      </c>
      <c r="E144" s="36"/>
      <c r="F144" s="36"/>
      <c r="G144" s="36"/>
      <c r="H144" s="36"/>
      <c r="I144" s="36"/>
      <c r="J144" s="36"/>
    </row>
    <row r="145" spans="1:10" x14ac:dyDescent="0.2">
      <c r="A145" s="36"/>
      <c r="B145" s="44"/>
      <c r="C145" s="44"/>
      <c r="D145" s="43" t="str">
        <f t="shared" si="2"/>
        <v xml:space="preserve"> </v>
      </c>
      <c r="E145" s="36"/>
      <c r="F145" s="36"/>
      <c r="G145" s="36"/>
      <c r="H145" s="36"/>
      <c r="I145" s="36"/>
      <c r="J145" s="36"/>
    </row>
    <row r="146" spans="1:10" x14ac:dyDescent="0.2">
      <c r="A146" s="36"/>
      <c r="B146" s="44"/>
      <c r="C146" s="44"/>
      <c r="D146" s="43" t="str">
        <f t="shared" si="2"/>
        <v xml:space="preserve"> </v>
      </c>
      <c r="E146" s="36"/>
      <c r="F146" s="36"/>
      <c r="G146" s="36"/>
      <c r="H146" s="36"/>
      <c r="I146" s="36"/>
      <c r="J146" s="36"/>
    </row>
    <row r="147" spans="1:10" x14ac:dyDescent="0.2">
      <c r="A147" s="36"/>
      <c r="B147" s="44"/>
      <c r="C147" s="44"/>
      <c r="D147" s="43" t="str">
        <f t="shared" si="2"/>
        <v xml:space="preserve"> </v>
      </c>
      <c r="E147" s="36"/>
      <c r="F147" s="36"/>
      <c r="G147" s="36"/>
      <c r="H147" s="36"/>
      <c r="I147" s="36"/>
      <c r="J147" s="36"/>
    </row>
    <row r="148" spans="1:10" x14ac:dyDescent="0.2">
      <c r="A148" s="36"/>
      <c r="B148" s="44"/>
      <c r="C148" s="44"/>
      <c r="D148" s="43" t="str">
        <f t="shared" si="2"/>
        <v xml:space="preserve"> </v>
      </c>
      <c r="E148" s="36"/>
      <c r="F148" s="36"/>
      <c r="G148" s="36"/>
      <c r="H148" s="36"/>
      <c r="I148" s="36"/>
      <c r="J148" s="36"/>
    </row>
    <row r="149" spans="1:10" x14ac:dyDescent="0.2">
      <c r="A149" s="36"/>
      <c r="B149" s="44"/>
      <c r="C149" s="44"/>
      <c r="D149" s="43" t="str">
        <f t="shared" si="2"/>
        <v xml:space="preserve"> </v>
      </c>
      <c r="E149" s="36"/>
      <c r="F149" s="36"/>
      <c r="G149" s="36"/>
      <c r="H149" s="36"/>
      <c r="I149" s="36"/>
      <c r="J149" s="36"/>
    </row>
    <row r="150" spans="1:10" x14ac:dyDescent="0.2">
      <c r="A150" s="36"/>
      <c r="B150" s="44"/>
      <c r="C150" s="44"/>
      <c r="D150" s="43" t="str">
        <f t="shared" si="2"/>
        <v xml:space="preserve"> </v>
      </c>
      <c r="E150" s="36"/>
      <c r="F150" s="36"/>
      <c r="G150" s="36"/>
      <c r="H150" s="36"/>
      <c r="I150" s="36"/>
      <c r="J150" s="36"/>
    </row>
    <row r="151" spans="1:10" x14ac:dyDescent="0.2">
      <c r="A151" s="36"/>
      <c r="B151" s="44"/>
      <c r="C151" s="44"/>
      <c r="D151" s="43" t="str">
        <f t="shared" si="2"/>
        <v xml:space="preserve"> </v>
      </c>
      <c r="E151" s="36"/>
      <c r="F151" s="36"/>
      <c r="G151" s="36"/>
      <c r="H151" s="36"/>
      <c r="I151" s="36"/>
      <c r="J151" s="36"/>
    </row>
    <row r="152" spans="1:10" x14ac:dyDescent="0.2">
      <c r="A152" s="36"/>
      <c r="B152" s="44"/>
      <c r="C152" s="44"/>
      <c r="D152" s="43" t="str">
        <f t="shared" si="2"/>
        <v xml:space="preserve"> </v>
      </c>
      <c r="E152" s="36"/>
      <c r="F152" s="36"/>
      <c r="G152" s="36"/>
      <c r="H152" s="36"/>
      <c r="I152" s="36"/>
      <c r="J152" s="36"/>
    </row>
    <row r="153" spans="1:10" x14ac:dyDescent="0.2">
      <c r="A153" s="36"/>
      <c r="B153" s="44"/>
      <c r="C153" s="44"/>
      <c r="D153" s="43" t="str">
        <f t="shared" si="2"/>
        <v xml:space="preserve"> </v>
      </c>
      <c r="E153" s="36"/>
      <c r="F153" s="36"/>
      <c r="G153" s="36"/>
      <c r="H153" s="36"/>
      <c r="I153" s="36"/>
      <c r="J153" s="36"/>
    </row>
    <row r="154" spans="1:10" x14ac:dyDescent="0.2">
      <c r="A154" s="36"/>
      <c r="B154" s="44"/>
      <c r="C154" s="44"/>
      <c r="D154" s="43" t="str">
        <f t="shared" si="2"/>
        <v xml:space="preserve"> </v>
      </c>
      <c r="E154" s="36"/>
      <c r="F154" s="36"/>
      <c r="G154" s="36"/>
      <c r="H154" s="36"/>
      <c r="I154" s="36"/>
      <c r="J154" s="36"/>
    </row>
    <row r="155" spans="1:10" x14ac:dyDescent="0.2">
      <c r="A155" s="36"/>
      <c r="B155" s="44"/>
      <c r="C155" s="44"/>
      <c r="D155" s="43" t="str">
        <f t="shared" si="2"/>
        <v xml:space="preserve"> </v>
      </c>
      <c r="E155" s="36"/>
      <c r="F155" s="36"/>
      <c r="G155" s="36"/>
      <c r="H155" s="36"/>
      <c r="I155" s="36"/>
      <c r="J155" s="36"/>
    </row>
    <row r="156" spans="1:10" x14ac:dyDescent="0.2">
      <c r="A156" s="36"/>
      <c r="B156" s="44"/>
      <c r="C156" s="44"/>
      <c r="D156" s="43" t="str">
        <f t="shared" si="2"/>
        <v xml:space="preserve"> </v>
      </c>
      <c r="E156" s="36"/>
      <c r="F156" s="36"/>
      <c r="G156" s="36"/>
      <c r="H156" s="36"/>
      <c r="I156" s="36"/>
      <c r="J156" s="36"/>
    </row>
    <row r="157" spans="1:10" x14ac:dyDescent="0.2">
      <c r="A157" s="36"/>
      <c r="B157" s="44"/>
      <c r="C157" s="44"/>
      <c r="D157" s="43" t="str">
        <f t="shared" si="2"/>
        <v xml:space="preserve"> </v>
      </c>
      <c r="E157" s="36"/>
      <c r="F157" s="36"/>
      <c r="G157" s="36"/>
      <c r="H157" s="36"/>
      <c r="I157" s="36"/>
      <c r="J157" s="36"/>
    </row>
    <row r="158" spans="1:10" x14ac:dyDescent="0.2">
      <c r="A158" s="36"/>
      <c r="B158" s="44"/>
      <c r="C158" s="44"/>
      <c r="D158" s="43" t="str">
        <f t="shared" ref="D158:D221" si="3">IF(C158=""," ",(VLOOKUP(C158,$H$28:$I$32,2,FALSE))*$E$36)</f>
        <v xml:space="preserve"> </v>
      </c>
      <c r="E158" s="36"/>
      <c r="F158" s="36"/>
      <c r="G158" s="36"/>
      <c r="H158" s="36"/>
      <c r="I158" s="36"/>
      <c r="J158" s="36"/>
    </row>
    <row r="159" spans="1:10" x14ac:dyDescent="0.2">
      <c r="A159" s="36"/>
      <c r="B159" s="44"/>
      <c r="C159" s="44"/>
      <c r="D159" s="43" t="str">
        <f t="shared" si="3"/>
        <v xml:space="preserve"> </v>
      </c>
      <c r="E159" s="36"/>
      <c r="F159" s="36"/>
      <c r="G159" s="36"/>
      <c r="H159" s="36"/>
      <c r="I159" s="36"/>
      <c r="J159" s="36"/>
    </row>
    <row r="160" spans="1:10" x14ac:dyDescent="0.2">
      <c r="A160" s="36"/>
      <c r="B160" s="44"/>
      <c r="C160" s="44"/>
      <c r="D160" s="43" t="str">
        <f t="shared" si="3"/>
        <v xml:space="preserve"> </v>
      </c>
      <c r="E160" s="36"/>
      <c r="F160" s="36"/>
      <c r="G160" s="36"/>
      <c r="H160" s="36"/>
      <c r="I160" s="36"/>
      <c r="J160" s="36"/>
    </row>
    <row r="161" spans="1:10" x14ac:dyDescent="0.2">
      <c r="A161" s="36"/>
      <c r="B161" s="44"/>
      <c r="C161" s="44"/>
      <c r="D161" s="43" t="str">
        <f t="shared" si="3"/>
        <v xml:space="preserve"> </v>
      </c>
      <c r="E161" s="36"/>
      <c r="F161" s="36"/>
      <c r="G161" s="36"/>
      <c r="H161" s="36"/>
      <c r="I161" s="36"/>
      <c r="J161" s="36"/>
    </row>
    <row r="162" spans="1:10" x14ac:dyDescent="0.2">
      <c r="A162" s="36"/>
      <c r="B162" s="44"/>
      <c r="C162" s="44"/>
      <c r="D162" s="43" t="str">
        <f t="shared" si="3"/>
        <v xml:space="preserve"> </v>
      </c>
      <c r="E162" s="36"/>
      <c r="F162" s="36"/>
      <c r="G162" s="36"/>
      <c r="H162" s="36"/>
      <c r="I162" s="36"/>
      <c r="J162" s="36"/>
    </row>
    <row r="163" spans="1:10" x14ac:dyDescent="0.2">
      <c r="A163" s="36"/>
      <c r="B163" s="44"/>
      <c r="C163" s="44"/>
      <c r="D163" s="43" t="str">
        <f t="shared" si="3"/>
        <v xml:space="preserve"> </v>
      </c>
      <c r="E163" s="36"/>
      <c r="F163" s="36"/>
      <c r="G163" s="36"/>
      <c r="H163" s="36"/>
      <c r="I163" s="36"/>
      <c r="J163" s="36"/>
    </row>
    <row r="164" spans="1:10" x14ac:dyDescent="0.2">
      <c r="A164" s="36"/>
      <c r="B164" s="44"/>
      <c r="C164" s="44"/>
      <c r="D164" s="43" t="str">
        <f t="shared" si="3"/>
        <v xml:space="preserve"> </v>
      </c>
      <c r="E164" s="36"/>
      <c r="F164" s="36"/>
      <c r="G164" s="36"/>
      <c r="H164" s="36"/>
      <c r="I164" s="36"/>
      <c r="J164" s="36"/>
    </row>
    <row r="165" spans="1:10" x14ac:dyDescent="0.2">
      <c r="A165" s="36"/>
      <c r="B165" s="44"/>
      <c r="C165" s="44"/>
      <c r="D165" s="43" t="str">
        <f t="shared" si="3"/>
        <v xml:space="preserve"> </v>
      </c>
      <c r="E165" s="36"/>
      <c r="F165" s="36"/>
      <c r="G165" s="36"/>
      <c r="H165" s="36"/>
      <c r="I165" s="36"/>
      <c r="J165" s="36"/>
    </row>
    <row r="166" spans="1:10" x14ac:dyDescent="0.2">
      <c r="A166" s="36"/>
      <c r="B166" s="44"/>
      <c r="C166" s="44"/>
      <c r="D166" s="43" t="str">
        <f t="shared" si="3"/>
        <v xml:space="preserve"> </v>
      </c>
      <c r="E166" s="36"/>
      <c r="F166" s="36"/>
      <c r="G166" s="36"/>
      <c r="H166" s="36"/>
      <c r="I166" s="36"/>
      <c r="J166" s="36"/>
    </row>
    <row r="167" spans="1:10" x14ac:dyDescent="0.2">
      <c r="A167" s="36"/>
      <c r="B167" s="44"/>
      <c r="C167" s="44"/>
      <c r="D167" s="43" t="str">
        <f t="shared" si="3"/>
        <v xml:space="preserve"> </v>
      </c>
      <c r="E167" s="36"/>
      <c r="F167" s="36"/>
      <c r="G167" s="36"/>
      <c r="H167" s="36"/>
      <c r="I167" s="36"/>
      <c r="J167" s="36"/>
    </row>
    <row r="168" spans="1:10" x14ac:dyDescent="0.2">
      <c r="A168" s="36"/>
      <c r="B168" s="44"/>
      <c r="C168" s="44"/>
      <c r="D168" s="43" t="str">
        <f t="shared" si="3"/>
        <v xml:space="preserve"> </v>
      </c>
      <c r="E168" s="36"/>
      <c r="F168" s="36"/>
      <c r="G168" s="36"/>
      <c r="H168" s="36"/>
      <c r="I168" s="36"/>
      <c r="J168" s="36"/>
    </row>
    <row r="169" spans="1:10" x14ac:dyDescent="0.2">
      <c r="A169" s="36"/>
      <c r="B169" s="44"/>
      <c r="C169" s="44"/>
      <c r="D169" s="43" t="str">
        <f t="shared" si="3"/>
        <v xml:space="preserve"> </v>
      </c>
      <c r="E169" s="36"/>
      <c r="F169" s="36"/>
      <c r="G169" s="36"/>
      <c r="H169" s="36"/>
      <c r="I169" s="36"/>
      <c r="J169" s="36"/>
    </row>
    <row r="170" spans="1:10" x14ac:dyDescent="0.2">
      <c r="A170" s="36"/>
      <c r="B170" s="44"/>
      <c r="C170" s="44"/>
      <c r="D170" s="43" t="str">
        <f t="shared" si="3"/>
        <v xml:space="preserve"> </v>
      </c>
      <c r="E170" s="36"/>
      <c r="F170" s="36"/>
      <c r="G170" s="36"/>
      <c r="H170" s="36"/>
      <c r="I170" s="36"/>
      <c r="J170" s="36"/>
    </row>
    <row r="171" spans="1:10" x14ac:dyDescent="0.2">
      <c r="A171" s="36"/>
      <c r="B171" s="44"/>
      <c r="C171" s="44"/>
      <c r="D171" s="43" t="str">
        <f t="shared" si="3"/>
        <v xml:space="preserve"> </v>
      </c>
      <c r="E171" s="36"/>
      <c r="F171" s="36"/>
      <c r="G171" s="36"/>
      <c r="H171" s="36"/>
      <c r="I171" s="36"/>
      <c r="J171" s="36"/>
    </row>
    <row r="172" spans="1:10" x14ac:dyDescent="0.2">
      <c r="A172" s="36"/>
      <c r="B172" s="44"/>
      <c r="C172" s="44"/>
      <c r="D172" s="43" t="str">
        <f t="shared" si="3"/>
        <v xml:space="preserve"> </v>
      </c>
      <c r="E172" s="36"/>
      <c r="F172" s="36"/>
      <c r="G172" s="36"/>
      <c r="H172" s="36"/>
      <c r="I172" s="36"/>
      <c r="J172" s="36"/>
    </row>
    <row r="173" spans="1:10" x14ac:dyDescent="0.2">
      <c r="A173" s="36"/>
      <c r="B173" s="44"/>
      <c r="C173" s="44"/>
      <c r="D173" s="43" t="str">
        <f t="shared" si="3"/>
        <v xml:space="preserve"> </v>
      </c>
      <c r="E173" s="36"/>
      <c r="F173" s="36"/>
      <c r="G173" s="36"/>
      <c r="H173" s="36"/>
      <c r="I173" s="36"/>
      <c r="J173" s="36"/>
    </row>
    <row r="174" spans="1:10" x14ac:dyDescent="0.2">
      <c r="A174" s="36"/>
      <c r="B174" s="44"/>
      <c r="C174" s="44"/>
      <c r="D174" s="43" t="str">
        <f t="shared" si="3"/>
        <v xml:space="preserve"> </v>
      </c>
      <c r="E174" s="36"/>
      <c r="F174" s="36"/>
      <c r="G174" s="36"/>
      <c r="H174" s="36"/>
      <c r="I174" s="36"/>
      <c r="J174" s="36"/>
    </row>
    <row r="175" spans="1:10" x14ac:dyDescent="0.2">
      <c r="A175" s="36"/>
      <c r="B175" s="44"/>
      <c r="C175" s="44"/>
      <c r="D175" s="43" t="str">
        <f t="shared" si="3"/>
        <v xml:space="preserve"> </v>
      </c>
      <c r="E175" s="36"/>
      <c r="F175" s="36"/>
      <c r="G175" s="36"/>
      <c r="H175" s="36"/>
      <c r="I175" s="36"/>
      <c r="J175" s="36"/>
    </row>
    <row r="176" spans="1:10" x14ac:dyDescent="0.2">
      <c r="A176" s="36"/>
      <c r="B176" s="44"/>
      <c r="C176" s="44"/>
      <c r="D176" s="43" t="str">
        <f t="shared" si="3"/>
        <v xml:space="preserve"> </v>
      </c>
      <c r="E176" s="36"/>
      <c r="F176" s="36"/>
      <c r="G176" s="36"/>
      <c r="H176" s="36"/>
      <c r="I176" s="36"/>
      <c r="J176" s="36"/>
    </row>
    <row r="177" spans="1:10" x14ac:dyDescent="0.2">
      <c r="A177" s="36"/>
      <c r="B177" s="44"/>
      <c r="C177" s="44"/>
      <c r="D177" s="43" t="str">
        <f t="shared" si="3"/>
        <v xml:space="preserve"> </v>
      </c>
      <c r="E177" s="36"/>
      <c r="F177" s="36"/>
      <c r="G177" s="36"/>
      <c r="H177" s="36"/>
      <c r="I177" s="36"/>
      <c r="J177" s="36"/>
    </row>
    <row r="178" spans="1:10" x14ac:dyDescent="0.2">
      <c r="A178" s="36"/>
      <c r="B178" s="44"/>
      <c r="C178" s="44"/>
      <c r="D178" s="43" t="str">
        <f t="shared" si="3"/>
        <v xml:space="preserve"> </v>
      </c>
      <c r="E178" s="36"/>
      <c r="F178" s="36"/>
      <c r="G178" s="36"/>
      <c r="H178" s="36"/>
      <c r="I178" s="36"/>
      <c r="J178" s="36"/>
    </row>
    <row r="179" spans="1:10" x14ac:dyDescent="0.2">
      <c r="A179" s="36"/>
      <c r="B179" s="44"/>
      <c r="C179" s="44"/>
      <c r="D179" s="43" t="str">
        <f t="shared" si="3"/>
        <v xml:space="preserve"> </v>
      </c>
      <c r="E179" s="36"/>
      <c r="F179" s="36"/>
      <c r="G179" s="36"/>
      <c r="H179" s="36"/>
      <c r="I179" s="36"/>
      <c r="J179" s="36"/>
    </row>
    <row r="180" spans="1:10" x14ac:dyDescent="0.2">
      <c r="A180" s="36"/>
      <c r="B180" s="44"/>
      <c r="C180" s="44"/>
      <c r="D180" s="43" t="str">
        <f t="shared" si="3"/>
        <v xml:space="preserve"> </v>
      </c>
      <c r="E180" s="36"/>
      <c r="F180" s="36"/>
      <c r="G180" s="36"/>
      <c r="H180" s="36"/>
      <c r="I180" s="36"/>
      <c r="J180" s="36"/>
    </row>
    <row r="181" spans="1:10" x14ac:dyDescent="0.2">
      <c r="A181" s="36"/>
      <c r="B181" s="44"/>
      <c r="C181" s="44"/>
      <c r="D181" s="43" t="str">
        <f t="shared" si="3"/>
        <v xml:space="preserve"> </v>
      </c>
      <c r="E181" s="36"/>
      <c r="F181" s="36"/>
      <c r="G181" s="36"/>
      <c r="H181" s="36"/>
      <c r="I181" s="36"/>
      <c r="J181" s="36"/>
    </row>
    <row r="182" spans="1:10" x14ac:dyDescent="0.2">
      <c r="A182" s="36"/>
      <c r="B182" s="44"/>
      <c r="C182" s="44"/>
      <c r="D182" s="43" t="str">
        <f t="shared" si="3"/>
        <v xml:space="preserve"> </v>
      </c>
      <c r="E182" s="36"/>
      <c r="F182" s="36"/>
      <c r="G182" s="36"/>
      <c r="H182" s="36"/>
      <c r="I182" s="36"/>
      <c r="J182" s="36"/>
    </row>
    <row r="183" spans="1:10" x14ac:dyDescent="0.2">
      <c r="A183" s="36"/>
      <c r="B183" s="44"/>
      <c r="C183" s="44"/>
      <c r="D183" s="43" t="str">
        <f t="shared" si="3"/>
        <v xml:space="preserve"> </v>
      </c>
      <c r="E183" s="36"/>
      <c r="F183" s="36"/>
      <c r="G183" s="36"/>
      <c r="H183" s="36"/>
      <c r="I183" s="36"/>
      <c r="J183" s="36"/>
    </row>
    <row r="184" spans="1:10" x14ac:dyDescent="0.2">
      <c r="A184" s="36"/>
      <c r="B184" s="44"/>
      <c r="C184" s="44"/>
      <c r="D184" s="43" t="str">
        <f t="shared" si="3"/>
        <v xml:space="preserve"> </v>
      </c>
      <c r="E184" s="36"/>
      <c r="F184" s="36"/>
      <c r="G184" s="36"/>
      <c r="H184" s="36"/>
      <c r="I184" s="36"/>
      <c r="J184" s="36"/>
    </row>
    <row r="185" spans="1:10" x14ac:dyDescent="0.2">
      <c r="A185" s="36"/>
      <c r="B185" s="44"/>
      <c r="C185" s="44"/>
      <c r="D185" s="43" t="str">
        <f t="shared" si="3"/>
        <v xml:space="preserve"> </v>
      </c>
      <c r="E185" s="36"/>
      <c r="F185" s="36"/>
      <c r="G185" s="36"/>
      <c r="H185" s="36"/>
      <c r="I185" s="36"/>
      <c r="J185" s="36"/>
    </row>
    <row r="186" spans="1:10" x14ac:dyDescent="0.2">
      <c r="A186" s="36"/>
      <c r="B186" s="44"/>
      <c r="C186" s="44"/>
      <c r="D186" s="43" t="str">
        <f t="shared" si="3"/>
        <v xml:space="preserve"> </v>
      </c>
      <c r="E186" s="36"/>
      <c r="F186" s="36"/>
      <c r="G186" s="36"/>
      <c r="H186" s="36"/>
      <c r="I186" s="36"/>
      <c r="J186" s="36"/>
    </row>
    <row r="187" spans="1:10" x14ac:dyDescent="0.2">
      <c r="A187" s="36"/>
      <c r="B187" s="44"/>
      <c r="C187" s="44"/>
      <c r="D187" s="43" t="str">
        <f t="shared" si="3"/>
        <v xml:space="preserve"> </v>
      </c>
      <c r="E187" s="36"/>
      <c r="F187" s="36"/>
      <c r="G187" s="36"/>
      <c r="H187" s="36"/>
      <c r="I187" s="36"/>
      <c r="J187" s="36"/>
    </row>
    <row r="188" spans="1:10" x14ac:dyDescent="0.2">
      <c r="A188" s="36"/>
      <c r="B188" s="44"/>
      <c r="C188" s="44"/>
      <c r="D188" s="43" t="str">
        <f t="shared" si="3"/>
        <v xml:space="preserve"> </v>
      </c>
      <c r="E188" s="36"/>
      <c r="F188" s="36"/>
      <c r="G188" s="36"/>
      <c r="H188" s="36"/>
      <c r="I188" s="36"/>
      <c r="J188" s="36"/>
    </row>
    <row r="189" spans="1:10" x14ac:dyDescent="0.2">
      <c r="A189" s="36"/>
      <c r="B189" s="44"/>
      <c r="C189" s="44"/>
      <c r="D189" s="43" t="str">
        <f t="shared" si="3"/>
        <v xml:space="preserve"> </v>
      </c>
      <c r="E189" s="36"/>
      <c r="F189" s="36"/>
      <c r="G189" s="36"/>
      <c r="H189" s="36"/>
      <c r="I189" s="36"/>
      <c r="J189" s="36"/>
    </row>
    <row r="190" spans="1:10" x14ac:dyDescent="0.2">
      <c r="A190" s="36"/>
      <c r="B190" s="44"/>
      <c r="C190" s="44"/>
      <c r="D190" s="43" t="str">
        <f t="shared" si="3"/>
        <v xml:space="preserve"> </v>
      </c>
      <c r="E190" s="36"/>
      <c r="F190" s="36"/>
      <c r="G190" s="36"/>
      <c r="H190" s="36"/>
      <c r="I190" s="36"/>
      <c r="J190" s="36"/>
    </row>
    <row r="191" spans="1:10" x14ac:dyDescent="0.2">
      <c r="A191" s="36"/>
      <c r="B191" s="44"/>
      <c r="C191" s="44"/>
      <c r="D191" s="43" t="str">
        <f t="shared" si="3"/>
        <v xml:space="preserve"> </v>
      </c>
      <c r="E191" s="36"/>
      <c r="F191" s="36"/>
      <c r="G191" s="36"/>
      <c r="H191" s="36"/>
      <c r="I191" s="36"/>
      <c r="J191" s="36"/>
    </row>
    <row r="192" spans="1:10" x14ac:dyDescent="0.2">
      <c r="A192" s="36"/>
      <c r="B192" s="44"/>
      <c r="C192" s="44"/>
      <c r="D192" s="43" t="str">
        <f t="shared" si="3"/>
        <v xml:space="preserve"> </v>
      </c>
      <c r="E192" s="36"/>
      <c r="F192" s="36"/>
      <c r="G192" s="36"/>
      <c r="H192" s="36"/>
      <c r="I192" s="36"/>
      <c r="J192" s="36"/>
    </row>
    <row r="193" spans="1:10" x14ac:dyDescent="0.2">
      <c r="A193" s="36"/>
      <c r="B193" s="44"/>
      <c r="C193" s="44"/>
      <c r="D193" s="43" t="str">
        <f t="shared" si="3"/>
        <v xml:space="preserve"> </v>
      </c>
      <c r="E193" s="36"/>
      <c r="F193" s="36"/>
      <c r="G193" s="36"/>
      <c r="H193" s="36"/>
      <c r="I193" s="36"/>
      <c r="J193" s="36"/>
    </row>
    <row r="194" spans="1:10" x14ac:dyDescent="0.2">
      <c r="A194" s="36"/>
      <c r="B194" s="44"/>
      <c r="C194" s="44"/>
      <c r="D194" s="43" t="str">
        <f t="shared" si="3"/>
        <v xml:space="preserve"> </v>
      </c>
      <c r="E194" s="36"/>
      <c r="F194" s="36"/>
      <c r="G194" s="36"/>
      <c r="H194" s="36"/>
      <c r="I194" s="36"/>
      <c r="J194" s="36"/>
    </row>
    <row r="195" spans="1:10" x14ac:dyDescent="0.2">
      <c r="A195" s="36"/>
      <c r="B195" s="44"/>
      <c r="C195" s="44"/>
      <c r="D195" s="43" t="str">
        <f t="shared" si="3"/>
        <v xml:space="preserve"> </v>
      </c>
      <c r="E195" s="36"/>
      <c r="F195" s="36"/>
      <c r="G195" s="36"/>
      <c r="H195" s="36"/>
      <c r="I195" s="36"/>
      <c r="J195" s="36"/>
    </row>
    <row r="196" spans="1:10" x14ac:dyDescent="0.2">
      <c r="A196" s="36"/>
      <c r="B196" s="44"/>
      <c r="C196" s="44"/>
      <c r="D196" s="43" t="str">
        <f t="shared" si="3"/>
        <v xml:space="preserve"> </v>
      </c>
      <c r="E196" s="36"/>
      <c r="F196" s="36"/>
      <c r="G196" s="36"/>
      <c r="H196" s="36"/>
      <c r="I196" s="36"/>
      <c r="J196" s="36"/>
    </row>
    <row r="197" spans="1:10" x14ac:dyDescent="0.2">
      <c r="A197" s="36"/>
      <c r="B197" s="44"/>
      <c r="C197" s="44"/>
      <c r="D197" s="43" t="str">
        <f t="shared" si="3"/>
        <v xml:space="preserve"> </v>
      </c>
      <c r="E197" s="36"/>
      <c r="F197" s="36"/>
      <c r="G197" s="36"/>
      <c r="H197" s="36"/>
      <c r="I197" s="36"/>
      <c r="J197" s="36"/>
    </row>
    <row r="198" spans="1:10" x14ac:dyDescent="0.2">
      <c r="A198" s="36"/>
      <c r="B198" s="44"/>
      <c r="C198" s="44"/>
      <c r="D198" s="43" t="str">
        <f t="shared" si="3"/>
        <v xml:space="preserve"> </v>
      </c>
      <c r="E198" s="36"/>
      <c r="F198" s="36"/>
      <c r="G198" s="36"/>
      <c r="H198" s="36"/>
      <c r="I198" s="36"/>
      <c r="J198" s="36"/>
    </row>
    <row r="199" spans="1:10" x14ac:dyDescent="0.2">
      <c r="A199" s="36"/>
      <c r="B199" s="44"/>
      <c r="C199" s="44"/>
      <c r="D199" s="43" t="str">
        <f t="shared" si="3"/>
        <v xml:space="preserve"> </v>
      </c>
      <c r="E199" s="36"/>
      <c r="F199" s="36"/>
      <c r="G199" s="36"/>
      <c r="H199" s="36"/>
      <c r="I199" s="36"/>
      <c r="J199" s="36"/>
    </row>
    <row r="200" spans="1:10" x14ac:dyDescent="0.2">
      <c r="A200" s="36"/>
      <c r="B200" s="44"/>
      <c r="C200" s="44"/>
      <c r="D200" s="43" t="str">
        <f t="shared" si="3"/>
        <v xml:space="preserve"> </v>
      </c>
      <c r="E200" s="36"/>
      <c r="F200" s="36"/>
      <c r="G200" s="36"/>
      <c r="H200" s="36"/>
      <c r="I200" s="36"/>
      <c r="J200" s="36"/>
    </row>
    <row r="201" spans="1:10" x14ac:dyDescent="0.2">
      <c r="A201" s="36"/>
      <c r="B201" s="44"/>
      <c r="C201" s="44"/>
      <c r="D201" s="43" t="str">
        <f t="shared" si="3"/>
        <v xml:space="preserve"> </v>
      </c>
      <c r="E201" s="36"/>
      <c r="F201" s="36"/>
      <c r="G201" s="36"/>
      <c r="H201" s="36"/>
      <c r="I201" s="36"/>
      <c r="J201" s="36"/>
    </row>
    <row r="202" spans="1:10" x14ac:dyDescent="0.2">
      <c r="A202" s="36"/>
      <c r="B202" s="44"/>
      <c r="C202" s="44"/>
      <c r="D202" s="43" t="str">
        <f t="shared" si="3"/>
        <v xml:space="preserve"> </v>
      </c>
      <c r="E202" s="36"/>
      <c r="F202" s="36"/>
      <c r="G202" s="36"/>
      <c r="H202" s="36"/>
      <c r="I202" s="36"/>
      <c r="J202" s="36"/>
    </row>
    <row r="203" spans="1:10" x14ac:dyDescent="0.2">
      <c r="A203" s="36"/>
      <c r="B203" s="44"/>
      <c r="C203" s="44"/>
      <c r="D203" s="43" t="str">
        <f t="shared" si="3"/>
        <v xml:space="preserve"> </v>
      </c>
      <c r="E203" s="36"/>
      <c r="F203" s="36"/>
      <c r="G203" s="36"/>
      <c r="H203" s="36"/>
      <c r="I203" s="36"/>
      <c r="J203" s="36"/>
    </row>
    <row r="204" spans="1:10" x14ac:dyDescent="0.2">
      <c r="A204" s="36"/>
      <c r="B204" s="44"/>
      <c r="C204" s="44"/>
      <c r="D204" s="43" t="str">
        <f t="shared" si="3"/>
        <v xml:space="preserve"> </v>
      </c>
      <c r="E204" s="36"/>
      <c r="F204" s="36"/>
      <c r="G204" s="36"/>
      <c r="H204" s="36"/>
      <c r="I204" s="36"/>
      <c r="J204" s="36"/>
    </row>
    <row r="205" spans="1:10" x14ac:dyDescent="0.2">
      <c r="A205" s="36"/>
      <c r="B205" s="44"/>
      <c r="C205" s="44"/>
      <c r="D205" s="43" t="str">
        <f t="shared" si="3"/>
        <v xml:space="preserve"> </v>
      </c>
      <c r="E205" s="36"/>
      <c r="F205" s="36"/>
      <c r="G205" s="36"/>
      <c r="H205" s="36"/>
      <c r="I205" s="36"/>
      <c r="J205" s="36"/>
    </row>
    <row r="206" spans="1:10" x14ac:dyDescent="0.2">
      <c r="A206" s="36"/>
      <c r="B206" s="44"/>
      <c r="C206" s="44"/>
      <c r="D206" s="43" t="str">
        <f t="shared" si="3"/>
        <v xml:space="preserve"> </v>
      </c>
      <c r="E206" s="36"/>
      <c r="F206" s="36"/>
      <c r="G206" s="36"/>
      <c r="H206" s="36"/>
      <c r="I206" s="36"/>
      <c r="J206" s="36"/>
    </row>
    <row r="207" spans="1:10" x14ac:dyDescent="0.2">
      <c r="A207" s="36"/>
      <c r="B207" s="44"/>
      <c r="C207" s="44"/>
      <c r="D207" s="43" t="str">
        <f t="shared" si="3"/>
        <v xml:space="preserve"> </v>
      </c>
      <c r="E207" s="36"/>
      <c r="F207" s="36"/>
      <c r="G207" s="36"/>
      <c r="H207" s="36"/>
      <c r="I207" s="36"/>
      <c r="J207" s="36"/>
    </row>
    <row r="208" spans="1:10" x14ac:dyDescent="0.2">
      <c r="A208" s="36"/>
      <c r="B208" s="44"/>
      <c r="C208" s="44"/>
      <c r="D208" s="43" t="str">
        <f t="shared" si="3"/>
        <v xml:space="preserve"> </v>
      </c>
      <c r="E208" s="36"/>
      <c r="F208" s="36"/>
      <c r="G208" s="36"/>
      <c r="H208" s="36"/>
      <c r="I208" s="36"/>
      <c r="J208" s="36"/>
    </row>
    <row r="209" spans="1:10" x14ac:dyDescent="0.2">
      <c r="A209" s="36"/>
      <c r="B209" s="44"/>
      <c r="C209" s="44"/>
      <c r="D209" s="43" t="str">
        <f t="shared" si="3"/>
        <v xml:space="preserve"> </v>
      </c>
      <c r="E209" s="36"/>
      <c r="F209" s="36"/>
      <c r="G209" s="36"/>
      <c r="H209" s="36"/>
      <c r="I209" s="36"/>
      <c r="J209" s="36"/>
    </row>
    <row r="210" spans="1:10" x14ac:dyDescent="0.2">
      <c r="A210" s="36"/>
      <c r="B210" s="44"/>
      <c r="C210" s="44"/>
      <c r="D210" s="43" t="str">
        <f t="shared" si="3"/>
        <v xml:space="preserve"> </v>
      </c>
      <c r="E210" s="36"/>
      <c r="F210" s="36"/>
      <c r="G210" s="36"/>
      <c r="H210" s="36"/>
      <c r="I210" s="36"/>
      <c r="J210" s="36"/>
    </row>
    <row r="211" spans="1:10" x14ac:dyDescent="0.2">
      <c r="A211" s="36"/>
      <c r="B211" s="44"/>
      <c r="C211" s="44"/>
      <c r="D211" s="43" t="str">
        <f t="shared" si="3"/>
        <v xml:space="preserve"> </v>
      </c>
      <c r="E211" s="36"/>
      <c r="F211" s="36"/>
      <c r="G211" s="36"/>
      <c r="H211" s="36"/>
      <c r="I211" s="36"/>
      <c r="J211" s="36"/>
    </row>
    <row r="212" spans="1:10" x14ac:dyDescent="0.2">
      <c r="A212" s="36"/>
      <c r="B212" s="44"/>
      <c r="C212" s="44"/>
      <c r="D212" s="43" t="str">
        <f t="shared" si="3"/>
        <v xml:space="preserve"> </v>
      </c>
      <c r="E212" s="36"/>
      <c r="F212" s="36"/>
      <c r="G212" s="36"/>
      <c r="H212" s="36"/>
      <c r="I212" s="36"/>
      <c r="J212" s="36"/>
    </row>
    <row r="213" spans="1:10" x14ac:dyDescent="0.2">
      <c r="A213" s="36"/>
      <c r="B213" s="44"/>
      <c r="C213" s="44"/>
      <c r="D213" s="43" t="str">
        <f t="shared" si="3"/>
        <v xml:space="preserve"> </v>
      </c>
      <c r="E213" s="36"/>
      <c r="F213" s="36"/>
      <c r="G213" s="36"/>
      <c r="H213" s="36"/>
      <c r="I213" s="36"/>
      <c r="J213" s="36"/>
    </row>
    <row r="214" spans="1:10" x14ac:dyDescent="0.2">
      <c r="A214" s="36"/>
      <c r="B214" s="44"/>
      <c r="C214" s="44"/>
      <c r="D214" s="43" t="str">
        <f t="shared" si="3"/>
        <v xml:space="preserve"> </v>
      </c>
      <c r="E214" s="36"/>
      <c r="F214" s="36"/>
      <c r="G214" s="36"/>
      <c r="H214" s="36"/>
      <c r="I214" s="36"/>
      <c r="J214" s="36"/>
    </row>
    <row r="215" spans="1:10" x14ac:dyDescent="0.2">
      <c r="A215" s="36"/>
      <c r="B215" s="44"/>
      <c r="C215" s="44"/>
      <c r="D215" s="43" t="str">
        <f t="shared" si="3"/>
        <v xml:space="preserve"> </v>
      </c>
      <c r="E215" s="36"/>
      <c r="F215" s="36"/>
      <c r="G215" s="36"/>
      <c r="H215" s="36"/>
      <c r="I215" s="36"/>
      <c r="J215" s="36"/>
    </row>
    <row r="216" spans="1:10" x14ac:dyDescent="0.2">
      <c r="A216" s="36"/>
      <c r="B216" s="44"/>
      <c r="C216" s="44"/>
      <c r="D216" s="43" t="str">
        <f t="shared" si="3"/>
        <v xml:space="preserve"> </v>
      </c>
      <c r="E216" s="36"/>
      <c r="F216" s="36"/>
      <c r="G216" s="36"/>
      <c r="H216" s="36"/>
      <c r="I216" s="36"/>
      <c r="J216" s="36"/>
    </row>
    <row r="217" spans="1:10" x14ac:dyDescent="0.2">
      <c r="A217" s="36"/>
      <c r="B217" s="44"/>
      <c r="C217" s="44"/>
      <c r="D217" s="43" t="str">
        <f t="shared" si="3"/>
        <v xml:space="preserve"> </v>
      </c>
      <c r="E217" s="36"/>
      <c r="F217" s="36"/>
      <c r="G217" s="36"/>
      <c r="H217" s="36"/>
      <c r="I217" s="36"/>
      <c r="J217" s="36"/>
    </row>
    <row r="218" spans="1:10" x14ac:dyDescent="0.2">
      <c r="A218" s="36"/>
      <c r="B218" s="44"/>
      <c r="C218" s="44"/>
      <c r="D218" s="43" t="str">
        <f t="shared" si="3"/>
        <v xml:space="preserve"> </v>
      </c>
      <c r="E218" s="36"/>
      <c r="F218" s="36"/>
      <c r="G218" s="36"/>
      <c r="H218" s="36"/>
      <c r="I218" s="36"/>
      <c r="J218" s="36"/>
    </row>
    <row r="219" spans="1:10" x14ac:dyDescent="0.2">
      <c r="A219" s="36"/>
      <c r="B219" s="44"/>
      <c r="C219" s="44"/>
      <c r="D219" s="43" t="str">
        <f t="shared" si="3"/>
        <v xml:space="preserve"> </v>
      </c>
      <c r="E219" s="36"/>
      <c r="F219" s="36"/>
      <c r="G219" s="36"/>
      <c r="H219" s="36"/>
      <c r="I219" s="36"/>
      <c r="J219" s="36"/>
    </row>
    <row r="220" spans="1:10" x14ac:dyDescent="0.2">
      <c r="A220" s="36"/>
      <c r="B220" s="44"/>
      <c r="C220" s="44"/>
      <c r="D220" s="43" t="str">
        <f t="shared" si="3"/>
        <v xml:space="preserve"> </v>
      </c>
      <c r="E220" s="36"/>
      <c r="F220" s="36"/>
      <c r="G220" s="36"/>
      <c r="H220" s="36"/>
      <c r="I220" s="36"/>
      <c r="J220" s="36"/>
    </row>
    <row r="221" spans="1:10" x14ac:dyDescent="0.2">
      <c r="A221" s="36"/>
      <c r="B221" s="44"/>
      <c r="C221" s="44"/>
      <c r="D221" s="43" t="str">
        <f t="shared" si="3"/>
        <v xml:space="preserve"> </v>
      </c>
      <c r="E221" s="36"/>
      <c r="F221" s="36"/>
      <c r="G221" s="36"/>
      <c r="H221" s="36"/>
      <c r="I221" s="36"/>
      <c r="J221" s="36"/>
    </row>
    <row r="222" spans="1:10" x14ac:dyDescent="0.2">
      <c r="A222" s="36"/>
      <c r="B222" s="44"/>
      <c r="C222" s="44"/>
      <c r="D222" s="43" t="str">
        <f t="shared" ref="D222:D285" si="4">IF(C222=""," ",(VLOOKUP(C222,$H$28:$I$32,2,FALSE))*$E$36)</f>
        <v xml:space="preserve"> </v>
      </c>
      <c r="E222" s="36"/>
      <c r="F222" s="36"/>
      <c r="G222" s="36"/>
      <c r="H222" s="36"/>
      <c r="I222" s="36"/>
      <c r="J222" s="36"/>
    </row>
    <row r="223" spans="1:10" x14ac:dyDescent="0.2">
      <c r="A223" s="36"/>
      <c r="B223" s="44"/>
      <c r="C223" s="44"/>
      <c r="D223" s="43" t="str">
        <f t="shared" si="4"/>
        <v xml:space="preserve"> </v>
      </c>
      <c r="E223" s="36"/>
      <c r="F223" s="36"/>
      <c r="G223" s="36"/>
      <c r="H223" s="36"/>
      <c r="I223" s="36"/>
      <c r="J223" s="36"/>
    </row>
    <row r="224" spans="1:10" x14ac:dyDescent="0.2">
      <c r="A224" s="36"/>
      <c r="B224" s="44"/>
      <c r="C224" s="44"/>
      <c r="D224" s="43" t="str">
        <f t="shared" si="4"/>
        <v xml:space="preserve"> </v>
      </c>
      <c r="E224" s="36"/>
      <c r="F224" s="36"/>
      <c r="G224" s="36"/>
      <c r="H224" s="36"/>
      <c r="I224" s="36"/>
      <c r="J224" s="36"/>
    </row>
    <row r="225" spans="1:10" x14ac:dyDescent="0.2">
      <c r="A225" s="36"/>
      <c r="B225" s="44"/>
      <c r="C225" s="44"/>
      <c r="D225" s="43" t="str">
        <f t="shared" si="4"/>
        <v xml:space="preserve"> </v>
      </c>
      <c r="E225" s="36"/>
      <c r="F225" s="36"/>
      <c r="G225" s="36"/>
      <c r="H225" s="36"/>
      <c r="I225" s="36"/>
      <c r="J225" s="36"/>
    </row>
    <row r="226" spans="1:10" x14ac:dyDescent="0.2">
      <c r="A226" s="36"/>
      <c r="B226" s="44"/>
      <c r="C226" s="44"/>
      <c r="D226" s="43" t="str">
        <f t="shared" si="4"/>
        <v xml:space="preserve"> </v>
      </c>
      <c r="E226" s="36"/>
      <c r="F226" s="36"/>
      <c r="G226" s="36"/>
      <c r="H226" s="36"/>
      <c r="I226" s="36"/>
      <c r="J226" s="36"/>
    </row>
    <row r="227" spans="1:10" x14ac:dyDescent="0.2">
      <c r="A227" s="36"/>
      <c r="B227" s="44"/>
      <c r="C227" s="44"/>
      <c r="D227" s="43" t="str">
        <f t="shared" si="4"/>
        <v xml:space="preserve"> </v>
      </c>
      <c r="E227" s="36"/>
      <c r="F227" s="36"/>
      <c r="G227" s="36"/>
      <c r="H227" s="36"/>
      <c r="I227" s="36"/>
      <c r="J227" s="36"/>
    </row>
    <row r="228" spans="1:10" x14ac:dyDescent="0.2">
      <c r="A228" s="36"/>
      <c r="B228" s="44"/>
      <c r="C228" s="44"/>
      <c r="D228" s="43" t="str">
        <f t="shared" si="4"/>
        <v xml:space="preserve"> </v>
      </c>
      <c r="E228" s="36"/>
      <c r="F228" s="36"/>
      <c r="G228" s="36"/>
      <c r="H228" s="36"/>
      <c r="I228" s="36"/>
      <c r="J228" s="36"/>
    </row>
    <row r="229" spans="1:10" x14ac:dyDescent="0.2">
      <c r="A229" s="36"/>
      <c r="B229" s="44"/>
      <c r="C229" s="44"/>
      <c r="D229" s="43" t="str">
        <f t="shared" si="4"/>
        <v xml:space="preserve"> </v>
      </c>
      <c r="E229" s="36"/>
      <c r="F229" s="36"/>
      <c r="G229" s="36"/>
      <c r="H229" s="36"/>
      <c r="I229" s="36"/>
      <c r="J229" s="36"/>
    </row>
    <row r="230" spans="1:10" x14ac:dyDescent="0.2">
      <c r="A230" s="36"/>
      <c r="B230" s="44"/>
      <c r="C230" s="44"/>
      <c r="D230" s="43" t="str">
        <f t="shared" si="4"/>
        <v xml:space="preserve"> </v>
      </c>
      <c r="E230" s="36"/>
      <c r="F230" s="36"/>
      <c r="G230" s="36"/>
      <c r="H230" s="36"/>
      <c r="I230" s="36"/>
      <c r="J230" s="36"/>
    </row>
    <row r="231" spans="1:10" x14ac:dyDescent="0.2">
      <c r="A231" s="36"/>
      <c r="B231" s="44"/>
      <c r="C231" s="44"/>
      <c r="D231" s="43" t="str">
        <f t="shared" si="4"/>
        <v xml:space="preserve"> </v>
      </c>
      <c r="E231" s="36"/>
      <c r="F231" s="36"/>
      <c r="G231" s="36"/>
      <c r="H231" s="36"/>
      <c r="I231" s="36"/>
      <c r="J231" s="36"/>
    </row>
    <row r="232" spans="1:10" x14ac:dyDescent="0.2">
      <c r="A232" s="36"/>
      <c r="B232" s="44"/>
      <c r="C232" s="44"/>
      <c r="D232" s="43" t="str">
        <f t="shared" si="4"/>
        <v xml:space="preserve"> </v>
      </c>
      <c r="E232" s="36"/>
      <c r="F232" s="36"/>
      <c r="G232" s="36"/>
      <c r="H232" s="36"/>
      <c r="I232" s="36"/>
      <c r="J232" s="36"/>
    </row>
    <row r="233" spans="1:10" x14ac:dyDescent="0.2">
      <c r="A233" s="36"/>
      <c r="B233" s="44"/>
      <c r="C233" s="44"/>
      <c r="D233" s="43" t="str">
        <f t="shared" si="4"/>
        <v xml:space="preserve"> </v>
      </c>
      <c r="E233" s="36"/>
      <c r="F233" s="36"/>
      <c r="G233" s="36"/>
      <c r="H233" s="36"/>
      <c r="I233" s="36"/>
      <c r="J233" s="36"/>
    </row>
    <row r="234" spans="1:10" x14ac:dyDescent="0.2">
      <c r="A234" s="36"/>
      <c r="B234" s="44"/>
      <c r="C234" s="44"/>
      <c r="D234" s="43" t="str">
        <f t="shared" si="4"/>
        <v xml:space="preserve"> </v>
      </c>
      <c r="E234" s="36"/>
      <c r="F234" s="36"/>
      <c r="G234" s="36"/>
      <c r="H234" s="36"/>
      <c r="I234" s="36"/>
      <c r="J234" s="36"/>
    </row>
    <row r="235" spans="1:10" x14ac:dyDescent="0.2">
      <c r="A235" s="36"/>
      <c r="B235" s="44"/>
      <c r="C235" s="44"/>
      <c r="D235" s="43" t="str">
        <f t="shared" si="4"/>
        <v xml:space="preserve"> </v>
      </c>
      <c r="E235" s="36"/>
      <c r="F235" s="36"/>
      <c r="G235" s="36"/>
      <c r="H235" s="36"/>
      <c r="I235" s="36"/>
      <c r="J235" s="36"/>
    </row>
    <row r="236" spans="1:10" x14ac:dyDescent="0.2">
      <c r="A236" s="36"/>
      <c r="B236" s="44"/>
      <c r="C236" s="44"/>
      <c r="D236" s="43" t="str">
        <f t="shared" si="4"/>
        <v xml:space="preserve"> </v>
      </c>
      <c r="E236" s="36"/>
      <c r="F236" s="36"/>
      <c r="G236" s="36"/>
      <c r="H236" s="36"/>
      <c r="I236" s="36"/>
      <c r="J236" s="36"/>
    </row>
    <row r="237" spans="1:10" x14ac:dyDescent="0.2">
      <c r="A237" s="36"/>
      <c r="B237" s="44"/>
      <c r="C237" s="44"/>
      <c r="D237" s="43" t="str">
        <f t="shared" si="4"/>
        <v xml:space="preserve"> </v>
      </c>
      <c r="E237" s="36"/>
      <c r="F237" s="36"/>
      <c r="G237" s="36"/>
      <c r="H237" s="36"/>
      <c r="I237" s="36"/>
      <c r="J237" s="36"/>
    </row>
    <row r="238" spans="1:10" x14ac:dyDescent="0.2">
      <c r="A238" s="36"/>
      <c r="B238" s="44"/>
      <c r="C238" s="44"/>
      <c r="D238" s="43" t="str">
        <f t="shared" si="4"/>
        <v xml:space="preserve"> </v>
      </c>
      <c r="E238" s="36"/>
      <c r="F238" s="36"/>
      <c r="G238" s="36"/>
      <c r="H238" s="36"/>
      <c r="I238" s="36"/>
      <c r="J238" s="36"/>
    </row>
    <row r="239" spans="1:10" x14ac:dyDescent="0.2">
      <c r="A239" s="36"/>
      <c r="B239" s="44"/>
      <c r="C239" s="44"/>
      <c r="D239" s="43" t="str">
        <f t="shared" si="4"/>
        <v xml:space="preserve"> </v>
      </c>
      <c r="E239" s="36"/>
      <c r="F239" s="36"/>
      <c r="G239" s="36"/>
      <c r="H239" s="36"/>
      <c r="I239" s="36"/>
      <c r="J239" s="36"/>
    </row>
    <row r="240" spans="1:10" x14ac:dyDescent="0.2">
      <c r="A240" s="36"/>
      <c r="B240" s="44"/>
      <c r="C240" s="44"/>
      <c r="D240" s="43" t="str">
        <f t="shared" si="4"/>
        <v xml:space="preserve"> </v>
      </c>
      <c r="E240" s="36"/>
      <c r="F240" s="36"/>
      <c r="G240" s="36"/>
      <c r="H240" s="36"/>
      <c r="I240" s="36"/>
      <c r="J240" s="36"/>
    </row>
    <row r="241" spans="1:10" x14ac:dyDescent="0.2">
      <c r="A241" s="36"/>
      <c r="B241" s="44"/>
      <c r="C241" s="44"/>
      <c r="D241" s="43" t="str">
        <f t="shared" si="4"/>
        <v xml:space="preserve"> </v>
      </c>
      <c r="E241" s="36"/>
      <c r="F241" s="36"/>
      <c r="G241" s="36"/>
      <c r="H241" s="36"/>
      <c r="I241" s="36"/>
      <c r="J241" s="36"/>
    </row>
    <row r="242" spans="1:10" x14ac:dyDescent="0.2">
      <c r="A242" s="36"/>
      <c r="B242" s="44"/>
      <c r="C242" s="44"/>
      <c r="D242" s="43" t="str">
        <f t="shared" si="4"/>
        <v xml:space="preserve"> </v>
      </c>
      <c r="E242" s="36"/>
      <c r="F242" s="36"/>
      <c r="G242" s="36"/>
      <c r="H242" s="36"/>
      <c r="I242" s="36"/>
      <c r="J242" s="36"/>
    </row>
    <row r="243" spans="1:10" x14ac:dyDescent="0.2">
      <c r="A243" s="36"/>
      <c r="B243" s="44"/>
      <c r="C243" s="44"/>
      <c r="D243" s="43" t="str">
        <f t="shared" si="4"/>
        <v xml:space="preserve"> </v>
      </c>
      <c r="E243" s="36"/>
      <c r="F243" s="36"/>
      <c r="G243" s="36"/>
      <c r="H243" s="36"/>
      <c r="I243" s="36"/>
      <c r="J243" s="36"/>
    </row>
    <row r="244" spans="1:10" x14ac:dyDescent="0.2">
      <c r="A244" s="36"/>
      <c r="B244" s="44"/>
      <c r="C244" s="44"/>
      <c r="D244" s="43" t="str">
        <f t="shared" si="4"/>
        <v xml:space="preserve"> </v>
      </c>
      <c r="E244" s="36"/>
      <c r="F244" s="36"/>
      <c r="G244" s="36"/>
      <c r="H244" s="36"/>
      <c r="I244" s="36"/>
      <c r="J244" s="36"/>
    </row>
    <row r="245" spans="1:10" x14ac:dyDescent="0.2">
      <c r="A245" s="36"/>
      <c r="B245" s="44"/>
      <c r="C245" s="44"/>
      <c r="D245" s="43" t="str">
        <f t="shared" si="4"/>
        <v xml:space="preserve"> </v>
      </c>
      <c r="E245" s="36"/>
      <c r="F245" s="36"/>
      <c r="G245" s="36"/>
      <c r="H245" s="36"/>
      <c r="I245" s="36"/>
      <c r="J245" s="36"/>
    </row>
    <row r="246" spans="1:10" x14ac:dyDescent="0.2">
      <c r="A246" s="36"/>
      <c r="B246" s="44"/>
      <c r="C246" s="44"/>
      <c r="D246" s="43" t="str">
        <f t="shared" si="4"/>
        <v xml:space="preserve"> </v>
      </c>
      <c r="E246" s="36"/>
      <c r="F246" s="36"/>
      <c r="G246" s="36"/>
      <c r="H246" s="36"/>
      <c r="I246" s="36"/>
      <c r="J246" s="36"/>
    </row>
    <row r="247" spans="1:10" x14ac:dyDescent="0.2">
      <c r="A247" s="36"/>
      <c r="B247" s="44"/>
      <c r="C247" s="44"/>
      <c r="D247" s="43" t="str">
        <f t="shared" si="4"/>
        <v xml:space="preserve"> </v>
      </c>
      <c r="E247" s="36"/>
      <c r="F247" s="36"/>
      <c r="G247" s="36"/>
      <c r="H247" s="36"/>
      <c r="I247" s="36"/>
      <c r="J247" s="36"/>
    </row>
    <row r="248" spans="1:10" x14ac:dyDescent="0.2">
      <c r="A248" s="36"/>
      <c r="B248" s="44"/>
      <c r="C248" s="44"/>
      <c r="D248" s="43" t="str">
        <f t="shared" si="4"/>
        <v xml:space="preserve"> </v>
      </c>
      <c r="E248" s="36"/>
      <c r="F248" s="36"/>
      <c r="G248" s="36"/>
      <c r="H248" s="36"/>
      <c r="I248" s="36"/>
      <c r="J248" s="36"/>
    </row>
    <row r="249" spans="1:10" x14ac:dyDescent="0.2">
      <c r="A249" s="36"/>
      <c r="B249" s="44"/>
      <c r="C249" s="44"/>
      <c r="D249" s="43" t="str">
        <f t="shared" si="4"/>
        <v xml:space="preserve"> </v>
      </c>
      <c r="E249" s="36"/>
      <c r="F249" s="36"/>
      <c r="G249" s="36"/>
      <c r="H249" s="36"/>
      <c r="I249" s="36"/>
      <c r="J249" s="36"/>
    </row>
    <row r="250" spans="1:10" x14ac:dyDescent="0.2">
      <c r="A250" s="36"/>
      <c r="B250" s="44"/>
      <c r="C250" s="44"/>
      <c r="D250" s="43" t="str">
        <f t="shared" si="4"/>
        <v xml:space="preserve"> </v>
      </c>
      <c r="E250" s="36"/>
      <c r="F250" s="36"/>
      <c r="G250" s="36"/>
      <c r="H250" s="36"/>
      <c r="I250" s="36"/>
      <c r="J250" s="36"/>
    </row>
    <row r="251" spans="1:10" x14ac:dyDescent="0.2">
      <c r="A251" s="36"/>
      <c r="B251" s="44"/>
      <c r="C251" s="44"/>
      <c r="D251" s="43" t="str">
        <f t="shared" si="4"/>
        <v xml:space="preserve"> </v>
      </c>
      <c r="E251" s="36"/>
      <c r="F251" s="36"/>
      <c r="G251" s="36"/>
      <c r="H251" s="36"/>
      <c r="I251" s="36"/>
      <c r="J251" s="36"/>
    </row>
    <row r="252" spans="1:10" x14ac:dyDescent="0.2">
      <c r="A252" s="36"/>
      <c r="B252" s="44"/>
      <c r="C252" s="44"/>
      <c r="D252" s="43" t="str">
        <f t="shared" si="4"/>
        <v xml:space="preserve"> </v>
      </c>
      <c r="E252" s="36"/>
      <c r="F252" s="36"/>
      <c r="G252" s="36"/>
      <c r="H252" s="36"/>
      <c r="I252" s="36"/>
      <c r="J252" s="36"/>
    </row>
    <row r="253" spans="1:10" x14ac:dyDescent="0.2">
      <c r="A253" s="36"/>
      <c r="B253" s="44"/>
      <c r="C253" s="44"/>
      <c r="D253" s="43" t="str">
        <f t="shared" si="4"/>
        <v xml:space="preserve"> </v>
      </c>
      <c r="E253" s="36"/>
      <c r="F253" s="36"/>
      <c r="G253" s="36"/>
      <c r="H253" s="36"/>
      <c r="I253" s="36"/>
      <c r="J253" s="36"/>
    </row>
    <row r="254" spans="1:10" x14ac:dyDescent="0.2">
      <c r="A254" s="36"/>
      <c r="B254" s="44"/>
      <c r="C254" s="44"/>
      <c r="D254" s="43" t="str">
        <f t="shared" si="4"/>
        <v xml:space="preserve"> </v>
      </c>
      <c r="E254" s="36"/>
      <c r="F254" s="36"/>
      <c r="G254" s="36"/>
      <c r="H254" s="36"/>
      <c r="I254" s="36"/>
      <c r="J254" s="36"/>
    </row>
    <row r="255" spans="1:10" x14ac:dyDescent="0.2">
      <c r="A255" s="36"/>
      <c r="B255" s="44"/>
      <c r="C255" s="44"/>
      <c r="D255" s="43" t="str">
        <f t="shared" si="4"/>
        <v xml:space="preserve"> </v>
      </c>
      <c r="E255" s="36"/>
      <c r="F255" s="36"/>
      <c r="G255" s="36"/>
      <c r="H255" s="36"/>
      <c r="I255" s="36"/>
      <c r="J255" s="36"/>
    </row>
    <row r="256" spans="1:10" x14ac:dyDescent="0.2">
      <c r="A256" s="36"/>
      <c r="B256" s="44"/>
      <c r="C256" s="44"/>
      <c r="D256" s="43" t="str">
        <f t="shared" si="4"/>
        <v xml:space="preserve"> </v>
      </c>
      <c r="E256" s="36"/>
      <c r="F256" s="36"/>
      <c r="G256" s="36"/>
      <c r="H256" s="36"/>
      <c r="I256" s="36"/>
      <c r="J256" s="36"/>
    </row>
    <row r="257" spans="1:10" x14ac:dyDescent="0.2">
      <c r="A257" s="36"/>
      <c r="B257" s="44"/>
      <c r="C257" s="44"/>
      <c r="D257" s="43" t="str">
        <f t="shared" si="4"/>
        <v xml:space="preserve"> </v>
      </c>
      <c r="E257" s="36"/>
      <c r="F257" s="36"/>
      <c r="G257" s="36"/>
      <c r="H257" s="36"/>
      <c r="I257" s="36"/>
      <c r="J257" s="36"/>
    </row>
    <row r="258" spans="1:10" x14ac:dyDescent="0.2">
      <c r="A258" s="36"/>
      <c r="B258" s="44"/>
      <c r="C258" s="44"/>
      <c r="D258" s="43" t="str">
        <f t="shared" si="4"/>
        <v xml:space="preserve"> </v>
      </c>
      <c r="E258" s="36"/>
      <c r="F258" s="36"/>
      <c r="G258" s="36"/>
      <c r="H258" s="36"/>
      <c r="I258" s="36"/>
      <c r="J258" s="36"/>
    </row>
    <row r="259" spans="1:10" x14ac:dyDescent="0.2">
      <c r="A259" s="36"/>
      <c r="B259" s="44"/>
      <c r="C259" s="44"/>
      <c r="D259" s="43" t="str">
        <f t="shared" si="4"/>
        <v xml:space="preserve"> </v>
      </c>
      <c r="E259" s="36"/>
      <c r="F259" s="36"/>
      <c r="G259" s="36"/>
      <c r="H259" s="36"/>
      <c r="I259" s="36"/>
      <c r="J259" s="36"/>
    </row>
    <row r="260" spans="1:10" x14ac:dyDescent="0.2">
      <c r="A260" s="36"/>
      <c r="B260" s="44"/>
      <c r="C260" s="44"/>
      <c r="D260" s="43" t="str">
        <f t="shared" si="4"/>
        <v xml:space="preserve"> </v>
      </c>
      <c r="E260" s="36"/>
      <c r="F260" s="36"/>
      <c r="G260" s="36"/>
      <c r="H260" s="36"/>
      <c r="I260" s="36"/>
      <c r="J260" s="36"/>
    </row>
    <row r="261" spans="1:10" x14ac:dyDescent="0.2">
      <c r="A261" s="36"/>
      <c r="B261" s="44"/>
      <c r="C261" s="44"/>
      <c r="D261" s="43" t="str">
        <f t="shared" si="4"/>
        <v xml:space="preserve"> </v>
      </c>
      <c r="E261" s="36"/>
      <c r="F261" s="36"/>
      <c r="G261" s="36"/>
      <c r="H261" s="36"/>
      <c r="I261" s="36"/>
      <c r="J261" s="36"/>
    </row>
    <row r="262" spans="1:10" x14ac:dyDescent="0.2">
      <c r="A262" s="36"/>
      <c r="B262" s="44"/>
      <c r="C262" s="44"/>
      <c r="D262" s="43" t="str">
        <f t="shared" si="4"/>
        <v xml:space="preserve"> </v>
      </c>
      <c r="E262" s="36"/>
      <c r="F262" s="36"/>
      <c r="G262" s="36"/>
      <c r="H262" s="36"/>
      <c r="I262" s="36"/>
      <c r="J262" s="36"/>
    </row>
    <row r="263" spans="1:10" x14ac:dyDescent="0.2">
      <c r="A263" s="36"/>
      <c r="B263" s="44"/>
      <c r="C263" s="44"/>
      <c r="D263" s="43" t="str">
        <f t="shared" si="4"/>
        <v xml:space="preserve"> </v>
      </c>
      <c r="E263" s="36"/>
      <c r="F263" s="36"/>
      <c r="G263" s="36"/>
      <c r="H263" s="36"/>
      <c r="I263" s="36"/>
      <c r="J263" s="36"/>
    </row>
    <row r="264" spans="1:10" x14ac:dyDescent="0.2">
      <c r="A264" s="36"/>
      <c r="B264" s="44"/>
      <c r="C264" s="44"/>
      <c r="D264" s="43" t="str">
        <f t="shared" si="4"/>
        <v xml:space="preserve"> </v>
      </c>
      <c r="E264" s="36"/>
      <c r="F264" s="36"/>
      <c r="G264" s="36"/>
      <c r="H264" s="36"/>
      <c r="I264" s="36"/>
      <c r="J264" s="36"/>
    </row>
    <row r="265" spans="1:10" x14ac:dyDescent="0.2">
      <c r="A265" s="36"/>
      <c r="B265" s="44"/>
      <c r="C265" s="44"/>
      <c r="D265" s="43" t="str">
        <f t="shared" si="4"/>
        <v xml:space="preserve"> </v>
      </c>
      <c r="E265" s="36"/>
      <c r="F265" s="36"/>
      <c r="G265" s="36"/>
      <c r="H265" s="36"/>
      <c r="I265" s="36"/>
      <c r="J265" s="36"/>
    </row>
    <row r="266" spans="1:10" x14ac:dyDescent="0.2">
      <c r="A266" s="36"/>
      <c r="B266" s="44"/>
      <c r="C266" s="44"/>
      <c r="D266" s="43" t="str">
        <f t="shared" si="4"/>
        <v xml:space="preserve"> </v>
      </c>
      <c r="E266" s="36"/>
      <c r="F266" s="36"/>
      <c r="G266" s="36"/>
      <c r="H266" s="36"/>
      <c r="I266" s="36"/>
      <c r="J266" s="36"/>
    </row>
    <row r="267" spans="1:10" x14ac:dyDescent="0.2">
      <c r="A267" s="36"/>
      <c r="B267" s="44"/>
      <c r="C267" s="44"/>
      <c r="D267" s="43" t="str">
        <f t="shared" si="4"/>
        <v xml:space="preserve"> </v>
      </c>
      <c r="E267" s="36"/>
      <c r="F267" s="36"/>
      <c r="G267" s="36"/>
      <c r="H267" s="36"/>
      <c r="I267" s="36"/>
      <c r="J267" s="36"/>
    </row>
    <row r="268" spans="1:10" x14ac:dyDescent="0.2">
      <c r="A268" s="36"/>
      <c r="B268" s="44"/>
      <c r="C268" s="44"/>
      <c r="D268" s="43" t="str">
        <f t="shared" si="4"/>
        <v xml:space="preserve"> </v>
      </c>
      <c r="E268" s="36"/>
      <c r="F268" s="36"/>
      <c r="G268" s="36"/>
      <c r="H268" s="36"/>
      <c r="I268" s="36"/>
      <c r="J268" s="36"/>
    </row>
    <row r="269" spans="1:10" x14ac:dyDescent="0.2">
      <c r="A269" s="36"/>
      <c r="B269" s="44"/>
      <c r="C269" s="44"/>
      <c r="D269" s="43" t="str">
        <f t="shared" si="4"/>
        <v xml:space="preserve"> </v>
      </c>
      <c r="E269" s="36"/>
      <c r="F269" s="36"/>
      <c r="G269" s="36"/>
      <c r="H269" s="36"/>
      <c r="I269" s="36"/>
      <c r="J269" s="36"/>
    </row>
    <row r="270" spans="1:10" x14ac:dyDescent="0.2">
      <c r="A270" s="36"/>
      <c r="B270" s="44"/>
      <c r="C270" s="44"/>
      <c r="D270" s="43" t="str">
        <f t="shared" si="4"/>
        <v xml:space="preserve"> </v>
      </c>
      <c r="E270" s="36"/>
      <c r="F270" s="36"/>
      <c r="G270" s="36"/>
      <c r="H270" s="36"/>
      <c r="I270" s="36"/>
      <c r="J270" s="36"/>
    </row>
    <row r="271" spans="1:10" x14ac:dyDescent="0.2">
      <c r="A271" s="36"/>
      <c r="B271" s="44"/>
      <c r="C271" s="44"/>
      <c r="D271" s="43" t="str">
        <f t="shared" si="4"/>
        <v xml:space="preserve"> </v>
      </c>
      <c r="E271" s="36"/>
      <c r="F271" s="36"/>
      <c r="G271" s="36"/>
      <c r="H271" s="36"/>
      <c r="I271" s="36"/>
      <c r="J271" s="36"/>
    </row>
    <row r="272" spans="1:10" x14ac:dyDescent="0.2">
      <c r="A272" s="36"/>
      <c r="B272" s="44"/>
      <c r="C272" s="44"/>
      <c r="D272" s="43" t="str">
        <f t="shared" si="4"/>
        <v xml:space="preserve"> </v>
      </c>
      <c r="E272" s="36"/>
      <c r="F272" s="36"/>
      <c r="G272" s="36"/>
      <c r="H272" s="36"/>
      <c r="I272" s="36"/>
      <c r="J272" s="36"/>
    </row>
    <row r="273" spans="1:10" x14ac:dyDescent="0.2">
      <c r="A273" s="36"/>
      <c r="B273" s="44"/>
      <c r="C273" s="44"/>
      <c r="D273" s="43" t="str">
        <f t="shared" si="4"/>
        <v xml:space="preserve"> </v>
      </c>
      <c r="E273" s="36"/>
      <c r="F273" s="36"/>
      <c r="G273" s="36"/>
      <c r="H273" s="36"/>
      <c r="I273" s="36"/>
      <c r="J273" s="36"/>
    </row>
    <row r="274" spans="1:10" x14ac:dyDescent="0.2">
      <c r="A274" s="36"/>
      <c r="B274" s="44"/>
      <c r="C274" s="44"/>
      <c r="D274" s="43" t="str">
        <f t="shared" si="4"/>
        <v xml:space="preserve"> </v>
      </c>
      <c r="E274" s="36"/>
      <c r="F274" s="36"/>
      <c r="G274" s="36"/>
      <c r="H274" s="36"/>
      <c r="I274" s="36"/>
      <c r="J274" s="36"/>
    </row>
    <row r="275" spans="1:10" x14ac:dyDescent="0.2">
      <c r="A275" s="36"/>
      <c r="B275" s="44"/>
      <c r="C275" s="44"/>
      <c r="D275" s="43" t="str">
        <f t="shared" si="4"/>
        <v xml:space="preserve"> </v>
      </c>
      <c r="E275" s="36"/>
      <c r="F275" s="36"/>
      <c r="G275" s="36"/>
      <c r="H275" s="36"/>
      <c r="I275" s="36"/>
      <c r="J275" s="36"/>
    </row>
    <row r="276" spans="1:10" x14ac:dyDescent="0.2">
      <c r="A276" s="36"/>
      <c r="B276" s="44"/>
      <c r="C276" s="44"/>
      <c r="D276" s="43" t="str">
        <f t="shared" si="4"/>
        <v xml:space="preserve"> </v>
      </c>
      <c r="E276" s="36"/>
      <c r="F276" s="36"/>
      <c r="G276" s="36"/>
      <c r="H276" s="36"/>
      <c r="I276" s="36"/>
      <c r="J276" s="36"/>
    </row>
    <row r="277" spans="1:10" x14ac:dyDescent="0.2">
      <c r="A277" s="36"/>
      <c r="B277" s="44"/>
      <c r="C277" s="44"/>
      <c r="D277" s="43" t="str">
        <f t="shared" si="4"/>
        <v xml:space="preserve"> </v>
      </c>
      <c r="E277" s="36"/>
      <c r="F277" s="36"/>
      <c r="G277" s="36"/>
      <c r="H277" s="36"/>
      <c r="I277" s="36"/>
      <c r="J277" s="36"/>
    </row>
    <row r="278" spans="1:10" x14ac:dyDescent="0.2">
      <c r="A278" s="36"/>
      <c r="B278" s="44"/>
      <c r="C278" s="44"/>
      <c r="D278" s="43" t="str">
        <f t="shared" si="4"/>
        <v xml:space="preserve"> </v>
      </c>
      <c r="E278" s="36"/>
      <c r="F278" s="36"/>
      <c r="G278" s="36"/>
      <c r="H278" s="36"/>
      <c r="I278" s="36"/>
      <c r="J278" s="36"/>
    </row>
    <row r="279" spans="1:10" x14ac:dyDescent="0.2">
      <c r="A279" s="36"/>
      <c r="B279" s="44"/>
      <c r="C279" s="44"/>
      <c r="D279" s="43" t="str">
        <f t="shared" si="4"/>
        <v xml:space="preserve"> </v>
      </c>
      <c r="E279" s="36"/>
      <c r="F279" s="36"/>
      <c r="G279" s="36"/>
      <c r="H279" s="36"/>
      <c r="I279" s="36"/>
      <c r="J279" s="36"/>
    </row>
    <row r="280" spans="1:10" x14ac:dyDescent="0.2">
      <c r="A280" s="36"/>
      <c r="B280" s="44"/>
      <c r="C280" s="44"/>
      <c r="D280" s="43" t="str">
        <f t="shared" si="4"/>
        <v xml:space="preserve"> </v>
      </c>
      <c r="E280" s="36"/>
      <c r="F280" s="36"/>
      <c r="G280" s="36"/>
      <c r="H280" s="36"/>
      <c r="I280" s="36"/>
      <c r="J280" s="36"/>
    </row>
    <row r="281" spans="1:10" x14ac:dyDescent="0.2">
      <c r="A281" s="36"/>
      <c r="B281" s="44"/>
      <c r="C281" s="44"/>
      <c r="D281" s="43" t="str">
        <f t="shared" si="4"/>
        <v xml:space="preserve"> </v>
      </c>
      <c r="E281" s="36"/>
      <c r="F281" s="36"/>
      <c r="G281" s="36"/>
      <c r="H281" s="36"/>
      <c r="I281" s="36"/>
      <c r="J281" s="36"/>
    </row>
    <row r="282" spans="1:10" x14ac:dyDescent="0.2">
      <c r="A282" s="36"/>
      <c r="B282" s="44"/>
      <c r="C282" s="44"/>
      <c r="D282" s="43" t="str">
        <f t="shared" si="4"/>
        <v xml:space="preserve"> </v>
      </c>
      <c r="E282" s="36"/>
      <c r="F282" s="36"/>
      <c r="G282" s="36"/>
      <c r="H282" s="36"/>
      <c r="I282" s="36"/>
      <c r="J282" s="36"/>
    </row>
    <row r="283" spans="1:10" x14ac:dyDescent="0.2">
      <c r="A283" s="36"/>
      <c r="B283" s="44"/>
      <c r="C283" s="44"/>
      <c r="D283" s="43" t="str">
        <f t="shared" si="4"/>
        <v xml:space="preserve"> </v>
      </c>
      <c r="E283" s="36"/>
      <c r="F283" s="36"/>
      <c r="G283" s="36"/>
      <c r="H283" s="36"/>
      <c r="I283" s="36"/>
      <c r="J283" s="36"/>
    </row>
    <row r="284" spans="1:10" x14ac:dyDescent="0.2">
      <c r="A284" s="36"/>
      <c r="B284" s="44"/>
      <c r="C284" s="44"/>
      <c r="D284" s="43" t="str">
        <f t="shared" si="4"/>
        <v xml:space="preserve"> </v>
      </c>
      <c r="E284" s="36"/>
      <c r="F284" s="36"/>
      <c r="G284" s="36"/>
      <c r="H284" s="36"/>
      <c r="I284" s="36"/>
      <c r="J284" s="36"/>
    </row>
    <row r="285" spans="1:10" x14ac:dyDescent="0.2">
      <c r="A285" s="36"/>
      <c r="B285" s="44"/>
      <c r="C285" s="44"/>
      <c r="D285" s="43" t="str">
        <f t="shared" si="4"/>
        <v xml:space="preserve"> </v>
      </c>
      <c r="E285" s="36"/>
      <c r="F285" s="36"/>
      <c r="G285" s="36"/>
      <c r="H285" s="36"/>
      <c r="I285" s="36"/>
      <c r="J285" s="36"/>
    </row>
    <row r="286" spans="1:10" x14ac:dyDescent="0.2">
      <c r="A286" s="36"/>
      <c r="B286" s="44"/>
      <c r="C286" s="44"/>
      <c r="D286" s="43" t="str">
        <f t="shared" ref="D286:D349" si="5">IF(C286=""," ",(VLOOKUP(C286,$H$28:$I$32,2,FALSE))*$E$36)</f>
        <v xml:space="preserve"> </v>
      </c>
      <c r="E286" s="36"/>
      <c r="F286" s="36"/>
      <c r="G286" s="36"/>
      <c r="H286" s="36"/>
      <c r="I286" s="36"/>
      <c r="J286" s="36"/>
    </row>
    <row r="287" spans="1:10" x14ac:dyDescent="0.2">
      <c r="A287" s="36"/>
      <c r="B287" s="44"/>
      <c r="C287" s="44"/>
      <c r="D287" s="43" t="str">
        <f t="shared" si="5"/>
        <v xml:space="preserve"> </v>
      </c>
      <c r="E287" s="36"/>
      <c r="F287" s="36"/>
      <c r="G287" s="36"/>
      <c r="H287" s="36"/>
      <c r="I287" s="36"/>
      <c r="J287" s="36"/>
    </row>
    <row r="288" spans="1:10" x14ac:dyDescent="0.2">
      <c r="A288" s="36"/>
      <c r="B288" s="44"/>
      <c r="C288" s="44"/>
      <c r="D288" s="43" t="str">
        <f t="shared" si="5"/>
        <v xml:space="preserve"> </v>
      </c>
      <c r="E288" s="36"/>
      <c r="F288" s="36"/>
      <c r="G288" s="36"/>
      <c r="H288" s="36"/>
      <c r="I288" s="36"/>
      <c r="J288" s="36"/>
    </row>
    <row r="289" spans="1:10" x14ac:dyDescent="0.2">
      <c r="A289" s="36"/>
      <c r="B289" s="44"/>
      <c r="C289" s="44"/>
      <c r="D289" s="43" t="str">
        <f t="shared" si="5"/>
        <v xml:space="preserve"> </v>
      </c>
      <c r="E289" s="36"/>
      <c r="F289" s="36"/>
      <c r="G289" s="36"/>
      <c r="H289" s="36"/>
      <c r="I289" s="36"/>
      <c r="J289" s="36"/>
    </row>
    <row r="290" spans="1:10" x14ac:dyDescent="0.2">
      <c r="A290" s="36"/>
      <c r="B290" s="44"/>
      <c r="C290" s="44"/>
      <c r="D290" s="43" t="str">
        <f t="shared" si="5"/>
        <v xml:space="preserve"> </v>
      </c>
      <c r="E290" s="36"/>
      <c r="F290" s="36"/>
      <c r="G290" s="36"/>
      <c r="H290" s="36"/>
      <c r="I290" s="36"/>
      <c r="J290" s="36"/>
    </row>
    <row r="291" spans="1:10" x14ac:dyDescent="0.2">
      <c r="A291" s="36"/>
      <c r="B291" s="44"/>
      <c r="C291" s="44"/>
      <c r="D291" s="43" t="str">
        <f t="shared" si="5"/>
        <v xml:space="preserve"> </v>
      </c>
      <c r="E291" s="36"/>
      <c r="F291" s="36"/>
      <c r="G291" s="36"/>
      <c r="H291" s="36"/>
      <c r="I291" s="36"/>
      <c r="J291" s="36"/>
    </row>
    <row r="292" spans="1:10" x14ac:dyDescent="0.2">
      <c r="A292" s="36"/>
      <c r="B292" s="44"/>
      <c r="C292" s="44"/>
      <c r="D292" s="43" t="str">
        <f t="shared" si="5"/>
        <v xml:space="preserve"> </v>
      </c>
      <c r="E292" s="36"/>
      <c r="F292" s="36"/>
      <c r="G292" s="36"/>
      <c r="H292" s="36"/>
      <c r="I292" s="36"/>
      <c r="J292" s="36"/>
    </row>
    <row r="293" spans="1:10" x14ac:dyDescent="0.2">
      <c r="A293" s="36"/>
      <c r="B293" s="44"/>
      <c r="C293" s="44"/>
      <c r="D293" s="43" t="str">
        <f t="shared" si="5"/>
        <v xml:space="preserve"> </v>
      </c>
      <c r="E293" s="36"/>
      <c r="F293" s="36"/>
      <c r="G293" s="36"/>
      <c r="H293" s="36"/>
      <c r="I293" s="36"/>
      <c r="J293" s="36"/>
    </row>
    <row r="294" spans="1:10" x14ac:dyDescent="0.2">
      <c r="A294" s="36"/>
      <c r="B294" s="44"/>
      <c r="C294" s="44"/>
      <c r="D294" s="43" t="str">
        <f t="shared" si="5"/>
        <v xml:space="preserve"> </v>
      </c>
      <c r="E294" s="36"/>
      <c r="F294" s="36"/>
      <c r="G294" s="36"/>
      <c r="H294" s="36"/>
      <c r="I294" s="36"/>
      <c r="J294" s="36"/>
    </row>
    <row r="295" spans="1:10" x14ac:dyDescent="0.2">
      <c r="A295" s="36"/>
      <c r="B295" s="44"/>
      <c r="C295" s="44"/>
      <c r="D295" s="43" t="str">
        <f t="shared" si="5"/>
        <v xml:space="preserve"> </v>
      </c>
      <c r="E295" s="36"/>
      <c r="F295" s="36"/>
      <c r="G295" s="36"/>
      <c r="H295" s="36"/>
      <c r="I295" s="36"/>
      <c r="J295" s="36"/>
    </row>
    <row r="296" spans="1:10" x14ac:dyDescent="0.2">
      <c r="A296" s="36"/>
      <c r="B296" s="44"/>
      <c r="C296" s="44"/>
      <c r="D296" s="43" t="str">
        <f t="shared" si="5"/>
        <v xml:space="preserve"> </v>
      </c>
      <c r="E296" s="36"/>
      <c r="F296" s="36"/>
      <c r="G296" s="36"/>
      <c r="H296" s="36"/>
      <c r="I296" s="36"/>
      <c r="J296" s="36"/>
    </row>
    <row r="297" spans="1:10" x14ac:dyDescent="0.2">
      <c r="A297" s="36"/>
      <c r="B297" s="44"/>
      <c r="C297" s="44"/>
      <c r="D297" s="43" t="str">
        <f t="shared" si="5"/>
        <v xml:space="preserve"> </v>
      </c>
      <c r="E297" s="36"/>
      <c r="F297" s="36"/>
      <c r="G297" s="36"/>
      <c r="H297" s="36"/>
      <c r="I297" s="36"/>
      <c r="J297" s="36"/>
    </row>
    <row r="298" spans="1:10" x14ac:dyDescent="0.2">
      <c r="A298" s="36"/>
      <c r="B298" s="44"/>
      <c r="C298" s="44"/>
      <c r="D298" s="43" t="str">
        <f t="shared" si="5"/>
        <v xml:space="preserve"> </v>
      </c>
      <c r="E298" s="36"/>
      <c r="F298" s="36"/>
      <c r="G298" s="36"/>
      <c r="H298" s="36"/>
      <c r="I298" s="36"/>
      <c r="J298" s="36"/>
    </row>
    <row r="299" spans="1:10" x14ac:dyDescent="0.2">
      <c r="A299" s="36"/>
      <c r="B299" s="44"/>
      <c r="C299" s="44"/>
      <c r="D299" s="43" t="str">
        <f t="shared" si="5"/>
        <v xml:space="preserve"> </v>
      </c>
      <c r="E299" s="36"/>
      <c r="F299" s="36"/>
      <c r="G299" s="36"/>
      <c r="H299" s="36"/>
      <c r="I299" s="36"/>
      <c r="J299" s="36"/>
    </row>
    <row r="300" spans="1:10" x14ac:dyDescent="0.2">
      <c r="A300" s="36"/>
      <c r="B300" s="44"/>
      <c r="C300" s="44"/>
      <c r="D300" s="43" t="str">
        <f t="shared" si="5"/>
        <v xml:space="preserve"> </v>
      </c>
      <c r="E300" s="36"/>
      <c r="F300" s="36"/>
      <c r="G300" s="36"/>
      <c r="H300" s="36"/>
      <c r="I300" s="36"/>
      <c r="J300" s="36"/>
    </row>
    <row r="301" spans="1:10" x14ac:dyDescent="0.2">
      <c r="A301" s="36"/>
      <c r="B301" s="44"/>
      <c r="C301" s="44"/>
      <c r="D301" s="43" t="str">
        <f t="shared" si="5"/>
        <v xml:space="preserve"> </v>
      </c>
      <c r="E301" s="36"/>
      <c r="F301" s="36"/>
      <c r="G301" s="36"/>
      <c r="H301" s="36"/>
      <c r="I301" s="36"/>
      <c r="J301" s="36"/>
    </row>
    <row r="302" spans="1:10" x14ac:dyDescent="0.2">
      <c r="A302" s="36"/>
      <c r="B302" s="44"/>
      <c r="C302" s="44"/>
      <c r="D302" s="43" t="str">
        <f t="shared" si="5"/>
        <v xml:space="preserve"> </v>
      </c>
      <c r="E302" s="36"/>
      <c r="F302" s="36"/>
      <c r="G302" s="36"/>
      <c r="H302" s="36"/>
      <c r="I302" s="36"/>
      <c r="J302" s="36"/>
    </row>
    <row r="303" spans="1:10" x14ac:dyDescent="0.2">
      <c r="A303" s="36"/>
      <c r="B303" s="44"/>
      <c r="C303" s="44"/>
      <c r="D303" s="43" t="str">
        <f t="shared" si="5"/>
        <v xml:space="preserve"> </v>
      </c>
      <c r="E303" s="36"/>
      <c r="F303" s="36"/>
      <c r="G303" s="36"/>
      <c r="H303" s="36"/>
      <c r="I303" s="36"/>
      <c r="J303" s="36"/>
    </row>
    <row r="304" spans="1:10" x14ac:dyDescent="0.2">
      <c r="A304" s="36"/>
      <c r="B304" s="44"/>
      <c r="C304" s="44"/>
      <c r="D304" s="43" t="str">
        <f t="shared" si="5"/>
        <v xml:space="preserve"> </v>
      </c>
      <c r="E304" s="36"/>
      <c r="F304" s="36"/>
      <c r="G304" s="36"/>
      <c r="H304" s="36"/>
      <c r="I304" s="36"/>
      <c r="J304" s="36"/>
    </row>
    <row r="305" spans="1:10" x14ac:dyDescent="0.2">
      <c r="A305" s="36"/>
      <c r="B305" s="44"/>
      <c r="C305" s="44"/>
      <c r="D305" s="43" t="str">
        <f t="shared" si="5"/>
        <v xml:space="preserve"> </v>
      </c>
      <c r="E305" s="36"/>
      <c r="F305" s="36"/>
      <c r="G305" s="36"/>
      <c r="H305" s="36"/>
      <c r="I305" s="36"/>
      <c r="J305" s="36"/>
    </row>
    <row r="306" spans="1:10" x14ac:dyDescent="0.2">
      <c r="A306" s="36"/>
      <c r="B306" s="44"/>
      <c r="C306" s="44"/>
      <c r="D306" s="43" t="str">
        <f t="shared" si="5"/>
        <v xml:space="preserve"> </v>
      </c>
      <c r="E306" s="36"/>
      <c r="F306" s="36"/>
      <c r="G306" s="36"/>
      <c r="H306" s="36"/>
      <c r="I306" s="36"/>
      <c r="J306" s="36"/>
    </row>
    <row r="307" spans="1:10" x14ac:dyDescent="0.2">
      <c r="A307" s="36"/>
      <c r="B307" s="44"/>
      <c r="C307" s="44"/>
      <c r="D307" s="43" t="str">
        <f t="shared" si="5"/>
        <v xml:space="preserve"> </v>
      </c>
      <c r="E307" s="36"/>
      <c r="F307" s="36"/>
      <c r="G307" s="36"/>
      <c r="H307" s="36"/>
      <c r="I307" s="36"/>
      <c r="J307" s="36"/>
    </row>
    <row r="308" spans="1:10" x14ac:dyDescent="0.2">
      <c r="A308" s="36"/>
      <c r="B308" s="36"/>
      <c r="C308" s="36"/>
      <c r="D308" s="43" t="str">
        <f t="shared" si="5"/>
        <v xml:space="preserve"> </v>
      </c>
      <c r="E308" s="36"/>
      <c r="F308" s="36"/>
      <c r="G308" s="36"/>
      <c r="H308" s="36"/>
      <c r="I308" s="36"/>
      <c r="J308" s="36"/>
    </row>
    <row r="309" spans="1:10" x14ac:dyDescent="0.2">
      <c r="A309" s="36"/>
      <c r="B309" s="36"/>
      <c r="C309" s="36"/>
      <c r="D309" s="43" t="str">
        <f t="shared" si="5"/>
        <v xml:space="preserve"> </v>
      </c>
      <c r="E309" s="36"/>
      <c r="F309" s="36"/>
      <c r="G309" s="36"/>
      <c r="H309" s="36"/>
      <c r="I309" s="36"/>
      <c r="J309" s="36"/>
    </row>
    <row r="310" spans="1:10" x14ac:dyDescent="0.2">
      <c r="A310" s="36"/>
      <c r="B310" s="36"/>
      <c r="C310" s="36"/>
      <c r="D310" s="43" t="str">
        <f t="shared" si="5"/>
        <v xml:space="preserve"> </v>
      </c>
      <c r="E310" s="36"/>
      <c r="F310" s="36"/>
      <c r="G310" s="36"/>
      <c r="H310" s="36"/>
      <c r="I310" s="36"/>
      <c r="J310" s="36"/>
    </row>
    <row r="311" spans="1:10" x14ac:dyDescent="0.2">
      <c r="A311" s="36"/>
      <c r="B311" s="36"/>
      <c r="C311" s="36"/>
      <c r="D311" s="43" t="str">
        <f t="shared" si="5"/>
        <v xml:space="preserve"> </v>
      </c>
      <c r="E311" s="36"/>
      <c r="F311" s="36"/>
      <c r="G311" s="36"/>
      <c r="H311" s="36"/>
      <c r="I311" s="36"/>
      <c r="J311" s="36"/>
    </row>
    <row r="312" spans="1:10" x14ac:dyDescent="0.2">
      <c r="A312" s="36"/>
      <c r="B312" s="36"/>
      <c r="C312" s="36"/>
      <c r="D312" s="43" t="str">
        <f t="shared" si="5"/>
        <v xml:space="preserve"> </v>
      </c>
      <c r="E312" s="36"/>
      <c r="F312" s="36"/>
      <c r="G312" s="36"/>
      <c r="H312" s="36"/>
      <c r="I312" s="36"/>
      <c r="J312" s="36"/>
    </row>
    <row r="313" spans="1:10" x14ac:dyDescent="0.2">
      <c r="A313" s="36"/>
      <c r="B313" s="36"/>
      <c r="C313" s="36"/>
      <c r="D313" s="43" t="str">
        <f t="shared" si="5"/>
        <v xml:space="preserve"> </v>
      </c>
      <c r="E313" s="36"/>
      <c r="F313" s="36"/>
      <c r="G313" s="36"/>
      <c r="H313" s="36"/>
      <c r="I313" s="36"/>
      <c r="J313" s="36"/>
    </row>
    <row r="314" spans="1:10" x14ac:dyDescent="0.2">
      <c r="A314" s="36"/>
      <c r="B314" s="36"/>
      <c r="C314" s="36"/>
      <c r="D314" s="43" t="str">
        <f t="shared" si="5"/>
        <v xml:space="preserve"> </v>
      </c>
      <c r="E314" s="36"/>
      <c r="F314" s="36"/>
      <c r="G314" s="36"/>
      <c r="H314" s="36"/>
      <c r="I314" s="36"/>
      <c r="J314" s="36"/>
    </row>
    <row r="315" spans="1:10" x14ac:dyDescent="0.2">
      <c r="A315" s="36"/>
      <c r="B315" s="36"/>
      <c r="C315" s="36"/>
      <c r="D315" s="43" t="str">
        <f t="shared" si="5"/>
        <v xml:space="preserve"> </v>
      </c>
      <c r="E315" s="36"/>
      <c r="F315" s="36"/>
      <c r="G315" s="36"/>
      <c r="H315" s="36"/>
      <c r="I315" s="36"/>
      <c r="J315" s="36"/>
    </row>
    <row r="316" spans="1:10" x14ac:dyDescent="0.2">
      <c r="A316" s="36"/>
      <c r="B316" s="36"/>
      <c r="C316" s="36"/>
      <c r="D316" s="43" t="str">
        <f t="shared" si="5"/>
        <v xml:space="preserve"> </v>
      </c>
      <c r="E316" s="36"/>
      <c r="F316" s="36"/>
      <c r="G316" s="36"/>
      <c r="H316" s="36"/>
      <c r="I316" s="36"/>
      <c r="J316" s="36"/>
    </row>
    <row r="317" spans="1:10" x14ac:dyDescent="0.2">
      <c r="A317" s="36"/>
      <c r="B317" s="36"/>
      <c r="C317" s="36"/>
      <c r="D317" s="43" t="str">
        <f t="shared" si="5"/>
        <v xml:space="preserve"> </v>
      </c>
      <c r="E317" s="36"/>
      <c r="F317" s="36"/>
      <c r="G317" s="36"/>
      <c r="H317" s="36"/>
      <c r="I317" s="36"/>
      <c r="J317" s="36"/>
    </row>
    <row r="318" spans="1:10" x14ac:dyDescent="0.2">
      <c r="A318" s="36"/>
      <c r="B318" s="36"/>
      <c r="C318" s="36"/>
      <c r="D318" s="43" t="str">
        <f t="shared" si="5"/>
        <v xml:space="preserve"> </v>
      </c>
      <c r="E318" s="36"/>
      <c r="F318" s="36"/>
      <c r="G318" s="36"/>
      <c r="H318" s="36"/>
      <c r="I318" s="36"/>
      <c r="J318" s="36"/>
    </row>
    <row r="319" spans="1:10" x14ac:dyDescent="0.2">
      <c r="A319" s="36"/>
      <c r="B319" s="36"/>
      <c r="C319" s="36"/>
      <c r="D319" s="43" t="str">
        <f t="shared" si="5"/>
        <v xml:space="preserve"> </v>
      </c>
      <c r="E319" s="36"/>
      <c r="F319" s="36"/>
      <c r="G319" s="36"/>
      <c r="H319" s="36"/>
      <c r="I319" s="36"/>
      <c r="J319" s="36"/>
    </row>
    <row r="320" spans="1:10" x14ac:dyDescent="0.2">
      <c r="A320" s="36"/>
      <c r="B320" s="36"/>
      <c r="C320" s="36"/>
      <c r="D320" s="43" t="str">
        <f t="shared" si="5"/>
        <v xml:space="preserve"> </v>
      </c>
      <c r="E320" s="36"/>
      <c r="F320" s="36"/>
      <c r="G320" s="36"/>
      <c r="H320" s="36"/>
      <c r="I320" s="36"/>
      <c r="J320" s="36"/>
    </row>
    <row r="321" spans="1:10" x14ac:dyDescent="0.2">
      <c r="A321" s="36"/>
      <c r="B321" s="36"/>
      <c r="C321" s="36"/>
      <c r="D321" s="43" t="str">
        <f t="shared" si="5"/>
        <v xml:space="preserve"> </v>
      </c>
      <c r="E321" s="36"/>
      <c r="F321" s="36"/>
      <c r="G321" s="36"/>
      <c r="H321" s="36"/>
      <c r="I321" s="36"/>
      <c r="J321" s="36"/>
    </row>
    <row r="322" spans="1:10" x14ac:dyDescent="0.2">
      <c r="A322" s="36"/>
      <c r="B322" s="36"/>
      <c r="C322" s="36"/>
      <c r="D322" s="43" t="str">
        <f t="shared" si="5"/>
        <v xml:space="preserve"> </v>
      </c>
      <c r="E322" s="36"/>
      <c r="F322" s="36"/>
      <c r="G322" s="36"/>
      <c r="H322" s="36"/>
      <c r="I322" s="36"/>
      <c r="J322" s="36"/>
    </row>
    <row r="323" spans="1:10" x14ac:dyDescent="0.2">
      <c r="A323" s="36"/>
      <c r="B323" s="36"/>
      <c r="C323" s="36"/>
      <c r="D323" s="43" t="str">
        <f t="shared" si="5"/>
        <v xml:space="preserve"> </v>
      </c>
      <c r="E323" s="36"/>
      <c r="F323" s="36"/>
      <c r="G323" s="36"/>
      <c r="H323" s="36"/>
      <c r="I323" s="36"/>
      <c r="J323" s="36"/>
    </row>
    <row r="324" spans="1:10" x14ac:dyDescent="0.2">
      <c r="A324" s="36"/>
      <c r="B324" s="36"/>
      <c r="C324" s="36"/>
      <c r="D324" s="43" t="str">
        <f t="shared" si="5"/>
        <v xml:space="preserve"> </v>
      </c>
      <c r="E324" s="36"/>
      <c r="F324" s="36"/>
      <c r="G324" s="36"/>
      <c r="H324" s="36"/>
      <c r="I324" s="36"/>
      <c r="J324" s="36"/>
    </row>
    <row r="325" spans="1:10" x14ac:dyDescent="0.2">
      <c r="A325" s="36"/>
      <c r="B325" s="36"/>
      <c r="C325" s="36"/>
      <c r="D325" s="43" t="str">
        <f t="shared" si="5"/>
        <v xml:space="preserve"> </v>
      </c>
      <c r="E325" s="36"/>
      <c r="F325" s="36"/>
      <c r="G325" s="36"/>
      <c r="H325" s="36"/>
      <c r="I325" s="36"/>
      <c r="J325" s="36"/>
    </row>
    <row r="326" spans="1:10" x14ac:dyDescent="0.2">
      <c r="A326" s="36"/>
      <c r="B326" s="36"/>
      <c r="C326" s="36"/>
      <c r="D326" s="43" t="str">
        <f t="shared" si="5"/>
        <v xml:space="preserve"> </v>
      </c>
      <c r="E326" s="36"/>
      <c r="F326" s="36"/>
      <c r="G326" s="36"/>
      <c r="H326" s="36"/>
      <c r="I326" s="36"/>
      <c r="J326" s="36"/>
    </row>
    <row r="327" spans="1:10" x14ac:dyDescent="0.2">
      <c r="A327" s="36"/>
      <c r="B327" s="36"/>
      <c r="C327" s="36"/>
      <c r="D327" s="43" t="str">
        <f t="shared" si="5"/>
        <v xml:space="preserve"> </v>
      </c>
      <c r="E327" s="36"/>
      <c r="F327" s="36"/>
      <c r="G327" s="36"/>
      <c r="H327" s="36"/>
      <c r="I327" s="36"/>
      <c r="J327" s="36"/>
    </row>
    <row r="328" spans="1:10" x14ac:dyDescent="0.2">
      <c r="A328" s="36"/>
      <c r="B328" s="36"/>
      <c r="C328" s="36"/>
      <c r="D328" s="43" t="str">
        <f t="shared" si="5"/>
        <v xml:space="preserve"> </v>
      </c>
      <c r="E328" s="36"/>
      <c r="F328" s="36"/>
      <c r="G328" s="36"/>
      <c r="H328" s="36"/>
      <c r="I328" s="36"/>
      <c r="J328" s="36"/>
    </row>
    <row r="329" spans="1:10" x14ac:dyDescent="0.2">
      <c r="A329" s="36"/>
      <c r="B329" s="36"/>
      <c r="C329" s="36"/>
      <c r="D329" s="43" t="str">
        <f t="shared" si="5"/>
        <v xml:space="preserve"> </v>
      </c>
      <c r="E329" s="36"/>
      <c r="F329" s="36"/>
      <c r="G329" s="36"/>
      <c r="H329" s="36"/>
      <c r="I329" s="36"/>
      <c r="J329" s="36"/>
    </row>
    <row r="330" spans="1:10" x14ac:dyDescent="0.2">
      <c r="A330" s="36"/>
      <c r="B330" s="36"/>
      <c r="C330" s="36"/>
      <c r="D330" s="43" t="str">
        <f t="shared" si="5"/>
        <v xml:space="preserve"> </v>
      </c>
      <c r="E330" s="36"/>
      <c r="F330" s="36"/>
      <c r="G330" s="36"/>
      <c r="H330" s="36"/>
      <c r="I330" s="36"/>
      <c r="J330" s="36"/>
    </row>
    <row r="331" spans="1:10" x14ac:dyDescent="0.2">
      <c r="A331" s="36"/>
      <c r="B331" s="36"/>
      <c r="C331" s="36"/>
      <c r="D331" s="43" t="str">
        <f t="shared" si="5"/>
        <v xml:space="preserve"> </v>
      </c>
      <c r="E331" s="36"/>
      <c r="F331" s="36"/>
      <c r="G331" s="36"/>
      <c r="H331" s="36"/>
      <c r="I331" s="36"/>
      <c r="J331" s="36"/>
    </row>
    <row r="332" spans="1:10" x14ac:dyDescent="0.2">
      <c r="A332" s="36"/>
      <c r="B332" s="36"/>
      <c r="C332" s="36"/>
      <c r="D332" s="43" t="str">
        <f t="shared" si="5"/>
        <v xml:space="preserve"> </v>
      </c>
      <c r="E332" s="36"/>
      <c r="F332" s="36"/>
      <c r="G332" s="36"/>
      <c r="H332" s="36"/>
      <c r="I332" s="36"/>
      <c r="J332" s="36"/>
    </row>
    <row r="333" spans="1:10" x14ac:dyDescent="0.2">
      <c r="A333" s="36"/>
      <c r="B333" s="36"/>
      <c r="C333" s="36"/>
      <c r="D333" s="43" t="str">
        <f t="shared" si="5"/>
        <v xml:space="preserve"> </v>
      </c>
      <c r="E333" s="36"/>
      <c r="F333" s="36"/>
      <c r="G333" s="36"/>
      <c r="H333" s="36"/>
      <c r="I333" s="36"/>
      <c r="J333" s="36"/>
    </row>
    <row r="334" spans="1:10" x14ac:dyDescent="0.2">
      <c r="A334" s="36"/>
      <c r="B334" s="36"/>
      <c r="C334" s="36"/>
      <c r="D334" s="43" t="str">
        <f t="shared" si="5"/>
        <v xml:space="preserve"> </v>
      </c>
      <c r="E334" s="36"/>
      <c r="F334" s="36"/>
      <c r="G334" s="36"/>
      <c r="H334" s="36"/>
      <c r="I334" s="36"/>
      <c r="J334" s="36"/>
    </row>
    <row r="335" spans="1:10" x14ac:dyDescent="0.2">
      <c r="A335" s="36"/>
      <c r="B335" s="36"/>
      <c r="C335" s="36"/>
      <c r="D335" s="43" t="str">
        <f t="shared" si="5"/>
        <v xml:space="preserve"> </v>
      </c>
      <c r="E335" s="36"/>
      <c r="F335" s="36"/>
      <c r="G335" s="36"/>
      <c r="H335" s="36"/>
      <c r="I335" s="36"/>
      <c r="J335" s="36"/>
    </row>
    <row r="336" spans="1:10" x14ac:dyDescent="0.2">
      <c r="A336" s="36"/>
      <c r="B336" s="36"/>
      <c r="C336" s="36"/>
      <c r="D336" s="43" t="str">
        <f t="shared" si="5"/>
        <v xml:space="preserve"> </v>
      </c>
      <c r="E336" s="36"/>
      <c r="F336" s="36"/>
      <c r="G336" s="36"/>
      <c r="H336" s="36"/>
      <c r="I336" s="36"/>
      <c r="J336" s="36"/>
    </row>
    <row r="337" spans="1:10" x14ac:dyDescent="0.2">
      <c r="A337" s="36"/>
      <c r="B337" s="36"/>
      <c r="C337" s="36"/>
      <c r="D337" s="43" t="str">
        <f t="shared" si="5"/>
        <v xml:space="preserve"> </v>
      </c>
      <c r="E337" s="36"/>
      <c r="F337" s="36"/>
      <c r="G337" s="36"/>
      <c r="H337" s="36"/>
      <c r="I337" s="36"/>
      <c r="J337" s="36"/>
    </row>
    <row r="338" spans="1:10" x14ac:dyDescent="0.2">
      <c r="A338" s="36"/>
      <c r="B338" s="36"/>
      <c r="C338" s="36"/>
      <c r="D338" s="43" t="str">
        <f t="shared" si="5"/>
        <v xml:space="preserve"> </v>
      </c>
      <c r="E338" s="36"/>
      <c r="F338" s="36"/>
      <c r="G338" s="36"/>
      <c r="H338" s="36"/>
      <c r="I338" s="36"/>
      <c r="J338" s="36"/>
    </row>
    <row r="339" spans="1:10" x14ac:dyDescent="0.2">
      <c r="A339" s="36"/>
      <c r="B339" s="36"/>
      <c r="C339" s="36"/>
      <c r="D339" s="43" t="str">
        <f t="shared" si="5"/>
        <v xml:space="preserve"> </v>
      </c>
      <c r="E339" s="36"/>
      <c r="F339" s="36"/>
      <c r="G339" s="36"/>
      <c r="H339" s="36"/>
      <c r="I339" s="36"/>
      <c r="J339" s="36"/>
    </row>
    <row r="340" spans="1:10" x14ac:dyDescent="0.2">
      <c r="A340" s="36"/>
      <c r="B340" s="36"/>
      <c r="C340" s="36"/>
      <c r="D340" s="43" t="str">
        <f t="shared" si="5"/>
        <v xml:space="preserve"> </v>
      </c>
      <c r="E340" s="36"/>
      <c r="F340" s="36"/>
      <c r="G340" s="36"/>
      <c r="H340" s="36"/>
      <c r="I340" s="36"/>
      <c r="J340" s="36"/>
    </row>
    <row r="341" spans="1:10" x14ac:dyDescent="0.2">
      <c r="A341" s="36"/>
      <c r="B341" s="36"/>
      <c r="C341" s="36"/>
      <c r="D341" s="43" t="str">
        <f t="shared" si="5"/>
        <v xml:space="preserve"> </v>
      </c>
      <c r="E341" s="36"/>
      <c r="F341" s="36"/>
      <c r="G341" s="36"/>
      <c r="H341" s="36"/>
      <c r="I341" s="36"/>
      <c r="J341" s="36"/>
    </row>
    <row r="342" spans="1:10" x14ac:dyDescent="0.2">
      <c r="A342" s="36"/>
      <c r="B342" s="36"/>
      <c r="C342" s="36"/>
      <c r="D342" s="43" t="str">
        <f t="shared" si="5"/>
        <v xml:space="preserve"> </v>
      </c>
      <c r="E342" s="36"/>
      <c r="F342" s="36"/>
      <c r="G342" s="36"/>
      <c r="H342" s="36"/>
      <c r="I342" s="36"/>
      <c r="J342" s="36"/>
    </row>
    <row r="343" spans="1:10" x14ac:dyDescent="0.2">
      <c r="A343" s="36"/>
      <c r="B343" s="36"/>
      <c r="C343" s="36"/>
      <c r="D343" s="43" t="str">
        <f t="shared" si="5"/>
        <v xml:space="preserve"> </v>
      </c>
      <c r="E343" s="36"/>
      <c r="F343" s="36"/>
      <c r="G343" s="36"/>
      <c r="H343" s="36"/>
      <c r="I343" s="36"/>
      <c r="J343" s="36"/>
    </row>
    <row r="344" spans="1:10" x14ac:dyDescent="0.2">
      <c r="A344" s="36"/>
      <c r="B344" s="36"/>
      <c r="C344" s="36"/>
      <c r="D344" s="43" t="str">
        <f t="shared" si="5"/>
        <v xml:space="preserve"> </v>
      </c>
      <c r="E344" s="36"/>
      <c r="F344" s="36"/>
      <c r="G344" s="36"/>
      <c r="H344" s="36"/>
      <c r="I344" s="36"/>
      <c r="J344" s="36"/>
    </row>
    <row r="345" spans="1:10" x14ac:dyDescent="0.2">
      <c r="A345" s="36"/>
      <c r="B345" s="36"/>
      <c r="C345" s="36"/>
      <c r="D345" s="43" t="str">
        <f t="shared" si="5"/>
        <v xml:space="preserve"> </v>
      </c>
      <c r="E345" s="36"/>
      <c r="F345" s="36"/>
      <c r="G345" s="36"/>
      <c r="H345" s="36"/>
      <c r="I345" s="36"/>
      <c r="J345" s="36"/>
    </row>
    <row r="346" spans="1:10" x14ac:dyDescent="0.2">
      <c r="A346" s="36"/>
      <c r="B346" s="36"/>
      <c r="C346" s="36"/>
      <c r="D346" s="43" t="str">
        <f t="shared" si="5"/>
        <v xml:space="preserve"> </v>
      </c>
      <c r="E346" s="36"/>
      <c r="F346" s="36"/>
      <c r="G346" s="36"/>
      <c r="H346" s="36"/>
      <c r="I346" s="36"/>
      <c r="J346" s="36"/>
    </row>
    <row r="347" spans="1:10" x14ac:dyDescent="0.2">
      <c r="A347" s="36"/>
      <c r="B347" s="36"/>
      <c r="C347" s="36"/>
      <c r="D347" s="43" t="str">
        <f t="shared" si="5"/>
        <v xml:space="preserve"> </v>
      </c>
      <c r="E347" s="36"/>
      <c r="F347" s="36"/>
      <c r="G347" s="36"/>
      <c r="H347" s="36"/>
      <c r="I347" s="36"/>
      <c r="J347" s="36"/>
    </row>
    <row r="348" spans="1:10" x14ac:dyDescent="0.2">
      <c r="A348" s="36"/>
      <c r="B348" s="36"/>
      <c r="C348" s="36"/>
      <c r="D348" s="43" t="str">
        <f t="shared" si="5"/>
        <v xml:space="preserve"> </v>
      </c>
      <c r="E348" s="36"/>
      <c r="F348" s="36"/>
      <c r="G348" s="36"/>
      <c r="H348" s="36"/>
      <c r="I348" s="36"/>
      <c r="J348" s="36"/>
    </row>
    <row r="349" spans="1:10" x14ac:dyDescent="0.2">
      <c r="A349" s="36"/>
      <c r="B349" s="36"/>
      <c r="C349" s="36"/>
      <c r="D349" s="43" t="str">
        <f t="shared" si="5"/>
        <v xml:space="preserve"> </v>
      </c>
      <c r="E349" s="36"/>
      <c r="F349" s="36"/>
      <c r="G349" s="36"/>
      <c r="H349" s="36"/>
      <c r="I349" s="36"/>
      <c r="J349" s="36"/>
    </row>
    <row r="350" spans="1:10" x14ac:dyDescent="0.2">
      <c r="A350" s="36"/>
      <c r="B350" s="36"/>
      <c r="C350" s="36"/>
      <c r="D350" s="43" t="str">
        <f t="shared" ref="D350:D400" si="6">IF(C350=""," ",(VLOOKUP(C350,$H$28:$I$32,2,FALSE))*$E$36)</f>
        <v xml:space="preserve"> </v>
      </c>
      <c r="E350" s="36"/>
      <c r="F350" s="36"/>
      <c r="G350" s="36"/>
      <c r="H350" s="36"/>
      <c r="I350" s="36"/>
      <c r="J350" s="36"/>
    </row>
    <row r="351" spans="1:10" x14ac:dyDescent="0.2">
      <c r="A351" s="36"/>
      <c r="B351" s="36"/>
      <c r="C351" s="36"/>
      <c r="D351" s="43" t="str">
        <f t="shared" si="6"/>
        <v xml:space="preserve"> </v>
      </c>
      <c r="E351" s="36"/>
      <c r="F351" s="36"/>
      <c r="G351" s="36"/>
      <c r="H351" s="36"/>
      <c r="I351" s="36"/>
      <c r="J351" s="36"/>
    </row>
    <row r="352" spans="1:10" x14ac:dyDescent="0.2">
      <c r="A352" s="36"/>
      <c r="B352" s="36"/>
      <c r="C352" s="36"/>
      <c r="D352" s="43" t="str">
        <f t="shared" si="6"/>
        <v xml:space="preserve"> </v>
      </c>
      <c r="E352" s="36"/>
      <c r="F352" s="36"/>
      <c r="G352" s="36"/>
      <c r="H352" s="36"/>
      <c r="I352" s="36"/>
      <c r="J352" s="36"/>
    </row>
    <row r="353" spans="1:10" x14ac:dyDescent="0.2">
      <c r="A353" s="36"/>
      <c r="B353" s="36"/>
      <c r="C353" s="36"/>
      <c r="D353" s="43" t="str">
        <f t="shared" si="6"/>
        <v xml:space="preserve"> </v>
      </c>
      <c r="E353" s="36"/>
      <c r="F353" s="36"/>
      <c r="G353" s="36"/>
      <c r="H353" s="36"/>
      <c r="I353" s="36"/>
      <c r="J353" s="36"/>
    </row>
    <row r="354" spans="1:10" x14ac:dyDescent="0.2">
      <c r="A354" s="36"/>
      <c r="B354" s="36"/>
      <c r="C354" s="36"/>
      <c r="D354" s="43" t="str">
        <f t="shared" si="6"/>
        <v xml:space="preserve"> </v>
      </c>
      <c r="E354" s="36"/>
      <c r="F354" s="36"/>
      <c r="G354" s="36"/>
      <c r="H354" s="36"/>
      <c r="I354" s="36"/>
      <c r="J354" s="36"/>
    </row>
    <row r="355" spans="1:10" x14ac:dyDescent="0.2">
      <c r="A355" s="36"/>
      <c r="B355" s="36"/>
      <c r="C355" s="36"/>
      <c r="D355" s="43" t="str">
        <f t="shared" si="6"/>
        <v xml:space="preserve"> </v>
      </c>
      <c r="E355" s="36"/>
      <c r="F355" s="36"/>
      <c r="G355" s="36"/>
      <c r="H355" s="36"/>
      <c r="I355" s="36"/>
      <c r="J355" s="36"/>
    </row>
    <row r="356" spans="1:10" x14ac:dyDescent="0.2">
      <c r="A356" s="36"/>
      <c r="B356" s="36"/>
      <c r="C356" s="36"/>
      <c r="D356" s="43" t="str">
        <f t="shared" si="6"/>
        <v xml:space="preserve"> </v>
      </c>
      <c r="E356" s="36"/>
      <c r="F356" s="36"/>
      <c r="G356" s="36"/>
      <c r="H356" s="36"/>
      <c r="I356" s="36"/>
      <c r="J356" s="36"/>
    </row>
    <row r="357" spans="1:10" x14ac:dyDescent="0.2">
      <c r="A357" s="36"/>
      <c r="B357" s="36"/>
      <c r="C357" s="36"/>
      <c r="D357" s="43" t="str">
        <f t="shared" si="6"/>
        <v xml:space="preserve"> </v>
      </c>
      <c r="E357" s="36"/>
      <c r="F357" s="36"/>
      <c r="G357" s="36"/>
      <c r="H357" s="36"/>
      <c r="I357" s="36"/>
      <c r="J357" s="36"/>
    </row>
    <row r="358" spans="1:10" x14ac:dyDescent="0.2">
      <c r="A358" s="36"/>
      <c r="B358" s="36"/>
      <c r="C358" s="36"/>
      <c r="D358" s="43" t="str">
        <f t="shared" si="6"/>
        <v xml:space="preserve"> </v>
      </c>
      <c r="E358" s="36"/>
      <c r="F358" s="36"/>
      <c r="G358" s="36"/>
      <c r="H358" s="36"/>
      <c r="I358" s="36"/>
      <c r="J358" s="36"/>
    </row>
    <row r="359" spans="1:10" x14ac:dyDescent="0.2">
      <c r="A359" s="36"/>
      <c r="B359" s="36"/>
      <c r="C359" s="36"/>
      <c r="D359" s="43" t="str">
        <f t="shared" si="6"/>
        <v xml:space="preserve"> </v>
      </c>
      <c r="E359" s="36"/>
      <c r="F359" s="36"/>
      <c r="G359" s="36"/>
      <c r="H359" s="36"/>
      <c r="I359" s="36"/>
      <c r="J359" s="36"/>
    </row>
    <row r="360" spans="1:10" x14ac:dyDescent="0.2">
      <c r="A360" s="36"/>
      <c r="B360" s="36"/>
      <c r="C360" s="36"/>
      <c r="D360" s="43" t="str">
        <f t="shared" si="6"/>
        <v xml:space="preserve"> </v>
      </c>
      <c r="E360" s="36"/>
      <c r="F360" s="36"/>
      <c r="G360" s="36"/>
      <c r="H360" s="36"/>
      <c r="I360" s="36"/>
      <c r="J360" s="36"/>
    </row>
    <row r="361" spans="1:10" x14ac:dyDescent="0.2">
      <c r="A361" s="36"/>
      <c r="B361" s="36"/>
      <c r="C361" s="36"/>
      <c r="D361" s="43" t="str">
        <f t="shared" si="6"/>
        <v xml:space="preserve"> </v>
      </c>
      <c r="E361" s="36"/>
      <c r="F361" s="36"/>
      <c r="G361" s="36"/>
      <c r="H361" s="36"/>
      <c r="I361" s="36"/>
      <c r="J361" s="36"/>
    </row>
    <row r="362" spans="1:10" x14ac:dyDescent="0.2">
      <c r="A362" s="36"/>
      <c r="B362" s="36"/>
      <c r="C362" s="36"/>
      <c r="D362" s="43" t="str">
        <f t="shared" si="6"/>
        <v xml:space="preserve"> </v>
      </c>
      <c r="E362" s="36"/>
      <c r="F362" s="36"/>
      <c r="G362" s="36"/>
      <c r="H362" s="36"/>
      <c r="I362" s="36"/>
      <c r="J362" s="36"/>
    </row>
    <row r="363" spans="1:10" x14ac:dyDescent="0.2">
      <c r="A363" s="36"/>
      <c r="B363" s="36"/>
      <c r="C363" s="36"/>
      <c r="D363" s="43" t="str">
        <f t="shared" si="6"/>
        <v xml:space="preserve"> </v>
      </c>
      <c r="E363" s="36"/>
      <c r="F363" s="36"/>
      <c r="G363" s="36"/>
      <c r="H363" s="36"/>
      <c r="I363" s="36"/>
      <c r="J363" s="36"/>
    </row>
    <row r="364" spans="1:10" x14ac:dyDescent="0.2">
      <c r="A364" s="36"/>
      <c r="B364" s="36"/>
      <c r="C364" s="36"/>
      <c r="D364" s="43" t="str">
        <f t="shared" si="6"/>
        <v xml:space="preserve"> </v>
      </c>
      <c r="E364" s="36"/>
      <c r="F364" s="36"/>
      <c r="G364" s="36"/>
      <c r="H364" s="36"/>
      <c r="I364" s="36"/>
      <c r="J364" s="36"/>
    </row>
    <row r="365" spans="1:10" x14ac:dyDescent="0.2">
      <c r="A365" s="36"/>
      <c r="B365" s="36"/>
      <c r="C365" s="36"/>
      <c r="D365" s="43" t="str">
        <f t="shared" si="6"/>
        <v xml:space="preserve"> </v>
      </c>
      <c r="E365" s="36"/>
      <c r="F365" s="36"/>
      <c r="G365" s="36"/>
      <c r="H365" s="36"/>
      <c r="I365" s="36"/>
      <c r="J365" s="36"/>
    </row>
    <row r="366" spans="1:10" x14ac:dyDescent="0.2">
      <c r="A366" s="36"/>
      <c r="B366" s="36"/>
      <c r="C366" s="36"/>
      <c r="D366" s="43" t="str">
        <f t="shared" si="6"/>
        <v xml:space="preserve"> </v>
      </c>
      <c r="E366" s="36"/>
      <c r="F366" s="36"/>
      <c r="G366" s="36"/>
      <c r="H366" s="36"/>
      <c r="I366" s="36"/>
      <c r="J366" s="36"/>
    </row>
    <row r="367" spans="1:10" x14ac:dyDescent="0.2">
      <c r="A367" s="36"/>
      <c r="B367" s="36"/>
      <c r="C367" s="36"/>
      <c r="D367" s="43" t="str">
        <f t="shared" si="6"/>
        <v xml:space="preserve"> </v>
      </c>
      <c r="E367" s="36"/>
      <c r="F367" s="36"/>
      <c r="G367" s="36"/>
      <c r="H367" s="36"/>
      <c r="I367" s="36"/>
      <c r="J367" s="36"/>
    </row>
    <row r="368" spans="1:10" x14ac:dyDescent="0.2">
      <c r="A368" s="36"/>
      <c r="B368" s="36"/>
      <c r="C368" s="36"/>
      <c r="D368" s="43" t="str">
        <f t="shared" si="6"/>
        <v xml:space="preserve"> </v>
      </c>
      <c r="E368" s="36"/>
      <c r="F368" s="36"/>
      <c r="G368" s="36"/>
      <c r="H368" s="36"/>
      <c r="I368" s="36"/>
      <c r="J368" s="36"/>
    </row>
    <row r="369" spans="1:10" x14ac:dyDescent="0.2">
      <c r="A369" s="36"/>
      <c r="B369" s="36"/>
      <c r="C369" s="36"/>
      <c r="D369" s="43" t="str">
        <f t="shared" si="6"/>
        <v xml:space="preserve"> </v>
      </c>
      <c r="E369" s="36"/>
      <c r="F369" s="36"/>
      <c r="G369" s="36"/>
      <c r="H369" s="36"/>
      <c r="I369" s="36"/>
      <c r="J369" s="36"/>
    </row>
    <row r="370" spans="1:10" x14ac:dyDescent="0.2">
      <c r="A370" s="36"/>
      <c r="B370" s="36"/>
      <c r="C370" s="36"/>
      <c r="D370" s="43" t="str">
        <f t="shared" si="6"/>
        <v xml:space="preserve"> </v>
      </c>
      <c r="E370" s="36"/>
      <c r="F370" s="36"/>
      <c r="G370" s="36"/>
      <c r="H370" s="36"/>
      <c r="I370" s="36"/>
      <c r="J370" s="36"/>
    </row>
    <row r="371" spans="1:10" x14ac:dyDescent="0.2">
      <c r="A371" s="36"/>
      <c r="B371" s="36"/>
      <c r="C371" s="36"/>
      <c r="D371" s="43" t="str">
        <f t="shared" si="6"/>
        <v xml:space="preserve"> </v>
      </c>
      <c r="E371" s="36"/>
      <c r="F371" s="36"/>
      <c r="G371" s="36"/>
      <c r="H371" s="36"/>
      <c r="I371" s="36"/>
      <c r="J371" s="36"/>
    </row>
    <row r="372" spans="1:10" x14ac:dyDescent="0.2">
      <c r="A372" s="36"/>
      <c r="B372" s="36"/>
      <c r="C372" s="36"/>
      <c r="D372" s="43" t="str">
        <f t="shared" si="6"/>
        <v xml:space="preserve"> </v>
      </c>
      <c r="E372" s="36"/>
      <c r="F372" s="36"/>
      <c r="G372" s="36"/>
      <c r="H372" s="36"/>
      <c r="I372" s="36"/>
      <c r="J372" s="36"/>
    </row>
    <row r="373" spans="1:10" x14ac:dyDescent="0.2">
      <c r="A373" s="36"/>
      <c r="B373" s="36"/>
      <c r="C373" s="36"/>
      <c r="D373" s="43" t="str">
        <f t="shared" si="6"/>
        <v xml:space="preserve"> </v>
      </c>
      <c r="E373" s="36"/>
      <c r="F373" s="36"/>
      <c r="G373" s="36"/>
      <c r="H373" s="36"/>
      <c r="I373" s="36"/>
      <c r="J373" s="36"/>
    </row>
    <row r="374" spans="1:10" x14ac:dyDescent="0.2">
      <c r="A374" s="36"/>
      <c r="B374" s="36"/>
      <c r="C374" s="36"/>
      <c r="D374" s="43" t="str">
        <f t="shared" si="6"/>
        <v xml:space="preserve"> </v>
      </c>
      <c r="E374" s="36"/>
      <c r="F374" s="36"/>
      <c r="G374" s="36"/>
      <c r="H374" s="36"/>
      <c r="I374" s="36"/>
      <c r="J374" s="36"/>
    </row>
    <row r="375" spans="1:10" x14ac:dyDescent="0.2">
      <c r="A375" s="36"/>
      <c r="B375" s="36"/>
      <c r="C375" s="36"/>
      <c r="D375" s="43" t="str">
        <f t="shared" si="6"/>
        <v xml:space="preserve"> </v>
      </c>
      <c r="E375" s="36"/>
      <c r="F375" s="36"/>
      <c r="G375" s="36"/>
      <c r="H375" s="36"/>
      <c r="I375" s="36"/>
      <c r="J375" s="36"/>
    </row>
    <row r="376" spans="1:10" x14ac:dyDescent="0.2">
      <c r="A376" s="36"/>
      <c r="B376" s="36"/>
      <c r="C376" s="36"/>
      <c r="D376" s="43" t="str">
        <f t="shared" si="6"/>
        <v xml:space="preserve"> </v>
      </c>
      <c r="E376" s="36"/>
      <c r="F376" s="36"/>
      <c r="G376" s="36"/>
      <c r="H376" s="36"/>
      <c r="I376" s="36"/>
      <c r="J376" s="36"/>
    </row>
    <row r="377" spans="1:10" x14ac:dyDescent="0.2">
      <c r="A377" s="36"/>
      <c r="B377" s="36"/>
      <c r="C377" s="36"/>
      <c r="D377" s="43" t="str">
        <f t="shared" si="6"/>
        <v xml:space="preserve"> </v>
      </c>
      <c r="E377" s="36"/>
      <c r="F377" s="36"/>
      <c r="G377" s="36"/>
      <c r="H377" s="36"/>
      <c r="I377" s="36"/>
      <c r="J377" s="36"/>
    </row>
    <row r="378" spans="1:10" x14ac:dyDescent="0.2">
      <c r="A378" s="36"/>
      <c r="B378" s="36"/>
      <c r="C378" s="36"/>
      <c r="D378" s="43" t="str">
        <f t="shared" si="6"/>
        <v xml:space="preserve"> </v>
      </c>
      <c r="E378" s="36"/>
      <c r="F378" s="36"/>
      <c r="G378" s="36"/>
      <c r="H378" s="36"/>
      <c r="I378" s="36"/>
      <c r="J378" s="36"/>
    </row>
    <row r="379" spans="1:10" x14ac:dyDescent="0.2">
      <c r="A379" s="36"/>
      <c r="B379" s="36"/>
      <c r="C379" s="36"/>
      <c r="D379" s="43" t="str">
        <f t="shared" si="6"/>
        <v xml:space="preserve"> </v>
      </c>
      <c r="E379" s="36"/>
      <c r="F379" s="36"/>
      <c r="G379" s="36"/>
      <c r="H379" s="36"/>
      <c r="I379" s="36"/>
      <c r="J379" s="36"/>
    </row>
    <row r="380" spans="1:10" x14ac:dyDescent="0.2">
      <c r="A380" s="36"/>
      <c r="B380" s="36"/>
      <c r="C380" s="36"/>
      <c r="D380" s="43" t="str">
        <f t="shared" si="6"/>
        <v xml:space="preserve"> </v>
      </c>
      <c r="E380" s="36"/>
      <c r="F380" s="36"/>
      <c r="G380" s="36"/>
      <c r="H380" s="36"/>
      <c r="I380" s="36"/>
      <c r="J380" s="36"/>
    </row>
    <row r="381" spans="1:10" x14ac:dyDescent="0.2">
      <c r="A381" s="36"/>
      <c r="B381" s="36"/>
      <c r="C381" s="36"/>
      <c r="D381" s="43" t="str">
        <f t="shared" si="6"/>
        <v xml:space="preserve"> </v>
      </c>
      <c r="E381" s="36"/>
      <c r="F381" s="36"/>
      <c r="G381" s="36"/>
      <c r="H381" s="36"/>
      <c r="I381" s="36"/>
      <c r="J381" s="36"/>
    </row>
    <row r="382" spans="1:10" x14ac:dyDescent="0.2">
      <c r="A382" s="36"/>
      <c r="B382" s="36"/>
      <c r="C382" s="36"/>
      <c r="D382" s="43" t="str">
        <f t="shared" si="6"/>
        <v xml:space="preserve"> </v>
      </c>
      <c r="E382" s="36"/>
      <c r="F382" s="36"/>
      <c r="G382" s="36"/>
      <c r="H382" s="36"/>
      <c r="I382" s="36"/>
      <c r="J382" s="36"/>
    </row>
    <row r="383" spans="1:10" x14ac:dyDescent="0.2">
      <c r="A383" s="36"/>
      <c r="B383" s="36"/>
      <c r="C383" s="36"/>
      <c r="D383" s="43" t="str">
        <f t="shared" si="6"/>
        <v xml:space="preserve"> </v>
      </c>
      <c r="E383" s="36"/>
      <c r="F383" s="36"/>
      <c r="G383" s="36"/>
      <c r="H383" s="36"/>
      <c r="I383" s="36"/>
      <c r="J383" s="36"/>
    </row>
    <row r="384" spans="1:10" x14ac:dyDescent="0.2">
      <c r="A384" s="36"/>
      <c r="B384" s="36"/>
      <c r="C384" s="36"/>
      <c r="D384" s="43" t="str">
        <f t="shared" si="6"/>
        <v xml:space="preserve"> </v>
      </c>
      <c r="E384" s="36"/>
      <c r="F384" s="36"/>
      <c r="G384" s="36"/>
      <c r="H384" s="36"/>
      <c r="I384" s="36"/>
      <c r="J384" s="36"/>
    </row>
    <row r="385" spans="1:10" x14ac:dyDescent="0.2">
      <c r="A385" s="36"/>
      <c r="B385" s="36"/>
      <c r="C385" s="36"/>
      <c r="D385" s="43" t="str">
        <f t="shared" si="6"/>
        <v xml:space="preserve"> </v>
      </c>
      <c r="E385" s="36"/>
      <c r="F385" s="36"/>
      <c r="G385" s="36"/>
      <c r="H385" s="36"/>
      <c r="I385" s="36"/>
      <c r="J385" s="36"/>
    </row>
    <row r="386" spans="1:10" x14ac:dyDescent="0.2">
      <c r="A386" s="36"/>
      <c r="B386" s="36"/>
      <c r="C386" s="36"/>
      <c r="D386" s="43" t="str">
        <f t="shared" si="6"/>
        <v xml:space="preserve"> </v>
      </c>
      <c r="E386" s="36"/>
      <c r="F386" s="36"/>
      <c r="G386" s="36"/>
      <c r="H386" s="36"/>
      <c r="I386" s="36"/>
      <c r="J386" s="36"/>
    </row>
    <row r="387" spans="1:10" x14ac:dyDescent="0.2">
      <c r="A387" s="36"/>
      <c r="B387" s="36"/>
      <c r="C387" s="36"/>
      <c r="D387" s="43" t="str">
        <f t="shared" si="6"/>
        <v xml:space="preserve"> </v>
      </c>
      <c r="E387" s="36"/>
      <c r="F387" s="36"/>
      <c r="G387" s="36"/>
      <c r="H387" s="36"/>
      <c r="I387" s="36"/>
      <c r="J387" s="36"/>
    </row>
    <row r="388" spans="1:10" x14ac:dyDescent="0.2">
      <c r="A388" s="36"/>
      <c r="B388" s="36"/>
      <c r="C388" s="36"/>
      <c r="D388" s="43" t="str">
        <f t="shared" si="6"/>
        <v xml:space="preserve"> </v>
      </c>
      <c r="E388" s="36"/>
      <c r="F388" s="36"/>
      <c r="G388" s="36"/>
      <c r="H388" s="36"/>
      <c r="I388" s="36"/>
      <c r="J388" s="36"/>
    </row>
    <row r="389" spans="1:10" x14ac:dyDescent="0.2">
      <c r="A389" s="36"/>
      <c r="B389" s="36"/>
      <c r="C389" s="36"/>
      <c r="D389" s="43" t="str">
        <f t="shared" si="6"/>
        <v xml:space="preserve"> </v>
      </c>
      <c r="E389" s="36"/>
      <c r="F389" s="36"/>
      <c r="G389" s="36"/>
      <c r="H389" s="36"/>
      <c r="I389" s="36"/>
      <c r="J389" s="36"/>
    </row>
    <row r="390" spans="1:10" x14ac:dyDescent="0.2">
      <c r="A390" s="36"/>
      <c r="B390" s="36"/>
      <c r="C390" s="36"/>
      <c r="D390" s="43" t="str">
        <f t="shared" si="6"/>
        <v xml:space="preserve"> </v>
      </c>
      <c r="E390" s="36"/>
      <c r="F390" s="36"/>
      <c r="G390" s="36"/>
      <c r="H390" s="36"/>
      <c r="I390" s="36"/>
      <c r="J390" s="36"/>
    </row>
    <row r="391" spans="1:10" x14ac:dyDescent="0.2">
      <c r="A391" s="36"/>
      <c r="B391" s="36"/>
      <c r="C391" s="36"/>
      <c r="D391" s="43" t="str">
        <f t="shared" si="6"/>
        <v xml:space="preserve"> </v>
      </c>
      <c r="E391" s="36"/>
      <c r="F391" s="36"/>
      <c r="G391" s="36"/>
      <c r="H391" s="36"/>
      <c r="I391" s="36"/>
      <c r="J391" s="36"/>
    </row>
    <row r="392" spans="1:10" x14ac:dyDescent="0.2">
      <c r="A392" s="36"/>
      <c r="B392" s="36"/>
      <c r="C392" s="36"/>
      <c r="D392" s="43" t="str">
        <f t="shared" si="6"/>
        <v xml:space="preserve"> </v>
      </c>
      <c r="E392" s="36"/>
      <c r="F392" s="36"/>
      <c r="G392" s="36"/>
      <c r="H392" s="36"/>
      <c r="I392" s="36"/>
      <c r="J392" s="36"/>
    </row>
    <row r="393" spans="1:10" x14ac:dyDescent="0.2">
      <c r="A393" s="36"/>
      <c r="B393" s="36"/>
      <c r="C393" s="36"/>
      <c r="D393" s="43" t="str">
        <f t="shared" si="6"/>
        <v xml:space="preserve"> </v>
      </c>
      <c r="E393" s="36"/>
      <c r="F393" s="36"/>
      <c r="G393" s="36"/>
      <c r="H393" s="36"/>
      <c r="I393" s="36"/>
      <c r="J393" s="36"/>
    </row>
    <row r="394" spans="1:10" x14ac:dyDescent="0.2">
      <c r="A394" s="36"/>
      <c r="B394" s="36"/>
      <c r="C394" s="36"/>
      <c r="D394" s="43" t="str">
        <f t="shared" si="6"/>
        <v xml:space="preserve"> </v>
      </c>
      <c r="E394" s="36"/>
      <c r="F394" s="36"/>
      <c r="G394" s="36"/>
      <c r="H394" s="36"/>
      <c r="I394" s="36"/>
      <c r="J394" s="36"/>
    </row>
    <row r="395" spans="1:10" x14ac:dyDescent="0.2">
      <c r="A395" s="36"/>
      <c r="B395" s="36"/>
      <c r="C395" s="36"/>
      <c r="D395" s="43" t="str">
        <f t="shared" si="6"/>
        <v xml:space="preserve"> </v>
      </c>
      <c r="E395" s="36"/>
      <c r="F395" s="36"/>
      <c r="G395" s="36"/>
      <c r="H395" s="36"/>
      <c r="I395" s="36"/>
      <c r="J395" s="36"/>
    </row>
    <row r="396" spans="1:10" x14ac:dyDescent="0.2">
      <c r="A396" s="36"/>
      <c r="B396" s="36"/>
      <c r="C396" s="36"/>
      <c r="D396" s="43" t="str">
        <f t="shared" si="6"/>
        <v xml:space="preserve"> </v>
      </c>
      <c r="E396" s="36"/>
      <c r="F396" s="36"/>
      <c r="G396" s="36"/>
      <c r="H396" s="36"/>
      <c r="I396" s="36"/>
      <c r="J396" s="36"/>
    </row>
    <row r="397" spans="1:10" x14ac:dyDescent="0.2">
      <c r="A397" s="36"/>
      <c r="B397" s="36"/>
      <c r="C397" s="36"/>
      <c r="D397" s="43" t="str">
        <f t="shared" si="6"/>
        <v xml:space="preserve"> </v>
      </c>
      <c r="E397" s="36"/>
      <c r="F397" s="36"/>
      <c r="G397" s="36"/>
      <c r="H397" s="36"/>
      <c r="I397" s="36"/>
      <c r="J397" s="36"/>
    </row>
    <row r="398" spans="1:10" x14ac:dyDescent="0.2">
      <c r="A398" s="36"/>
      <c r="B398" s="36"/>
      <c r="C398" s="36"/>
      <c r="D398" s="43" t="str">
        <f t="shared" si="6"/>
        <v xml:space="preserve"> </v>
      </c>
      <c r="E398" s="36"/>
      <c r="F398" s="36"/>
      <c r="G398" s="36"/>
      <c r="H398" s="36"/>
      <c r="I398" s="36"/>
      <c r="J398" s="36"/>
    </row>
    <row r="399" spans="1:10" x14ac:dyDescent="0.2">
      <c r="A399" s="36"/>
      <c r="B399" s="36"/>
      <c r="C399" s="36"/>
      <c r="D399" s="43" t="str">
        <f t="shared" si="6"/>
        <v xml:space="preserve"> </v>
      </c>
      <c r="E399" s="36"/>
      <c r="F399" s="36"/>
      <c r="G399" s="36"/>
      <c r="H399" s="36"/>
      <c r="I399" s="36"/>
      <c r="J399" s="36"/>
    </row>
    <row r="400" spans="1:10" x14ac:dyDescent="0.2">
      <c r="A400" s="36"/>
      <c r="B400" s="36"/>
      <c r="C400" s="36"/>
      <c r="D400" s="43" t="str">
        <f t="shared" si="6"/>
        <v xml:space="preserve"> </v>
      </c>
      <c r="E400" s="36"/>
      <c r="F400" s="36"/>
      <c r="G400" s="36"/>
      <c r="H400" s="36"/>
      <c r="I400" s="36"/>
      <c r="J400" s="36"/>
    </row>
  </sheetData>
  <sheetProtection sheet="1" objects="1" scenarios="1" selectLockedCells="1"/>
  <mergeCells count="2">
    <mergeCell ref="B1:C1"/>
    <mergeCell ref="B15:C15"/>
  </mergeCells>
  <dataValidations count="1">
    <dataValidation type="list" allowBlank="1" showInputMessage="1" showErrorMessage="1" sqref="C29:C91">
      <formula1>$H$29:$H$32</formula1>
    </dataValidation>
  </dataValidations>
  <pageMargins left="0.7" right="0.7" top="0.78740157499999996" bottom="0.78740157499999996" header="0.3" footer="0.3"/>
  <pageSetup paperSize="9" scale="34" orientation="portrait" r:id="rId1"/>
  <drawing r:id="rId2"/>
  <legacyDrawing r:id="rId3"/>
  <controls>
    <mc:AlternateContent xmlns:mc="http://schemas.openxmlformats.org/markup-compatibility/2006">
      <mc:Choice Requires="x14">
        <control shapeId="26627" r:id="rId4" name="CommandButton1">
          <controlPr defaultSize="0" autoLine="0" r:id="rId5">
            <anchor moveWithCells="1">
              <from>
                <xdr:col>0</xdr:col>
                <xdr:colOff>9525</xdr:colOff>
                <xdr:row>0</xdr:row>
                <xdr:rowOff>0</xdr:rowOff>
              </from>
              <to>
                <xdr:col>0</xdr:col>
                <xdr:colOff>1228725</xdr:colOff>
                <xdr:row>1</xdr:row>
                <xdr:rowOff>76200</xdr:rowOff>
              </to>
            </anchor>
          </controlPr>
        </control>
      </mc:Choice>
      <mc:Fallback>
        <control shapeId="26627" r:id="rId4" name="CommandButton1"/>
      </mc:Fallback>
    </mc:AlternateContent>
  </controls>
  <tableParts count="1">
    <tablePart r:id="rId6"/>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0">
    <tabColor rgb="FFC00000"/>
    <pageSetUpPr fitToPage="1"/>
  </sheetPr>
  <dimension ref="A1:X946"/>
  <sheetViews>
    <sheetView tabSelected="1" zoomScaleNormal="100" workbookViewId="0">
      <selection activeCell="F14" sqref="F14"/>
    </sheetView>
  </sheetViews>
  <sheetFormatPr baseColWidth="10" defaultRowHeight="14.25" x14ac:dyDescent="0.2"/>
  <cols>
    <col min="1" max="1" width="17.625" style="37" customWidth="1"/>
    <col min="2" max="2" width="14.75" style="37" bestFit="1" customWidth="1"/>
    <col min="3" max="3" width="20.75" style="37" bestFit="1" customWidth="1"/>
    <col min="4" max="4" width="17.375" style="37" bestFit="1" customWidth="1"/>
    <col min="5" max="5" width="13" style="108" customWidth="1"/>
    <col min="6" max="6" width="13.25" style="105" customWidth="1"/>
    <col min="15" max="19" width="11" style="36"/>
  </cols>
  <sheetData>
    <row r="1" spans="1:24" ht="15.75" thickBot="1" x14ac:dyDescent="0.3">
      <c r="A1" s="34" t="s">
        <v>44</v>
      </c>
      <c r="B1" s="35" t="s">
        <v>42</v>
      </c>
      <c r="C1" s="35" t="s">
        <v>43</v>
      </c>
      <c r="D1" s="66" t="s">
        <v>41</v>
      </c>
      <c r="E1" s="112" t="s">
        <v>87</v>
      </c>
      <c r="F1" s="109" t="s">
        <v>88</v>
      </c>
      <c r="G1" s="36"/>
      <c r="H1" s="36"/>
      <c r="I1" s="36"/>
      <c r="J1" s="36"/>
      <c r="K1" s="36"/>
      <c r="L1" s="36"/>
      <c r="M1" s="36"/>
      <c r="N1" s="36"/>
      <c r="W1" s="18">
        <f>COUNTIF(A2:A1504,"&lt;&gt;")</f>
        <v>4</v>
      </c>
      <c r="X1" s="17">
        <f>IF(W1=0,1,COUNTIF(A2:A1504,"&lt;&gt;"))</f>
        <v>4</v>
      </c>
    </row>
    <row r="2" spans="1:24" x14ac:dyDescent="0.2">
      <c r="A2" s="67" t="s">
        <v>84</v>
      </c>
      <c r="B2" s="118">
        <v>0</v>
      </c>
      <c r="C2" s="119">
        <v>0</v>
      </c>
      <c r="D2" s="68"/>
      <c r="E2" s="115" t="e">
        <v>#DIV/0!</v>
      </c>
      <c r="F2" s="116" t="e">
        <v>#DIV/0!</v>
      </c>
      <c r="G2" s="36"/>
      <c r="H2" s="36"/>
      <c r="I2" s="36"/>
      <c r="J2" s="36"/>
      <c r="K2" s="36"/>
      <c r="L2" s="36"/>
      <c r="M2" s="36"/>
      <c r="N2" s="36"/>
    </row>
    <row r="3" spans="1:24" x14ac:dyDescent="0.2">
      <c r="A3" s="67" t="s">
        <v>69</v>
      </c>
      <c r="B3" s="119">
        <v>0</v>
      </c>
      <c r="C3" s="119">
        <v>0</v>
      </c>
      <c r="D3" s="68"/>
      <c r="E3" s="113" t="e">
        <v>#DIV/0!</v>
      </c>
      <c r="F3" s="110" t="e">
        <v>#DIV/0!</v>
      </c>
      <c r="G3" s="36"/>
      <c r="H3" s="36"/>
      <c r="I3" s="36"/>
      <c r="J3" s="36"/>
      <c r="K3" s="36"/>
      <c r="L3" s="36"/>
      <c r="M3" s="36"/>
      <c r="N3" s="36"/>
    </row>
    <row r="4" spans="1:24" x14ac:dyDescent="0.2">
      <c r="A4" s="67" t="s">
        <v>79</v>
      </c>
      <c r="B4" s="119">
        <v>0</v>
      </c>
      <c r="C4" s="119">
        <v>0</v>
      </c>
      <c r="D4" s="68"/>
      <c r="E4" s="115" t="e">
        <v>#DIV/0!</v>
      </c>
      <c r="F4" s="116" t="e">
        <v>#DIV/0!</v>
      </c>
      <c r="G4" s="36"/>
      <c r="H4" s="36"/>
      <c r="I4" s="36"/>
      <c r="J4" s="36"/>
      <c r="K4" s="36"/>
      <c r="L4" s="36"/>
      <c r="M4" s="36"/>
      <c r="N4" s="36"/>
      <c r="P4" s="54">
        <f>'Modell-Kalibrierung'!E39</f>
        <v>146</v>
      </c>
    </row>
    <row r="5" spans="1:24" x14ac:dyDescent="0.2">
      <c r="A5" s="67" t="s">
        <v>89</v>
      </c>
      <c r="B5" s="119">
        <v>0</v>
      </c>
      <c r="C5" s="119">
        <v>0</v>
      </c>
      <c r="D5" s="68"/>
      <c r="E5" s="113" t="e">
        <v>#DIV/0!</v>
      </c>
      <c r="F5" s="110" t="e">
        <v>#DIV/0!</v>
      </c>
      <c r="G5" s="36"/>
      <c r="H5" s="36"/>
      <c r="I5" s="36"/>
      <c r="J5" s="36"/>
      <c r="K5" s="36"/>
      <c r="L5" s="36"/>
      <c r="M5" s="36"/>
      <c r="N5" s="36"/>
    </row>
    <row r="6" spans="1:24" x14ac:dyDescent="0.2">
      <c r="A6" s="67"/>
      <c r="B6" s="38"/>
      <c r="C6" s="38"/>
      <c r="D6" s="68"/>
      <c r="E6" s="115"/>
      <c r="F6" s="116"/>
      <c r="G6" s="36"/>
      <c r="H6" s="36"/>
      <c r="I6" s="36"/>
      <c r="J6" s="36"/>
      <c r="K6" s="36"/>
      <c r="L6" s="36"/>
      <c r="M6" s="36"/>
      <c r="N6" s="36"/>
    </row>
    <row r="7" spans="1:24" x14ac:dyDescent="0.2">
      <c r="A7" s="67"/>
      <c r="B7" s="38"/>
      <c r="C7" s="38"/>
      <c r="D7" s="68"/>
      <c r="E7" s="113"/>
      <c r="F7" s="110"/>
      <c r="G7" s="36"/>
      <c r="H7" s="36"/>
      <c r="I7" s="36"/>
      <c r="J7" s="36"/>
      <c r="K7" s="36"/>
      <c r="L7" s="36"/>
      <c r="M7" s="36"/>
      <c r="N7" s="36"/>
    </row>
    <row r="8" spans="1:24" x14ac:dyDescent="0.2">
      <c r="A8" s="67"/>
      <c r="B8" s="38"/>
      <c r="C8" s="38"/>
      <c r="D8" s="68"/>
      <c r="E8" s="115"/>
      <c r="F8" s="116"/>
      <c r="G8" s="36"/>
      <c r="H8" s="36"/>
      <c r="I8" s="36"/>
      <c r="J8" s="36"/>
      <c r="K8" s="36"/>
      <c r="L8" s="36"/>
      <c r="M8" s="36"/>
      <c r="N8" s="36"/>
    </row>
    <row r="9" spans="1:24" x14ac:dyDescent="0.2">
      <c r="A9" s="67"/>
      <c r="B9" s="38"/>
      <c r="C9" s="38"/>
      <c r="D9" s="68"/>
      <c r="E9" s="113"/>
      <c r="F9" s="110"/>
      <c r="G9" s="36"/>
      <c r="H9" s="36"/>
      <c r="I9" s="36"/>
      <c r="J9" s="36"/>
      <c r="K9" s="36"/>
      <c r="L9" s="36"/>
      <c r="M9" s="36"/>
      <c r="N9" s="36"/>
    </row>
    <row r="10" spans="1:24" x14ac:dyDescent="0.2">
      <c r="A10" s="67"/>
      <c r="B10" s="38"/>
      <c r="C10" s="38"/>
      <c r="D10" s="68"/>
      <c r="E10" s="115"/>
      <c r="F10" s="116"/>
      <c r="G10" s="36"/>
      <c r="H10" s="36"/>
      <c r="I10" s="36"/>
      <c r="J10" s="36"/>
      <c r="K10" s="36"/>
      <c r="L10" s="36"/>
      <c r="M10" s="36"/>
      <c r="N10" s="36"/>
    </row>
    <row r="11" spans="1:24" x14ac:dyDescent="0.2">
      <c r="A11" s="67"/>
      <c r="B11" s="38"/>
      <c r="C11" s="38"/>
      <c r="D11" s="68"/>
      <c r="E11" s="113"/>
      <c r="F11" s="110"/>
      <c r="G11" s="36"/>
      <c r="H11" s="36"/>
      <c r="I11" s="36"/>
      <c r="J11" s="36"/>
      <c r="K11" s="36"/>
      <c r="L11" s="36"/>
      <c r="M11" s="36"/>
      <c r="N11" s="36"/>
    </row>
    <row r="12" spans="1:24" x14ac:dyDescent="0.2">
      <c r="A12" s="67"/>
      <c r="B12" s="38"/>
      <c r="C12" s="38"/>
      <c r="D12" s="68"/>
      <c r="E12" s="115"/>
      <c r="F12" s="116"/>
      <c r="G12" s="36"/>
      <c r="H12" s="36"/>
      <c r="I12" s="36"/>
      <c r="J12" s="36"/>
      <c r="K12" s="36"/>
      <c r="L12" s="36"/>
      <c r="M12" s="36"/>
      <c r="N12" s="36"/>
    </row>
    <row r="13" spans="1:24" x14ac:dyDescent="0.2">
      <c r="A13" s="67"/>
      <c r="B13" s="38"/>
      <c r="C13" s="38"/>
      <c r="D13" s="68"/>
      <c r="E13" s="113"/>
      <c r="F13" s="110"/>
      <c r="G13" s="36"/>
      <c r="H13" s="36"/>
      <c r="I13" s="36"/>
      <c r="J13" s="36"/>
      <c r="K13" s="36"/>
      <c r="L13" s="36"/>
      <c r="M13" s="36"/>
      <c r="N13" s="36"/>
    </row>
    <row r="14" spans="1:24" x14ac:dyDescent="0.2">
      <c r="A14" s="67"/>
      <c r="B14" s="38"/>
      <c r="C14" s="38"/>
      <c r="D14" s="68"/>
      <c r="E14" s="115"/>
      <c r="F14" s="116"/>
      <c r="G14" s="36"/>
      <c r="H14" s="36"/>
      <c r="I14" s="36"/>
      <c r="J14" s="36"/>
      <c r="K14" s="36"/>
      <c r="L14" s="36"/>
      <c r="M14" s="36"/>
      <c r="N14" s="36"/>
    </row>
    <row r="15" spans="1:24" x14ac:dyDescent="0.2">
      <c r="A15" s="67"/>
      <c r="B15" s="38"/>
      <c r="C15" s="38"/>
      <c r="D15" s="68"/>
      <c r="E15" s="113"/>
      <c r="F15" s="110"/>
      <c r="G15" s="36"/>
      <c r="H15" s="36"/>
      <c r="I15" s="36"/>
      <c r="J15" s="36"/>
      <c r="K15" s="36"/>
      <c r="L15" s="36"/>
      <c r="M15" s="36"/>
      <c r="N15" s="36"/>
    </row>
    <row r="16" spans="1:24" x14ac:dyDescent="0.2">
      <c r="A16" s="67"/>
      <c r="B16" s="38"/>
      <c r="C16" s="38"/>
      <c r="D16" s="68"/>
      <c r="E16" s="115"/>
      <c r="F16" s="116"/>
      <c r="G16" s="36"/>
      <c r="H16" s="36"/>
      <c r="I16" s="36"/>
      <c r="J16" s="36"/>
      <c r="K16" s="36"/>
      <c r="L16" s="36"/>
      <c r="M16" s="36"/>
      <c r="N16" s="36"/>
    </row>
    <row r="17" spans="1:14" x14ac:dyDescent="0.2">
      <c r="A17" s="67"/>
      <c r="B17" s="38"/>
      <c r="C17" s="38"/>
      <c r="D17" s="68"/>
      <c r="E17" s="113"/>
      <c r="F17" s="110"/>
      <c r="G17" s="36"/>
      <c r="H17" s="36"/>
      <c r="I17" s="36"/>
      <c r="J17" s="36"/>
      <c r="K17" s="36"/>
      <c r="L17" s="36"/>
      <c r="M17" s="36"/>
      <c r="N17" s="36"/>
    </row>
    <row r="18" spans="1:14" x14ac:dyDescent="0.2">
      <c r="A18" s="67"/>
      <c r="B18" s="38"/>
      <c r="C18" s="38"/>
      <c r="D18" s="68"/>
      <c r="E18" s="115"/>
      <c r="F18" s="116"/>
      <c r="G18" s="36"/>
      <c r="H18" s="36"/>
      <c r="I18" s="36"/>
      <c r="J18" s="36"/>
      <c r="K18" s="36"/>
      <c r="L18" s="36"/>
      <c r="M18" s="36"/>
      <c r="N18" s="36"/>
    </row>
    <row r="19" spans="1:14" x14ac:dyDescent="0.2">
      <c r="A19" s="67"/>
      <c r="B19" s="38"/>
      <c r="C19" s="38"/>
      <c r="D19" s="68"/>
      <c r="E19" s="113"/>
      <c r="F19" s="110"/>
      <c r="G19" s="36"/>
      <c r="H19" s="36"/>
      <c r="I19" s="36"/>
      <c r="J19" s="36"/>
      <c r="K19" s="36"/>
      <c r="L19" s="36"/>
      <c r="M19" s="36"/>
      <c r="N19" s="36"/>
    </row>
    <row r="20" spans="1:14" x14ac:dyDescent="0.2">
      <c r="A20" s="67"/>
      <c r="B20" s="38"/>
      <c r="C20" s="38"/>
      <c r="D20" s="68"/>
      <c r="E20" s="115"/>
      <c r="F20" s="116"/>
      <c r="G20" s="36"/>
      <c r="H20" s="36"/>
      <c r="I20" s="36"/>
      <c r="J20" s="36"/>
      <c r="K20" s="36"/>
      <c r="L20" s="36"/>
      <c r="M20" s="36"/>
      <c r="N20" s="36"/>
    </row>
    <row r="21" spans="1:14" x14ac:dyDescent="0.2">
      <c r="A21" s="67"/>
      <c r="B21" s="38"/>
      <c r="C21" s="38"/>
      <c r="D21" s="68"/>
      <c r="E21" s="113"/>
      <c r="F21" s="110"/>
      <c r="G21" s="36"/>
      <c r="H21" s="36"/>
      <c r="I21" s="36"/>
      <c r="J21" s="36"/>
      <c r="K21" s="36"/>
      <c r="L21" s="36"/>
      <c r="M21" s="36"/>
      <c r="N21" s="36"/>
    </row>
    <row r="22" spans="1:14" x14ac:dyDescent="0.2">
      <c r="A22" s="67"/>
      <c r="B22" s="38"/>
      <c r="C22" s="38"/>
      <c r="D22" s="68"/>
      <c r="E22" s="115"/>
      <c r="F22" s="116"/>
      <c r="G22" s="36"/>
      <c r="H22" s="36"/>
      <c r="I22" s="36"/>
      <c r="J22" s="36"/>
      <c r="K22" s="36"/>
      <c r="L22" s="36"/>
      <c r="M22" s="36"/>
      <c r="N22" s="36"/>
    </row>
    <row r="23" spans="1:14" x14ac:dyDescent="0.2">
      <c r="A23" s="67"/>
      <c r="B23" s="38"/>
      <c r="C23" s="38"/>
      <c r="D23" s="68"/>
      <c r="E23" s="113"/>
      <c r="F23" s="110"/>
      <c r="G23" s="36"/>
      <c r="H23" s="36"/>
      <c r="I23" s="36"/>
      <c r="J23" s="36"/>
      <c r="K23" s="36"/>
      <c r="L23" s="36"/>
      <c r="M23" s="36"/>
      <c r="N23" s="36"/>
    </row>
    <row r="24" spans="1:14" x14ac:dyDescent="0.2">
      <c r="A24" s="67"/>
      <c r="B24" s="38"/>
      <c r="C24" s="38"/>
      <c r="D24" s="68"/>
      <c r="E24" s="115"/>
      <c r="F24" s="116"/>
      <c r="G24" s="36"/>
      <c r="H24" s="36"/>
      <c r="I24" s="36"/>
      <c r="J24" s="36"/>
      <c r="K24" s="36"/>
      <c r="L24" s="36"/>
      <c r="M24" s="36"/>
      <c r="N24" s="36"/>
    </row>
    <row r="25" spans="1:14" x14ac:dyDescent="0.2">
      <c r="A25" s="67"/>
      <c r="B25" s="38"/>
      <c r="C25" s="38"/>
      <c r="D25" s="68"/>
      <c r="E25" s="113"/>
      <c r="F25" s="110"/>
      <c r="G25" s="36"/>
      <c r="H25" s="36"/>
      <c r="I25" s="36"/>
      <c r="J25" s="36"/>
      <c r="K25" s="36"/>
      <c r="L25" s="36"/>
      <c r="M25" s="36"/>
      <c r="N25" s="36"/>
    </row>
    <row r="26" spans="1:14" x14ac:dyDescent="0.2">
      <c r="A26" s="67"/>
      <c r="B26" s="38"/>
      <c r="C26" s="38"/>
      <c r="D26" s="68"/>
      <c r="E26" s="115"/>
      <c r="F26" s="116"/>
      <c r="G26" s="36"/>
      <c r="H26" s="36"/>
      <c r="I26" s="36"/>
      <c r="J26" s="36"/>
      <c r="K26" s="36"/>
      <c r="L26" s="36"/>
      <c r="M26" s="36"/>
      <c r="N26" s="36"/>
    </row>
    <row r="27" spans="1:14" x14ac:dyDescent="0.2">
      <c r="A27" s="67"/>
      <c r="B27" s="38"/>
      <c r="C27" s="38"/>
      <c r="D27" s="68"/>
      <c r="E27" s="113"/>
      <c r="F27" s="110"/>
      <c r="G27" s="36"/>
      <c r="H27" s="36"/>
      <c r="I27" s="36"/>
      <c r="J27" s="36"/>
      <c r="K27" s="36"/>
      <c r="L27" s="36"/>
      <c r="M27" s="36"/>
      <c r="N27" s="36"/>
    </row>
    <row r="28" spans="1:14" x14ac:dyDescent="0.2">
      <c r="A28" s="67"/>
      <c r="B28" s="38"/>
      <c r="C28" s="38"/>
      <c r="D28" s="68"/>
      <c r="E28" s="115"/>
      <c r="F28" s="116"/>
      <c r="G28" s="36"/>
      <c r="H28" s="36"/>
      <c r="I28" s="36"/>
      <c r="J28" s="36"/>
      <c r="K28" s="36"/>
      <c r="L28" s="36"/>
      <c r="M28" s="36"/>
      <c r="N28" s="36"/>
    </row>
    <row r="29" spans="1:14" x14ac:dyDescent="0.2">
      <c r="A29" s="67"/>
      <c r="B29" s="38"/>
      <c r="C29" s="38"/>
      <c r="D29" s="68"/>
      <c r="E29" s="113"/>
      <c r="F29" s="110"/>
      <c r="G29" s="36"/>
      <c r="H29" s="36"/>
      <c r="I29" s="36"/>
      <c r="J29" s="36"/>
      <c r="K29" s="36"/>
      <c r="L29" s="36"/>
      <c r="M29" s="36"/>
      <c r="N29" s="36"/>
    </row>
    <row r="30" spans="1:14" x14ac:dyDescent="0.2">
      <c r="A30" s="67"/>
      <c r="B30" s="38"/>
      <c r="C30" s="38"/>
      <c r="D30" s="68"/>
      <c r="E30" s="115"/>
      <c r="F30" s="116"/>
      <c r="G30" s="36"/>
      <c r="H30" s="36"/>
      <c r="I30" s="36"/>
      <c r="J30" s="36"/>
      <c r="K30" s="36"/>
      <c r="L30" s="36"/>
      <c r="M30" s="36"/>
      <c r="N30" s="36"/>
    </row>
    <row r="31" spans="1:14" x14ac:dyDescent="0.2">
      <c r="A31" s="67"/>
      <c r="B31" s="38"/>
      <c r="C31" s="38"/>
      <c r="D31" s="68"/>
      <c r="E31" s="113"/>
      <c r="F31" s="110"/>
      <c r="G31" s="36"/>
      <c r="H31" s="36"/>
      <c r="I31" s="36"/>
      <c r="J31" s="36"/>
      <c r="K31" s="36"/>
      <c r="L31" s="36"/>
      <c r="M31" s="36"/>
      <c r="N31" s="36"/>
    </row>
    <row r="32" spans="1:14" x14ac:dyDescent="0.2">
      <c r="A32" s="67"/>
      <c r="B32" s="38"/>
      <c r="C32" s="38"/>
      <c r="D32" s="68"/>
      <c r="E32" s="115"/>
      <c r="F32" s="116"/>
      <c r="G32" s="36"/>
      <c r="H32" s="36"/>
      <c r="I32" s="36"/>
      <c r="J32" s="36"/>
      <c r="K32" s="36"/>
      <c r="L32" s="36"/>
      <c r="M32" s="36"/>
      <c r="N32" s="36"/>
    </row>
    <row r="33" spans="1:14" x14ac:dyDescent="0.2">
      <c r="A33" s="67"/>
      <c r="B33" s="38"/>
      <c r="C33" s="38"/>
      <c r="D33" s="68"/>
      <c r="E33" s="113"/>
      <c r="F33" s="110"/>
      <c r="G33" s="36"/>
      <c r="H33" s="36"/>
      <c r="I33" s="36"/>
      <c r="J33" s="36"/>
      <c r="K33" s="36"/>
      <c r="L33" s="36"/>
      <c r="M33" s="36"/>
      <c r="N33" s="36"/>
    </row>
    <row r="34" spans="1:14" x14ac:dyDescent="0.2">
      <c r="A34" s="67"/>
      <c r="B34" s="38"/>
      <c r="C34" s="38"/>
      <c r="D34" s="68"/>
      <c r="E34" s="115"/>
      <c r="F34" s="116"/>
      <c r="G34" s="36"/>
      <c r="H34" s="36"/>
      <c r="I34" s="36"/>
      <c r="J34" s="36"/>
      <c r="K34" s="36"/>
      <c r="L34" s="36"/>
      <c r="M34" s="36"/>
      <c r="N34" s="36"/>
    </row>
    <row r="35" spans="1:14" x14ac:dyDescent="0.2">
      <c r="A35" s="67"/>
      <c r="B35" s="38"/>
      <c r="C35" s="38"/>
      <c r="D35" s="68"/>
      <c r="E35" s="113"/>
      <c r="F35" s="110"/>
      <c r="G35" s="36"/>
      <c r="H35" s="36"/>
      <c r="I35" s="36"/>
      <c r="J35" s="36"/>
      <c r="K35" s="36"/>
      <c r="L35" s="36"/>
      <c r="M35" s="36"/>
      <c r="N35" s="36"/>
    </row>
    <row r="36" spans="1:14" x14ac:dyDescent="0.2">
      <c r="A36" s="67"/>
      <c r="B36" s="38"/>
      <c r="C36" s="38"/>
      <c r="D36" s="68"/>
      <c r="E36" s="115"/>
      <c r="F36" s="116"/>
      <c r="G36" s="36"/>
      <c r="H36" s="36"/>
      <c r="I36" s="36"/>
      <c r="J36" s="36"/>
      <c r="K36" s="36"/>
      <c r="L36" s="36"/>
      <c r="M36" s="36"/>
      <c r="N36" s="36"/>
    </row>
    <row r="37" spans="1:14" x14ac:dyDescent="0.2">
      <c r="A37" s="67"/>
      <c r="B37" s="38"/>
      <c r="C37" s="38"/>
      <c r="D37" s="68"/>
      <c r="E37" s="113"/>
      <c r="F37" s="110"/>
      <c r="G37" s="36"/>
      <c r="H37" s="36"/>
      <c r="I37" s="36"/>
      <c r="J37" s="36"/>
      <c r="K37" s="36"/>
      <c r="L37" s="36"/>
      <c r="M37" s="36"/>
      <c r="N37" s="36"/>
    </row>
    <row r="38" spans="1:14" x14ac:dyDescent="0.2">
      <c r="A38" s="67"/>
      <c r="B38" s="38"/>
      <c r="C38" s="38"/>
      <c r="D38" s="68"/>
      <c r="E38" s="115"/>
      <c r="F38" s="116"/>
      <c r="G38" s="36"/>
      <c r="H38" s="36"/>
      <c r="I38" s="36"/>
      <c r="J38" s="36"/>
      <c r="K38" s="36"/>
      <c r="L38" s="36"/>
      <c r="M38" s="36"/>
      <c r="N38" s="36"/>
    </row>
    <row r="39" spans="1:14" x14ac:dyDescent="0.2">
      <c r="A39" s="67"/>
      <c r="B39" s="38"/>
      <c r="C39" s="38"/>
      <c r="D39" s="68"/>
      <c r="E39" s="113"/>
      <c r="F39" s="110"/>
      <c r="G39" s="36"/>
      <c r="H39" s="36"/>
      <c r="I39" s="36"/>
      <c r="J39" s="36"/>
      <c r="K39" s="36"/>
      <c r="L39" s="36"/>
      <c r="M39" s="36"/>
      <c r="N39" s="36"/>
    </row>
    <row r="40" spans="1:14" x14ac:dyDescent="0.2">
      <c r="A40" s="67"/>
      <c r="B40" s="38"/>
      <c r="C40" s="38"/>
      <c r="D40" s="68"/>
      <c r="E40" s="115"/>
      <c r="F40" s="116"/>
      <c r="G40" s="36"/>
      <c r="H40" s="36"/>
      <c r="I40" s="36"/>
      <c r="J40" s="36"/>
      <c r="K40" s="36"/>
      <c r="L40" s="36"/>
      <c r="M40" s="36"/>
      <c r="N40" s="36"/>
    </row>
    <row r="41" spans="1:14" ht="15" thickBot="1" x14ac:dyDescent="0.25">
      <c r="A41" s="67"/>
      <c r="B41" s="38"/>
      <c r="C41" s="38"/>
      <c r="D41" s="68"/>
      <c r="E41" s="114"/>
      <c r="F41" s="111"/>
      <c r="G41" s="36"/>
      <c r="H41" s="36"/>
      <c r="I41" s="36"/>
      <c r="J41" s="36"/>
      <c r="K41" s="36"/>
      <c r="L41" s="36"/>
      <c r="M41" s="36"/>
      <c r="N41" s="36"/>
    </row>
    <row r="42" spans="1:14" x14ac:dyDescent="0.2">
      <c r="A42" s="42"/>
      <c r="B42" s="69"/>
      <c r="C42" s="42"/>
      <c r="D42" s="42"/>
      <c r="E42" s="106"/>
      <c r="F42" s="107"/>
      <c r="G42" s="36"/>
      <c r="H42" s="36"/>
      <c r="I42" s="36"/>
      <c r="J42" s="36"/>
      <c r="K42" s="36"/>
      <c r="L42" s="36"/>
      <c r="M42" s="36"/>
      <c r="N42" s="36"/>
    </row>
    <row r="43" spans="1:14" x14ac:dyDescent="0.2">
      <c r="A43" s="42"/>
      <c r="B43" s="69"/>
      <c r="C43" s="42"/>
      <c r="D43" s="42"/>
      <c r="E43" s="106"/>
      <c r="F43" s="107"/>
      <c r="G43" s="36"/>
      <c r="H43" s="36"/>
      <c r="I43" s="36"/>
      <c r="J43" s="36"/>
      <c r="K43" s="36"/>
      <c r="L43" s="36"/>
      <c r="M43" s="36"/>
      <c r="N43" s="36"/>
    </row>
    <row r="44" spans="1:14" x14ac:dyDescent="0.2">
      <c r="A44" s="42"/>
      <c r="B44" s="69"/>
      <c r="C44" s="42"/>
      <c r="D44" s="42"/>
      <c r="E44" s="106"/>
      <c r="F44" s="107"/>
      <c r="G44" s="36"/>
      <c r="H44" s="36"/>
      <c r="I44" s="36"/>
      <c r="J44" s="36"/>
      <c r="K44" s="36"/>
      <c r="L44" s="36"/>
      <c r="M44" s="36"/>
      <c r="N44" s="36"/>
    </row>
    <row r="45" spans="1:14" x14ac:dyDescent="0.2">
      <c r="A45" s="42"/>
      <c r="B45" s="69"/>
      <c r="C45" s="42"/>
      <c r="D45" s="42"/>
      <c r="E45" s="106"/>
      <c r="F45" s="107"/>
      <c r="G45" s="36"/>
      <c r="H45" s="36"/>
      <c r="I45" s="36"/>
      <c r="J45" s="36"/>
      <c r="K45" s="36"/>
      <c r="L45" s="36"/>
      <c r="M45" s="36"/>
      <c r="N45" s="36"/>
    </row>
    <row r="46" spans="1:14" x14ac:dyDescent="0.2">
      <c r="A46" s="42"/>
      <c r="B46" s="69"/>
      <c r="C46" s="42"/>
      <c r="D46" s="42"/>
      <c r="E46" s="106"/>
      <c r="F46" s="107"/>
      <c r="G46" s="36"/>
      <c r="H46" s="36"/>
      <c r="I46" s="36"/>
      <c r="J46" s="36"/>
      <c r="K46" s="36"/>
      <c r="L46" s="36"/>
      <c r="M46" s="36"/>
      <c r="N46" s="36"/>
    </row>
    <row r="47" spans="1:14" x14ac:dyDescent="0.2">
      <c r="A47" s="42"/>
      <c r="B47" s="69"/>
      <c r="C47" s="42"/>
      <c r="D47" s="42"/>
      <c r="E47" s="106"/>
      <c r="F47" s="107"/>
      <c r="G47" s="36"/>
      <c r="H47" s="36"/>
      <c r="I47" s="36"/>
      <c r="J47" s="36"/>
      <c r="K47" s="36"/>
      <c r="L47" s="36"/>
      <c r="M47" s="36"/>
      <c r="N47" s="36"/>
    </row>
    <row r="48" spans="1:14" x14ac:dyDescent="0.2">
      <c r="A48" s="42"/>
      <c r="B48" s="69"/>
      <c r="C48" s="42"/>
      <c r="D48" s="42"/>
      <c r="E48" s="106"/>
      <c r="F48" s="107"/>
      <c r="G48" s="36"/>
      <c r="H48" s="36"/>
      <c r="I48" s="36"/>
      <c r="J48" s="36"/>
      <c r="K48" s="36"/>
      <c r="L48" s="36"/>
      <c r="M48" s="36"/>
      <c r="N48" s="36"/>
    </row>
    <row r="49" spans="1:14" x14ac:dyDescent="0.2">
      <c r="A49" s="42"/>
      <c r="B49" s="69"/>
      <c r="C49" s="42"/>
      <c r="D49" s="42"/>
      <c r="E49" s="106"/>
      <c r="F49" s="107"/>
      <c r="G49" s="36"/>
      <c r="H49" s="36"/>
      <c r="I49" s="36"/>
      <c r="J49" s="36"/>
      <c r="K49" s="36"/>
      <c r="L49" s="36"/>
      <c r="M49" s="36"/>
      <c r="N49" s="36"/>
    </row>
    <row r="50" spans="1:14" x14ac:dyDescent="0.2">
      <c r="A50" s="42"/>
      <c r="B50" s="69"/>
      <c r="C50" s="42"/>
      <c r="D50" s="42"/>
      <c r="E50" s="106"/>
      <c r="F50" s="107"/>
      <c r="G50" s="36"/>
      <c r="H50" s="36"/>
      <c r="I50" s="36"/>
      <c r="J50" s="36"/>
      <c r="K50" s="36"/>
      <c r="L50" s="36"/>
      <c r="M50" s="36"/>
      <c r="N50" s="36"/>
    </row>
    <row r="51" spans="1:14" x14ac:dyDescent="0.2">
      <c r="A51" s="42"/>
      <c r="B51" s="69"/>
      <c r="C51" s="42"/>
      <c r="D51" s="42"/>
      <c r="E51" s="106"/>
      <c r="F51" s="107"/>
      <c r="G51" s="36"/>
      <c r="H51" s="36"/>
      <c r="I51" s="36"/>
      <c r="J51" s="36"/>
      <c r="K51" s="36"/>
      <c r="L51" s="36"/>
      <c r="M51" s="36"/>
      <c r="N51" s="36"/>
    </row>
    <row r="52" spans="1:14" x14ac:dyDescent="0.2">
      <c r="A52" s="42"/>
      <c r="B52" s="69"/>
      <c r="C52" s="42"/>
      <c r="D52" s="42"/>
      <c r="E52" s="106"/>
      <c r="F52" s="107"/>
      <c r="G52" s="36"/>
      <c r="H52" s="36"/>
      <c r="I52" s="36"/>
      <c r="J52" s="36"/>
      <c r="K52" s="36"/>
      <c r="L52" s="36"/>
      <c r="M52" s="36"/>
      <c r="N52" s="36"/>
    </row>
    <row r="53" spans="1:14" x14ac:dyDescent="0.2">
      <c r="A53" s="42"/>
      <c r="B53" s="69"/>
      <c r="C53" s="42"/>
      <c r="D53" s="42"/>
      <c r="E53" s="106"/>
      <c r="F53" s="107"/>
      <c r="G53" s="36"/>
      <c r="H53" s="36"/>
      <c r="I53" s="36"/>
      <c r="J53" s="36"/>
      <c r="K53" s="36"/>
      <c r="L53" s="36"/>
      <c r="M53" s="36"/>
      <c r="N53" s="36"/>
    </row>
    <row r="54" spans="1:14" x14ac:dyDescent="0.2">
      <c r="A54" s="42"/>
      <c r="B54" s="69"/>
      <c r="C54" s="42"/>
      <c r="D54" s="42"/>
      <c r="E54" s="106"/>
      <c r="F54" s="107"/>
      <c r="G54" s="36"/>
      <c r="H54" s="36"/>
      <c r="I54" s="36"/>
      <c r="J54" s="36"/>
      <c r="K54" s="36"/>
      <c r="L54" s="36"/>
      <c r="M54" s="36"/>
      <c r="N54" s="36"/>
    </row>
    <row r="55" spans="1:14" x14ac:dyDescent="0.2">
      <c r="A55" s="42"/>
      <c r="B55" s="69"/>
      <c r="C55" s="42"/>
      <c r="D55" s="42"/>
      <c r="E55" s="106"/>
      <c r="F55" s="107"/>
      <c r="G55" s="36"/>
      <c r="H55" s="36"/>
      <c r="I55" s="36"/>
      <c r="J55" s="36"/>
      <c r="K55" s="36"/>
      <c r="L55" s="36"/>
      <c r="M55" s="36"/>
      <c r="N55" s="36"/>
    </row>
    <row r="56" spans="1:14" x14ac:dyDescent="0.2">
      <c r="A56" s="42"/>
      <c r="B56" s="69"/>
      <c r="C56" s="42"/>
      <c r="D56" s="42"/>
      <c r="E56" s="106"/>
      <c r="F56" s="107"/>
      <c r="G56" s="36"/>
      <c r="H56" s="36"/>
      <c r="I56" s="36"/>
      <c r="J56" s="36"/>
      <c r="K56" s="36"/>
      <c r="L56" s="36"/>
      <c r="M56" s="36"/>
      <c r="N56" s="36"/>
    </row>
    <row r="57" spans="1:14" x14ac:dyDescent="0.2">
      <c r="A57" s="42"/>
      <c r="B57" s="69"/>
      <c r="C57" s="42"/>
      <c r="D57" s="42"/>
      <c r="E57" s="106"/>
      <c r="F57" s="107"/>
      <c r="G57" s="36"/>
      <c r="H57" s="36"/>
      <c r="I57" s="36"/>
      <c r="J57" s="36"/>
      <c r="K57" s="36"/>
      <c r="L57" s="36"/>
      <c r="M57" s="36"/>
      <c r="N57" s="36"/>
    </row>
    <row r="58" spans="1:14" x14ac:dyDescent="0.2">
      <c r="A58" s="42"/>
      <c r="B58" s="69"/>
      <c r="C58" s="42"/>
      <c r="D58" s="42"/>
      <c r="E58" s="106"/>
      <c r="F58" s="107"/>
      <c r="G58" s="36"/>
      <c r="H58" s="36"/>
      <c r="I58" s="36"/>
      <c r="J58" s="36"/>
      <c r="K58" s="36"/>
      <c r="L58" s="36"/>
      <c r="M58" s="36"/>
      <c r="N58" s="36"/>
    </row>
    <row r="59" spans="1:14" x14ac:dyDescent="0.2">
      <c r="A59" s="42"/>
      <c r="B59" s="69"/>
      <c r="C59" s="42"/>
      <c r="D59" s="42"/>
      <c r="E59" s="106"/>
      <c r="F59" s="107"/>
      <c r="G59" s="36"/>
      <c r="H59" s="36"/>
      <c r="I59" s="36"/>
      <c r="J59" s="36"/>
      <c r="K59" s="36"/>
      <c r="L59" s="36"/>
      <c r="M59" s="36"/>
      <c r="N59" s="36"/>
    </row>
    <row r="60" spans="1:14" x14ac:dyDescent="0.2">
      <c r="A60" s="42"/>
      <c r="B60" s="69"/>
      <c r="C60" s="42"/>
      <c r="D60" s="42"/>
      <c r="E60" s="106"/>
      <c r="F60" s="107"/>
      <c r="G60" s="36"/>
      <c r="H60" s="36"/>
      <c r="I60" s="36"/>
      <c r="J60" s="36"/>
      <c r="K60" s="36"/>
      <c r="L60" s="36"/>
      <c r="M60" s="36"/>
      <c r="N60" s="36"/>
    </row>
    <row r="61" spans="1:14" x14ac:dyDescent="0.2">
      <c r="A61" s="42"/>
      <c r="B61" s="69"/>
      <c r="C61" s="42"/>
      <c r="D61" s="42"/>
      <c r="E61" s="106"/>
      <c r="F61" s="107"/>
      <c r="G61" s="36"/>
      <c r="H61" s="36"/>
      <c r="I61" s="36"/>
      <c r="J61" s="36"/>
      <c r="K61" s="36"/>
      <c r="L61" s="36"/>
      <c r="M61" s="36"/>
      <c r="N61" s="36"/>
    </row>
    <row r="62" spans="1:14" x14ac:dyDescent="0.2">
      <c r="A62" s="42"/>
      <c r="B62" s="69"/>
      <c r="C62" s="42"/>
      <c r="D62" s="42"/>
      <c r="E62" s="106"/>
      <c r="F62" s="107"/>
      <c r="G62" s="36"/>
      <c r="H62" s="36"/>
      <c r="I62" s="36"/>
      <c r="J62" s="36"/>
      <c r="K62" s="36"/>
      <c r="L62" s="36"/>
      <c r="M62" s="36"/>
      <c r="N62" s="36"/>
    </row>
    <row r="63" spans="1:14" x14ac:dyDescent="0.2">
      <c r="A63" s="42"/>
      <c r="B63" s="69"/>
      <c r="C63" s="42"/>
      <c r="D63" s="42"/>
      <c r="E63" s="106"/>
      <c r="F63" s="107"/>
      <c r="G63" s="36"/>
      <c r="H63" s="36"/>
      <c r="I63" s="36"/>
      <c r="J63" s="36"/>
      <c r="K63" s="36"/>
      <c r="L63" s="36"/>
      <c r="M63" s="36"/>
      <c r="N63" s="36"/>
    </row>
    <row r="64" spans="1:14" x14ac:dyDescent="0.2">
      <c r="A64" s="42"/>
      <c r="B64" s="69"/>
      <c r="C64" s="42"/>
      <c r="D64" s="42"/>
      <c r="E64" s="106"/>
      <c r="F64" s="107"/>
      <c r="G64" s="36"/>
      <c r="H64" s="36"/>
      <c r="I64" s="36"/>
      <c r="J64" s="36"/>
      <c r="K64" s="36"/>
      <c r="L64" s="36"/>
      <c r="M64" s="36"/>
      <c r="N64" s="36"/>
    </row>
    <row r="65" spans="1:14" x14ac:dyDescent="0.2">
      <c r="A65" s="42"/>
      <c r="B65" s="69"/>
      <c r="C65" s="42"/>
      <c r="D65" s="42"/>
      <c r="E65" s="106"/>
      <c r="F65" s="107"/>
      <c r="G65" s="36"/>
      <c r="H65" s="36"/>
      <c r="I65" s="36"/>
      <c r="J65" s="36"/>
      <c r="K65" s="36"/>
      <c r="L65" s="36"/>
      <c r="M65" s="36"/>
      <c r="N65" s="36"/>
    </row>
    <row r="66" spans="1:14" x14ac:dyDescent="0.2">
      <c r="A66" s="42"/>
      <c r="B66" s="69"/>
      <c r="C66" s="42"/>
      <c r="D66" s="42"/>
      <c r="E66" s="106"/>
      <c r="F66" s="107"/>
      <c r="G66" s="36"/>
      <c r="H66" s="36"/>
      <c r="I66" s="36"/>
      <c r="J66" s="36"/>
      <c r="K66" s="36"/>
      <c r="L66" s="36"/>
      <c r="M66" s="36"/>
      <c r="N66" s="36"/>
    </row>
    <row r="67" spans="1:14" x14ac:dyDescent="0.2">
      <c r="A67" s="42"/>
      <c r="B67" s="69"/>
      <c r="C67" s="42"/>
      <c r="D67" s="42"/>
      <c r="E67" s="106"/>
      <c r="F67" s="107"/>
      <c r="G67" s="36"/>
      <c r="H67" s="36"/>
      <c r="I67" s="36"/>
      <c r="J67" s="36"/>
      <c r="K67" s="36"/>
      <c r="L67" s="36"/>
      <c r="M67" s="36"/>
      <c r="N67" s="36"/>
    </row>
    <row r="68" spans="1:14" x14ac:dyDescent="0.2">
      <c r="A68" s="42"/>
      <c r="B68" s="69"/>
      <c r="C68" s="42"/>
      <c r="D68" s="42"/>
      <c r="E68" s="106"/>
      <c r="F68" s="107"/>
      <c r="G68" s="36"/>
      <c r="H68" s="36"/>
      <c r="I68" s="36"/>
      <c r="J68" s="36"/>
      <c r="K68" s="36"/>
      <c r="L68" s="36"/>
      <c r="M68" s="36"/>
      <c r="N68" s="36"/>
    </row>
    <row r="69" spans="1:14" x14ac:dyDescent="0.2">
      <c r="A69" s="42"/>
      <c r="B69" s="69"/>
      <c r="C69" s="42"/>
      <c r="D69" s="42"/>
      <c r="E69" s="106"/>
      <c r="F69" s="107"/>
      <c r="G69" s="36"/>
      <c r="H69" s="36"/>
      <c r="I69" s="36"/>
      <c r="J69" s="36"/>
      <c r="K69" s="36"/>
      <c r="L69" s="36"/>
      <c r="M69" s="36"/>
      <c r="N69" s="36"/>
    </row>
    <row r="70" spans="1:14" x14ac:dyDescent="0.2">
      <c r="A70" s="42"/>
      <c r="B70" s="69"/>
      <c r="C70" s="42"/>
      <c r="D70" s="42"/>
      <c r="E70" s="106"/>
      <c r="F70" s="107"/>
      <c r="G70" s="36"/>
      <c r="H70" s="36"/>
      <c r="I70" s="36"/>
      <c r="J70" s="36"/>
      <c r="K70" s="36"/>
      <c r="L70" s="36"/>
      <c r="M70" s="36"/>
      <c r="N70" s="36"/>
    </row>
    <row r="71" spans="1:14" x14ac:dyDescent="0.2">
      <c r="A71" s="42"/>
      <c r="B71" s="69"/>
      <c r="C71" s="42"/>
      <c r="D71" s="42"/>
      <c r="E71" s="106"/>
      <c r="F71" s="107"/>
      <c r="G71" s="36"/>
      <c r="H71" s="36"/>
      <c r="I71" s="36"/>
      <c r="J71" s="36"/>
      <c r="K71" s="36"/>
      <c r="L71" s="36"/>
      <c r="M71" s="36"/>
      <c r="N71" s="36"/>
    </row>
    <row r="72" spans="1:14" x14ac:dyDescent="0.2">
      <c r="A72" s="42"/>
      <c r="B72" s="69"/>
      <c r="C72" s="42"/>
      <c r="D72" s="42"/>
      <c r="E72" s="106"/>
      <c r="F72" s="107"/>
      <c r="G72" s="36"/>
      <c r="H72" s="36"/>
      <c r="I72" s="36"/>
      <c r="J72" s="36"/>
      <c r="K72" s="36"/>
      <c r="L72" s="36"/>
      <c r="M72" s="36"/>
      <c r="N72" s="36"/>
    </row>
    <row r="73" spans="1:14" x14ac:dyDescent="0.2">
      <c r="A73" s="42"/>
      <c r="B73" s="69"/>
      <c r="C73" s="42"/>
      <c r="D73" s="42"/>
      <c r="E73" s="106"/>
      <c r="F73" s="107"/>
      <c r="G73" s="36"/>
      <c r="H73" s="36"/>
      <c r="I73" s="36"/>
      <c r="J73" s="36"/>
      <c r="K73" s="36"/>
      <c r="L73" s="36"/>
      <c r="M73" s="36"/>
      <c r="N73" s="36"/>
    </row>
    <row r="74" spans="1:14" x14ac:dyDescent="0.2">
      <c r="A74" s="42"/>
      <c r="B74" s="69"/>
      <c r="C74" s="42"/>
      <c r="D74" s="42"/>
      <c r="E74" s="106"/>
      <c r="F74" s="107"/>
      <c r="G74" s="36"/>
      <c r="H74" s="36"/>
      <c r="I74" s="36"/>
      <c r="J74" s="36"/>
      <c r="K74" s="36"/>
      <c r="L74" s="36"/>
      <c r="M74" s="36"/>
      <c r="N74" s="36"/>
    </row>
    <row r="75" spans="1:14" x14ac:dyDescent="0.2">
      <c r="A75" s="42"/>
      <c r="B75" s="69"/>
      <c r="C75" s="42"/>
      <c r="D75" s="42"/>
      <c r="E75" s="106"/>
      <c r="F75" s="107"/>
      <c r="G75" s="36"/>
      <c r="H75" s="36"/>
      <c r="I75" s="36"/>
      <c r="J75" s="36"/>
      <c r="K75" s="36"/>
      <c r="L75" s="36"/>
      <c r="M75" s="36"/>
      <c r="N75" s="36"/>
    </row>
    <row r="76" spans="1:14" x14ac:dyDescent="0.2">
      <c r="A76" s="42"/>
      <c r="B76" s="69"/>
      <c r="C76" s="42"/>
      <c r="D76" s="42"/>
      <c r="E76" s="106"/>
      <c r="F76" s="107"/>
      <c r="G76" s="36"/>
      <c r="H76" s="36"/>
      <c r="I76" s="36"/>
      <c r="J76" s="36"/>
      <c r="K76" s="36"/>
      <c r="L76" s="36"/>
      <c r="M76" s="36"/>
      <c r="N76" s="36"/>
    </row>
    <row r="77" spans="1:14" x14ac:dyDescent="0.2">
      <c r="A77" s="42"/>
      <c r="B77" s="69"/>
      <c r="C77" s="42"/>
      <c r="D77" s="42"/>
      <c r="E77" s="106"/>
      <c r="F77" s="107"/>
      <c r="G77" s="36"/>
      <c r="H77" s="36"/>
      <c r="I77" s="36"/>
      <c r="J77" s="36"/>
      <c r="K77" s="36"/>
      <c r="L77" s="36"/>
      <c r="M77" s="36"/>
      <c r="N77" s="36"/>
    </row>
    <row r="78" spans="1:14" x14ac:dyDescent="0.2">
      <c r="A78" s="42"/>
      <c r="B78" s="69"/>
      <c r="C78" s="42"/>
      <c r="D78" s="42"/>
      <c r="E78" s="106"/>
      <c r="F78" s="107"/>
      <c r="G78" s="36"/>
      <c r="H78" s="36"/>
      <c r="I78" s="36"/>
      <c r="J78" s="36"/>
      <c r="K78" s="36"/>
      <c r="L78" s="36"/>
      <c r="M78" s="36"/>
      <c r="N78" s="36"/>
    </row>
    <row r="79" spans="1:14" x14ac:dyDescent="0.2">
      <c r="A79" s="42"/>
      <c r="B79" s="69"/>
      <c r="C79" s="42"/>
      <c r="D79" s="42"/>
      <c r="E79" s="106"/>
      <c r="F79" s="107"/>
      <c r="G79" s="36"/>
      <c r="H79" s="36"/>
      <c r="I79" s="36"/>
      <c r="J79" s="36"/>
      <c r="K79" s="36"/>
      <c r="L79" s="36"/>
      <c r="M79" s="36"/>
      <c r="N79" s="36"/>
    </row>
    <row r="80" spans="1:14" x14ac:dyDescent="0.2">
      <c r="A80" s="42"/>
      <c r="B80" s="69"/>
      <c r="C80" s="42"/>
      <c r="D80" s="42"/>
      <c r="E80" s="106"/>
      <c r="F80" s="107"/>
      <c r="G80" s="36"/>
      <c r="H80" s="36"/>
      <c r="I80" s="36"/>
      <c r="J80" s="36"/>
      <c r="K80" s="36"/>
      <c r="L80" s="36"/>
      <c r="M80" s="36"/>
      <c r="N80" s="36"/>
    </row>
    <row r="81" spans="1:14" x14ac:dyDescent="0.2">
      <c r="A81" s="42"/>
      <c r="B81" s="69"/>
      <c r="C81" s="42"/>
      <c r="D81" s="42"/>
      <c r="E81" s="106"/>
      <c r="F81" s="107"/>
      <c r="G81" s="36"/>
      <c r="H81" s="36"/>
      <c r="I81" s="36"/>
      <c r="J81" s="36"/>
      <c r="K81" s="36"/>
      <c r="L81" s="36"/>
      <c r="M81" s="36"/>
      <c r="N81" s="36"/>
    </row>
    <row r="82" spans="1:14" x14ac:dyDescent="0.2">
      <c r="A82" s="42"/>
      <c r="B82" s="69"/>
      <c r="C82" s="42"/>
      <c r="D82" s="42"/>
      <c r="E82" s="106"/>
      <c r="F82" s="107"/>
      <c r="G82" s="36"/>
      <c r="H82" s="36"/>
      <c r="I82" s="36"/>
      <c r="J82" s="36"/>
      <c r="K82" s="36"/>
      <c r="L82" s="36"/>
      <c r="M82" s="36"/>
      <c r="N82" s="36"/>
    </row>
    <row r="83" spans="1:14" x14ac:dyDescent="0.2">
      <c r="A83" s="42"/>
      <c r="B83" s="69"/>
      <c r="C83" s="42"/>
      <c r="D83" s="42"/>
      <c r="E83" s="106"/>
      <c r="F83" s="107"/>
      <c r="G83" s="36"/>
      <c r="H83" s="36"/>
      <c r="I83" s="36"/>
      <c r="J83" s="36"/>
      <c r="K83" s="36"/>
      <c r="L83" s="36"/>
      <c r="M83" s="36"/>
      <c r="N83" s="36"/>
    </row>
    <row r="84" spans="1:14" x14ac:dyDescent="0.2">
      <c r="A84" s="42"/>
      <c r="B84" s="69"/>
      <c r="C84" s="42"/>
      <c r="D84" s="42"/>
      <c r="E84" s="106"/>
      <c r="F84" s="107"/>
      <c r="G84" s="36"/>
      <c r="H84" s="36"/>
      <c r="I84" s="36"/>
      <c r="J84" s="36"/>
      <c r="K84" s="36"/>
      <c r="L84" s="36"/>
      <c r="M84" s="36"/>
      <c r="N84" s="36"/>
    </row>
    <row r="85" spans="1:14" x14ac:dyDescent="0.2">
      <c r="A85" s="42"/>
      <c r="B85" s="69"/>
      <c r="C85" s="42"/>
      <c r="D85" s="42"/>
      <c r="E85" s="106"/>
      <c r="F85" s="107"/>
      <c r="G85" s="36"/>
      <c r="H85" s="36"/>
      <c r="I85" s="36"/>
      <c r="J85" s="36"/>
      <c r="K85" s="36"/>
      <c r="L85" s="36"/>
      <c r="M85" s="36"/>
      <c r="N85" s="36"/>
    </row>
    <row r="86" spans="1:14" x14ac:dyDescent="0.2">
      <c r="A86" s="42"/>
      <c r="B86" s="69"/>
      <c r="C86" s="42"/>
      <c r="D86" s="42"/>
      <c r="E86" s="106"/>
      <c r="F86" s="107"/>
      <c r="G86" s="36"/>
      <c r="H86" s="36"/>
      <c r="I86" s="36"/>
      <c r="J86" s="36"/>
      <c r="K86" s="36"/>
      <c r="L86" s="36"/>
      <c r="M86" s="36"/>
      <c r="N86" s="36"/>
    </row>
    <row r="87" spans="1:14" x14ac:dyDescent="0.2">
      <c r="A87" s="42"/>
      <c r="B87" s="69"/>
      <c r="C87" s="42"/>
      <c r="D87" s="42"/>
      <c r="E87" s="106"/>
      <c r="F87" s="107"/>
      <c r="G87" s="36"/>
      <c r="H87" s="36"/>
      <c r="I87" s="36"/>
      <c r="J87" s="36"/>
      <c r="K87" s="36"/>
      <c r="L87" s="36"/>
      <c r="M87" s="36"/>
      <c r="N87" s="36"/>
    </row>
    <row r="88" spans="1:14" x14ac:dyDescent="0.2">
      <c r="A88" s="42"/>
      <c r="B88" s="69"/>
      <c r="C88" s="42"/>
      <c r="D88" s="42"/>
      <c r="E88" s="106"/>
      <c r="F88" s="107"/>
      <c r="G88" s="36"/>
      <c r="H88" s="36"/>
      <c r="I88" s="36"/>
      <c r="J88" s="36"/>
      <c r="K88" s="36"/>
      <c r="L88" s="36"/>
      <c r="M88" s="36"/>
      <c r="N88" s="36"/>
    </row>
    <row r="89" spans="1:14" x14ac:dyDescent="0.2">
      <c r="A89" s="42"/>
      <c r="B89" s="69"/>
      <c r="C89" s="42"/>
      <c r="D89" s="42"/>
      <c r="E89" s="106"/>
      <c r="F89" s="107"/>
      <c r="G89" s="36"/>
      <c r="H89" s="36"/>
      <c r="I89" s="36"/>
      <c r="J89" s="36"/>
      <c r="K89" s="36"/>
      <c r="L89" s="36"/>
      <c r="M89" s="36"/>
      <c r="N89" s="36"/>
    </row>
    <row r="90" spans="1:14" x14ac:dyDescent="0.2">
      <c r="A90" s="42"/>
      <c r="B90" s="69"/>
      <c r="C90" s="42"/>
      <c r="D90" s="42"/>
      <c r="E90" s="106"/>
      <c r="F90" s="107"/>
      <c r="G90" s="36"/>
      <c r="H90" s="36"/>
      <c r="I90" s="36"/>
      <c r="J90" s="36"/>
      <c r="K90" s="36"/>
      <c r="L90" s="36"/>
      <c r="M90" s="36"/>
      <c r="N90" s="36"/>
    </row>
    <row r="91" spans="1:14" x14ac:dyDescent="0.2">
      <c r="A91" s="42"/>
      <c r="B91" s="69"/>
      <c r="C91" s="42"/>
      <c r="D91" s="42"/>
      <c r="E91" s="106"/>
      <c r="F91" s="107"/>
      <c r="G91" s="36"/>
      <c r="H91" s="36"/>
      <c r="I91" s="36"/>
      <c r="J91" s="36"/>
      <c r="K91" s="36"/>
      <c r="L91" s="36"/>
      <c r="M91" s="36"/>
      <c r="N91" s="36"/>
    </row>
    <row r="92" spans="1:14" x14ac:dyDescent="0.2">
      <c r="A92" s="42"/>
      <c r="B92" s="69"/>
      <c r="C92" s="42"/>
      <c r="D92" s="42"/>
      <c r="E92" s="106"/>
      <c r="F92" s="107"/>
      <c r="G92" s="36"/>
      <c r="H92" s="36"/>
      <c r="I92" s="36"/>
      <c r="J92" s="36"/>
      <c r="K92" s="36"/>
      <c r="L92" s="36"/>
      <c r="M92" s="36"/>
      <c r="N92" s="36"/>
    </row>
    <row r="93" spans="1:14" x14ac:dyDescent="0.2">
      <c r="A93" s="42"/>
      <c r="B93" s="69"/>
      <c r="C93" s="42"/>
      <c r="D93" s="42"/>
      <c r="E93" s="106"/>
      <c r="F93" s="107"/>
      <c r="G93" s="36"/>
      <c r="H93" s="36"/>
      <c r="I93" s="36"/>
      <c r="J93" s="36"/>
      <c r="K93" s="36"/>
      <c r="L93" s="36"/>
      <c r="M93" s="36"/>
      <c r="N93" s="36"/>
    </row>
    <row r="94" spans="1:14" x14ac:dyDescent="0.2">
      <c r="A94" s="42"/>
      <c r="B94" s="69"/>
      <c r="C94" s="42"/>
      <c r="D94" s="42"/>
      <c r="E94" s="106"/>
      <c r="F94" s="107"/>
      <c r="G94" s="36"/>
      <c r="H94" s="36"/>
      <c r="I94" s="36"/>
      <c r="J94" s="36"/>
      <c r="K94" s="36"/>
      <c r="L94" s="36"/>
      <c r="M94" s="36"/>
      <c r="N94" s="36"/>
    </row>
    <row r="95" spans="1:14" x14ac:dyDescent="0.2">
      <c r="A95" s="42"/>
      <c r="B95" s="69"/>
      <c r="C95" s="42"/>
      <c r="D95" s="42"/>
      <c r="E95" s="106"/>
      <c r="F95" s="107"/>
      <c r="G95" s="36"/>
      <c r="H95" s="36"/>
      <c r="I95" s="36"/>
      <c r="J95" s="36"/>
      <c r="K95" s="36"/>
      <c r="L95" s="36"/>
      <c r="M95" s="36"/>
      <c r="N95" s="36"/>
    </row>
    <row r="96" spans="1:14" x14ac:dyDescent="0.2">
      <c r="A96" s="42"/>
      <c r="B96" s="69"/>
      <c r="C96" s="42"/>
      <c r="D96" s="42"/>
      <c r="E96" s="106"/>
      <c r="F96" s="107"/>
      <c r="G96" s="36"/>
      <c r="H96" s="36"/>
      <c r="I96" s="36"/>
      <c r="J96" s="36"/>
      <c r="K96" s="36"/>
      <c r="L96" s="36"/>
      <c r="M96" s="36"/>
      <c r="N96" s="36"/>
    </row>
    <row r="97" spans="1:14" x14ac:dyDescent="0.2">
      <c r="A97" s="42"/>
      <c r="B97" s="69"/>
      <c r="C97" s="42"/>
      <c r="D97" s="42"/>
      <c r="E97" s="106"/>
      <c r="F97" s="107"/>
      <c r="G97" s="36"/>
      <c r="H97" s="36"/>
      <c r="I97" s="36"/>
      <c r="J97" s="36"/>
      <c r="K97" s="36"/>
      <c r="L97" s="36"/>
      <c r="M97" s="36"/>
      <c r="N97" s="36"/>
    </row>
    <row r="98" spans="1:14" x14ac:dyDescent="0.2">
      <c r="A98" s="42"/>
      <c r="B98" s="69"/>
      <c r="C98" s="42"/>
      <c r="D98" s="42"/>
      <c r="E98" s="106"/>
      <c r="F98" s="107"/>
      <c r="G98" s="36"/>
      <c r="H98" s="36"/>
      <c r="I98" s="36"/>
      <c r="J98" s="36"/>
      <c r="K98" s="36"/>
      <c r="L98" s="36"/>
      <c r="M98" s="36"/>
      <c r="N98" s="36"/>
    </row>
    <row r="99" spans="1:14" x14ac:dyDescent="0.2">
      <c r="A99" s="42"/>
      <c r="B99" s="69"/>
      <c r="C99" s="42"/>
      <c r="D99" s="42"/>
      <c r="E99" s="106"/>
      <c r="F99" s="107"/>
      <c r="G99" s="36"/>
      <c r="H99" s="36"/>
      <c r="I99" s="36"/>
      <c r="J99" s="36"/>
      <c r="K99" s="36"/>
      <c r="L99" s="36"/>
      <c r="M99" s="36"/>
      <c r="N99" s="36"/>
    </row>
    <row r="100" spans="1:14" x14ac:dyDescent="0.2">
      <c r="A100" s="42"/>
      <c r="B100" s="69"/>
      <c r="C100" s="42"/>
      <c r="D100" s="42"/>
      <c r="E100" s="106"/>
      <c r="F100" s="107"/>
      <c r="G100" s="36"/>
      <c r="H100" s="36"/>
      <c r="I100" s="36"/>
      <c r="J100" s="36"/>
      <c r="K100" s="36"/>
      <c r="L100" s="36"/>
      <c r="M100" s="36"/>
      <c r="N100" s="36"/>
    </row>
    <row r="101" spans="1:14" x14ac:dyDescent="0.2">
      <c r="A101" s="42"/>
      <c r="B101" s="69"/>
      <c r="C101" s="42"/>
      <c r="D101" s="42"/>
      <c r="E101" s="106"/>
      <c r="F101" s="107"/>
      <c r="G101" s="36"/>
      <c r="H101" s="36"/>
      <c r="I101" s="36"/>
      <c r="J101" s="36"/>
      <c r="K101" s="36"/>
      <c r="L101" s="36"/>
      <c r="M101" s="36"/>
      <c r="N101" s="36"/>
    </row>
    <row r="102" spans="1:14" x14ac:dyDescent="0.2">
      <c r="A102" s="42"/>
      <c r="B102" s="69"/>
      <c r="C102" s="42"/>
      <c r="D102" s="42"/>
      <c r="E102" s="106"/>
      <c r="F102" s="107"/>
      <c r="G102" s="36"/>
      <c r="H102" s="36"/>
      <c r="I102" s="36"/>
      <c r="J102" s="36"/>
      <c r="K102" s="36"/>
      <c r="L102" s="36"/>
      <c r="M102" s="36"/>
      <c r="N102" s="36"/>
    </row>
    <row r="103" spans="1:14" x14ac:dyDescent="0.2">
      <c r="A103" s="42"/>
      <c r="B103" s="69"/>
      <c r="C103" s="42"/>
      <c r="D103" s="42"/>
      <c r="E103" s="106"/>
      <c r="F103" s="107"/>
      <c r="G103" s="36"/>
      <c r="H103" s="36"/>
      <c r="I103" s="36"/>
      <c r="J103" s="36"/>
      <c r="K103" s="36"/>
      <c r="L103" s="36"/>
      <c r="M103" s="36"/>
      <c r="N103" s="36"/>
    </row>
    <row r="104" spans="1:14" x14ac:dyDescent="0.2">
      <c r="A104" s="42"/>
      <c r="B104" s="69"/>
      <c r="C104" s="42"/>
      <c r="D104" s="42"/>
      <c r="E104" s="106"/>
      <c r="F104" s="107"/>
      <c r="G104" s="36"/>
      <c r="H104" s="36"/>
      <c r="I104" s="36"/>
      <c r="J104" s="36"/>
      <c r="K104" s="36"/>
      <c r="L104" s="36"/>
      <c r="M104" s="36"/>
      <c r="N104" s="36"/>
    </row>
    <row r="105" spans="1:14" x14ac:dyDescent="0.2">
      <c r="A105" s="42"/>
      <c r="B105" s="69"/>
      <c r="C105" s="42"/>
      <c r="D105" s="42"/>
      <c r="E105" s="106"/>
      <c r="F105" s="107"/>
      <c r="G105" s="36"/>
      <c r="H105" s="36"/>
      <c r="I105" s="36"/>
      <c r="J105" s="36"/>
      <c r="K105" s="36"/>
      <c r="L105" s="36"/>
      <c r="M105" s="36"/>
      <c r="N105" s="36"/>
    </row>
    <row r="106" spans="1:14" x14ac:dyDescent="0.2">
      <c r="A106" s="42"/>
      <c r="B106" s="69"/>
      <c r="C106" s="42"/>
      <c r="D106" s="42"/>
      <c r="E106" s="106"/>
      <c r="F106" s="107"/>
      <c r="G106" s="36"/>
      <c r="H106" s="36"/>
      <c r="I106" s="36"/>
      <c r="J106" s="36"/>
      <c r="K106" s="36"/>
      <c r="L106" s="36"/>
      <c r="M106" s="36"/>
      <c r="N106" s="36"/>
    </row>
    <row r="107" spans="1:14" x14ac:dyDescent="0.2">
      <c r="A107" s="42"/>
      <c r="B107" s="69"/>
      <c r="C107" s="42"/>
      <c r="D107" s="42"/>
      <c r="E107" s="106"/>
      <c r="F107" s="107"/>
      <c r="G107" s="36"/>
      <c r="H107" s="36"/>
      <c r="I107" s="36"/>
      <c r="J107" s="36"/>
      <c r="K107" s="36"/>
      <c r="L107" s="36"/>
      <c r="M107" s="36"/>
      <c r="N107" s="36"/>
    </row>
    <row r="108" spans="1:14" x14ac:dyDescent="0.2">
      <c r="A108" s="42"/>
      <c r="B108" s="69"/>
      <c r="C108" s="42"/>
      <c r="D108" s="42"/>
      <c r="E108" s="106"/>
      <c r="F108" s="107"/>
      <c r="G108" s="36"/>
      <c r="H108" s="36"/>
      <c r="I108" s="36"/>
      <c r="J108" s="36"/>
      <c r="K108" s="36"/>
      <c r="L108" s="36"/>
      <c r="M108" s="36"/>
      <c r="N108" s="36"/>
    </row>
    <row r="109" spans="1:14" x14ac:dyDescent="0.2">
      <c r="A109" s="42"/>
      <c r="B109" s="69"/>
      <c r="C109" s="42"/>
      <c r="D109" s="42"/>
      <c r="E109" s="106"/>
      <c r="F109" s="107"/>
      <c r="G109" s="36"/>
      <c r="H109" s="36"/>
      <c r="I109" s="36"/>
      <c r="J109" s="36"/>
      <c r="K109" s="36"/>
      <c r="L109" s="36"/>
      <c r="M109" s="36"/>
      <c r="N109" s="36"/>
    </row>
    <row r="110" spans="1:14" x14ac:dyDescent="0.2">
      <c r="A110" s="42"/>
      <c r="B110" s="69"/>
      <c r="C110" s="42"/>
      <c r="D110" s="42"/>
      <c r="E110" s="106"/>
      <c r="F110" s="107"/>
      <c r="G110" s="36"/>
      <c r="H110" s="36"/>
      <c r="I110" s="36"/>
      <c r="J110" s="36"/>
      <c r="K110" s="36"/>
      <c r="L110" s="36"/>
      <c r="M110" s="36"/>
      <c r="N110" s="36"/>
    </row>
    <row r="111" spans="1:14" x14ac:dyDescent="0.2">
      <c r="A111" s="42"/>
      <c r="B111" s="69"/>
      <c r="C111" s="42"/>
      <c r="D111" s="42"/>
      <c r="E111" s="106"/>
      <c r="F111" s="107"/>
      <c r="G111" s="36"/>
      <c r="H111" s="36"/>
      <c r="I111" s="36"/>
      <c r="J111" s="36"/>
      <c r="K111" s="36"/>
      <c r="L111" s="36"/>
      <c r="M111" s="36"/>
      <c r="N111" s="36"/>
    </row>
    <row r="112" spans="1:14" x14ac:dyDescent="0.2">
      <c r="A112" s="42"/>
      <c r="B112" s="69"/>
      <c r="C112" s="42"/>
      <c r="D112" s="42"/>
      <c r="E112" s="106"/>
      <c r="F112" s="107"/>
      <c r="G112" s="36"/>
      <c r="H112" s="36"/>
      <c r="I112" s="36"/>
      <c r="J112" s="36"/>
      <c r="K112" s="36"/>
      <c r="L112" s="36"/>
      <c r="M112" s="36"/>
      <c r="N112" s="36"/>
    </row>
    <row r="113" spans="1:14" x14ac:dyDescent="0.2">
      <c r="A113" s="42"/>
      <c r="B113" s="69"/>
      <c r="C113" s="42"/>
      <c r="D113" s="42"/>
      <c r="E113" s="106"/>
      <c r="F113" s="107"/>
      <c r="G113" s="36"/>
      <c r="H113" s="36"/>
      <c r="I113" s="36"/>
      <c r="J113" s="36"/>
      <c r="K113" s="36"/>
      <c r="L113" s="36"/>
      <c r="M113" s="36"/>
      <c r="N113" s="36"/>
    </row>
    <row r="114" spans="1:14" x14ac:dyDescent="0.2">
      <c r="A114" s="42"/>
      <c r="B114" s="69"/>
      <c r="C114" s="42"/>
      <c r="D114" s="42"/>
      <c r="E114" s="106"/>
      <c r="F114" s="107"/>
      <c r="G114" s="36"/>
      <c r="H114" s="36"/>
      <c r="I114" s="36"/>
      <c r="J114" s="36"/>
      <c r="K114" s="36"/>
      <c r="L114" s="36"/>
      <c r="M114" s="36"/>
      <c r="N114" s="36"/>
    </row>
    <row r="115" spans="1:14" x14ac:dyDescent="0.2">
      <c r="A115" s="42"/>
      <c r="B115" s="69"/>
      <c r="C115" s="42"/>
      <c r="D115" s="42"/>
      <c r="E115" s="106"/>
      <c r="F115" s="107"/>
      <c r="G115" s="36"/>
      <c r="H115" s="36"/>
      <c r="I115" s="36"/>
      <c r="J115" s="36"/>
      <c r="K115" s="36"/>
      <c r="L115" s="36"/>
      <c r="M115" s="36"/>
      <c r="N115" s="36"/>
    </row>
    <row r="116" spans="1:14" x14ac:dyDescent="0.2">
      <c r="A116" s="42"/>
      <c r="B116" s="69"/>
      <c r="C116" s="42"/>
      <c r="D116" s="42"/>
      <c r="E116" s="106"/>
      <c r="F116" s="107"/>
      <c r="G116" s="36"/>
      <c r="H116" s="36"/>
      <c r="I116" s="36"/>
      <c r="J116" s="36"/>
      <c r="K116" s="36"/>
      <c r="L116" s="36"/>
      <c r="M116" s="36"/>
      <c r="N116" s="36"/>
    </row>
    <row r="117" spans="1:14" x14ac:dyDescent="0.2">
      <c r="A117" s="42"/>
      <c r="B117" s="69"/>
      <c r="C117" s="42"/>
      <c r="D117" s="42"/>
      <c r="E117" s="106"/>
      <c r="F117" s="107"/>
      <c r="G117" s="36"/>
      <c r="H117" s="36"/>
      <c r="I117" s="36"/>
      <c r="J117" s="36"/>
      <c r="K117" s="36"/>
      <c r="L117" s="36"/>
      <c r="M117" s="36"/>
      <c r="N117" s="36"/>
    </row>
    <row r="118" spans="1:14" x14ac:dyDescent="0.2">
      <c r="A118" s="42"/>
      <c r="B118" s="69"/>
      <c r="C118" s="42"/>
      <c r="D118" s="42"/>
      <c r="E118" s="106"/>
      <c r="F118" s="107"/>
      <c r="G118" s="36"/>
      <c r="H118" s="36"/>
      <c r="I118" s="36"/>
      <c r="J118" s="36"/>
      <c r="K118" s="36"/>
      <c r="L118" s="36"/>
      <c r="M118" s="36"/>
      <c r="N118" s="36"/>
    </row>
    <row r="119" spans="1:14" x14ac:dyDescent="0.2">
      <c r="A119" s="42"/>
      <c r="B119" s="69"/>
      <c r="C119" s="42"/>
      <c r="D119" s="42"/>
      <c r="E119" s="106"/>
      <c r="F119" s="107"/>
      <c r="G119" s="36"/>
      <c r="H119" s="36"/>
      <c r="I119" s="36"/>
      <c r="J119" s="36"/>
      <c r="K119" s="36"/>
      <c r="L119" s="36"/>
      <c r="M119" s="36"/>
      <c r="N119" s="36"/>
    </row>
    <row r="120" spans="1:14" x14ac:dyDescent="0.2">
      <c r="A120" s="42"/>
      <c r="B120" s="69"/>
      <c r="C120" s="42"/>
      <c r="D120" s="42"/>
      <c r="E120" s="106"/>
      <c r="F120" s="107"/>
      <c r="G120" s="36"/>
      <c r="H120" s="36"/>
      <c r="I120" s="36"/>
      <c r="J120" s="36"/>
      <c r="K120" s="36"/>
      <c r="L120" s="36"/>
      <c r="M120" s="36"/>
      <c r="N120" s="36"/>
    </row>
    <row r="121" spans="1:14" x14ac:dyDescent="0.2">
      <c r="A121" s="42"/>
      <c r="B121" s="69"/>
      <c r="C121" s="42"/>
      <c r="D121" s="42"/>
      <c r="E121" s="106"/>
      <c r="F121" s="107"/>
      <c r="G121" s="36"/>
      <c r="H121" s="36"/>
      <c r="I121" s="36"/>
      <c r="J121" s="36"/>
      <c r="K121" s="36"/>
      <c r="L121" s="36"/>
      <c r="M121" s="36"/>
      <c r="N121" s="36"/>
    </row>
    <row r="122" spans="1:14" x14ac:dyDescent="0.2">
      <c r="A122" s="42"/>
      <c r="B122" s="69"/>
      <c r="C122" s="42"/>
      <c r="D122" s="42"/>
      <c r="E122" s="106"/>
      <c r="F122" s="107"/>
      <c r="G122" s="36"/>
      <c r="H122" s="36"/>
      <c r="I122" s="36"/>
      <c r="J122" s="36"/>
      <c r="K122" s="36"/>
      <c r="L122" s="36"/>
      <c r="M122" s="36"/>
      <c r="N122" s="36"/>
    </row>
    <row r="123" spans="1:14" x14ac:dyDescent="0.2">
      <c r="A123" s="42"/>
      <c r="B123" s="69"/>
      <c r="C123" s="42"/>
      <c r="D123" s="42"/>
      <c r="E123" s="106"/>
      <c r="F123" s="107"/>
      <c r="G123" s="36"/>
      <c r="H123" s="36"/>
      <c r="I123" s="36"/>
      <c r="J123" s="36"/>
      <c r="K123" s="36"/>
      <c r="L123" s="36"/>
      <c r="M123" s="36"/>
      <c r="N123" s="36"/>
    </row>
    <row r="124" spans="1:14" x14ac:dyDescent="0.2">
      <c r="A124" s="42"/>
      <c r="B124" s="69"/>
      <c r="C124" s="42"/>
      <c r="D124" s="42"/>
      <c r="E124" s="106"/>
      <c r="F124" s="107"/>
      <c r="G124" s="36"/>
      <c r="H124" s="36"/>
      <c r="I124" s="36"/>
      <c r="J124" s="36"/>
      <c r="K124" s="36"/>
      <c r="L124" s="36"/>
      <c r="M124" s="36"/>
      <c r="N124" s="36"/>
    </row>
    <row r="125" spans="1:14" x14ac:dyDescent="0.2">
      <c r="A125" s="42"/>
      <c r="B125" s="69"/>
      <c r="C125" s="42"/>
      <c r="D125" s="42"/>
      <c r="E125" s="106"/>
      <c r="F125" s="107"/>
      <c r="G125" s="36"/>
      <c r="H125" s="36"/>
      <c r="I125" s="36"/>
      <c r="J125" s="36"/>
      <c r="K125" s="36"/>
      <c r="L125" s="36"/>
      <c r="M125" s="36"/>
      <c r="N125" s="36"/>
    </row>
    <row r="126" spans="1:14" x14ac:dyDescent="0.2">
      <c r="A126" s="42"/>
      <c r="B126" s="69"/>
      <c r="C126" s="42"/>
      <c r="D126" s="42"/>
      <c r="E126" s="106"/>
      <c r="F126" s="107"/>
      <c r="G126" s="36"/>
      <c r="H126" s="36"/>
      <c r="I126" s="36"/>
      <c r="J126" s="36"/>
      <c r="K126" s="36"/>
      <c r="L126" s="36"/>
      <c r="M126" s="36"/>
      <c r="N126" s="36"/>
    </row>
    <row r="127" spans="1:14" x14ac:dyDescent="0.2">
      <c r="A127" s="42"/>
      <c r="B127" s="69"/>
      <c r="C127" s="42"/>
      <c r="D127" s="42"/>
      <c r="E127" s="106"/>
      <c r="F127" s="107"/>
      <c r="G127" s="36"/>
      <c r="H127" s="36"/>
      <c r="I127" s="36"/>
      <c r="J127" s="36"/>
      <c r="K127" s="36"/>
      <c r="L127" s="36"/>
      <c r="M127" s="36"/>
      <c r="N127" s="36"/>
    </row>
    <row r="128" spans="1:14" x14ac:dyDescent="0.2">
      <c r="A128" s="42"/>
      <c r="B128" s="69"/>
      <c r="C128" s="42"/>
      <c r="D128" s="42"/>
      <c r="E128" s="106"/>
      <c r="F128" s="107"/>
      <c r="G128" s="36"/>
      <c r="H128" s="36"/>
      <c r="I128" s="36"/>
      <c r="J128" s="36"/>
      <c r="K128" s="36"/>
      <c r="L128" s="36"/>
      <c r="M128" s="36"/>
      <c r="N128" s="36"/>
    </row>
    <row r="129" spans="1:14" x14ac:dyDescent="0.2">
      <c r="A129" s="42"/>
      <c r="B129" s="69"/>
      <c r="C129" s="42"/>
      <c r="D129" s="42"/>
      <c r="E129" s="106"/>
      <c r="F129" s="107"/>
      <c r="G129" s="36"/>
      <c r="H129" s="36"/>
      <c r="I129" s="36"/>
      <c r="J129" s="36"/>
      <c r="K129" s="36"/>
      <c r="L129" s="36"/>
      <c r="M129" s="36"/>
      <c r="N129" s="36"/>
    </row>
    <row r="130" spans="1:14" x14ac:dyDescent="0.2">
      <c r="A130" s="42"/>
      <c r="B130" s="69"/>
      <c r="C130" s="42"/>
      <c r="D130" s="42"/>
      <c r="E130" s="106"/>
      <c r="F130" s="107"/>
      <c r="G130" s="36"/>
      <c r="H130" s="36"/>
      <c r="I130" s="36"/>
      <c r="J130" s="36"/>
      <c r="K130" s="36"/>
      <c r="L130" s="36"/>
      <c r="M130" s="36"/>
      <c r="N130" s="36"/>
    </row>
    <row r="131" spans="1:14" x14ac:dyDescent="0.2">
      <c r="A131" s="42"/>
      <c r="B131" s="69"/>
      <c r="C131" s="42"/>
      <c r="D131" s="42"/>
      <c r="E131" s="106"/>
      <c r="F131" s="107"/>
      <c r="G131" s="36"/>
      <c r="H131" s="36"/>
      <c r="I131" s="36"/>
      <c r="J131" s="36"/>
      <c r="K131" s="36"/>
      <c r="L131" s="36"/>
      <c r="M131" s="36"/>
      <c r="N131" s="36"/>
    </row>
    <row r="132" spans="1:14" x14ac:dyDescent="0.2">
      <c r="A132" s="42"/>
      <c r="B132" s="69"/>
      <c r="C132" s="42"/>
      <c r="D132" s="42"/>
      <c r="E132" s="106"/>
      <c r="F132" s="107"/>
      <c r="G132" s="36"/>
      <c r="H132" s="36"/>
      <c r="I132" s="36"/>
      <c r="J132" s="36"/>
      <c r="K132" s="36"/>
      <c r="L132" s="36"/>
      <c r="M132" s="36"/>
      <c r="N132" s="36"/>
    </row>
    <row r="133" spans="1:14" x14ac:dyDescent="0.2">
      <c r="A133" s="42"/>
      <c r="B133" s="69"/>
      <c r="C133" s="42"/>
      <c r="D133" s="42"/>
      <c r="E133" s="106"/>
      <c r="F133" s="107"/>
      <c r="G133" s="36"/>
      <c r="H133" s="36"/>
      <c r="I133" s="36"/>
      <c r="J133" s="36"/>
      <c r="K133" s="36"/>
      <c r="L133" s="36"/>
      <c r="M133" s="36"/>
      <c r="N133" s="36"/>
    </row>
    <row r="134" spans="1:14" x14ac:dyDescent="0.2">
      <c r="A134" s="42"/>
      <c r="B134" s="69"/>
      <c r="C134" s="42"/>
      <c r="D134" s="42"/>
      <c r="E134" s="106"/>
      <c r="F134" s="107"/>
      <c r="G134" s="36"/>
      <c r="H134" s="36"/>
      <c r="I134" s="36"/>
      <c r="J134" s="36"/>
      <c r="K134" s="36"/>
      <c r="L134" s="36"/>
      <c r="M134" s="36"/>
      <c r="N134" s="36"/>
    </row>
    <row r="135" spans="1:14" x14ac:dyDescent="0.2">
      <c r="A135" s="42"/>
      <c r="B135" s="69"/>
      <c r="C135" s="42"/>
      <c r="D135" s="42"/>
      <c r="E135" s="106"/>
      <c r="F135" s="107"/>
      <c r="G135" s="36"/>
      <c r="H135" s="36"/>
      <c r="I135" s="36"/>
      <c r="J135" s="36"/>
      <c r="K135" s="36"/>
      <c r="L135" s="36"/>
      <c r="M135" s="36"/>
      <c r="N135" s="36"/>
    </row>
    <row r="136" spans="1:14" x14ac:dyDescent="0.2">
      <c r="A136" s="42"/>
      <c r="B136" s="69"/>
      <c r="C136" s="42"/>
      <c r="D136" s="42"/>
      <c r="E136" s="106"/>
      <c r="F136" s="107"/>
      <c r="G136" s="36"/>
      <c r="H136" s="36"/>
      <c r="I136" s="36"/>
      <c r="J136" s="36"/>
      <c r="K136" s="36"/>
      <c r="L136" s="36"/>
      <c r="M136" s="36"/>
      <c r="N136" s="36"/>
    </row>
    <row r="137" spans="1:14" x14ac:dyDescent="0.2">
      <c r="A137" s="42"/>
      <c r="B137" s="69"/>
      <c r="C137" s="42"/>
      <c r="D137" s="42"/>
      <c r="E137" s="106"/>
      <c r="F137" s="107"/>
      <c r="G137" s="36"/>
      <c r="H137" s="36"/>
      <c r="I137" s="36"/>
      <c r="J137" s="36"/>
      <c r="K137" s="36"/>
      <c r="L137" s="36"/>
      <c r="M137" s="36"/>
      <c r="N137" s="36"/>
    </row>
    <row r="138" spans="1:14" x14ac:dyDescent="0.2">
      <c r="A138" s="42"/>
      <c r="B138" s="69"/>
      <c r="C138" s="42"/>
      <c r="D138" s="42"/>
      <c r="E138" s="106"/>
      <c r="F138" s="107"/>
      <c r="G138" s="36"/>
      <c r="H138" s="36"/>
      <c r="I138" s="36"/>
      <c r="J138" s="36"/>
      <c r="K138" s="36"/>
      <c r="L138" s="36"/>
      <c r="M138" s="36"/>
      <c r="N138" s="36"/>
    </row>
    <row r="139" spans="1:14" x14ac:dyDescent="0.2">
      <c r="A139" s="42"/>
      <c r="B139" s="69"/>
      <c r="C139" s="42"/>
      <c r="D139" s="42"/>
      <c r="E139" s="106"/>
      <c r="F139" s="107"/>
      <c r="G139" s="36"/>
      <c r="H139" s="36"/>
      <c r="I139" s="36"/>
      <c r="J139" s="36"/>
      <c r="K139" s="36"/>
      <c r="L139" s="36"/>
      <c r="M139" s="36"/>
      <c r="N139" s="36"/>
    </row>
    <row r="140" spans="1:14" x14ac:dyDescent="0.2">
      <c r="A140" s="42"/>
      <c r="B140" s="69"/>
      <c r="C140" s="42"/>
      <c r="D140" s="42"/>
      <c r="E140" s="106"/>
      <c r="F140" s="107"/>
      <c r="G140" s="36"/>
      <c r="H140" s="36"/>
      <c r="I140" s="36"/>
      <c r="J140" s="36"/>
      <c r="K140" s="36"/>
      <c r="L140" s="36"/>
      <c r="M140" s="36"/>
      <c r="N140" s="36"/>
    </row>
    <row r="141" spans="1:14" x14ac:dyDescent="0.2">
      <c r="A141" s="42"/>
      <c r="B141" s="69"/>
      <c r="C141" s="42"/>
      <c r="D141" s="42"/>
      <c r="E141" s="106"/>
      <c r="F141" s="107"/>
      <c r="G141" s="36"/>
      <c r="H141" s="36"/>
      <c r="I141" s="36"/>
      <c r="J141" s="36"/>
      <c r="K141" s="36"/>
      <c r="L141" s="36"/>
      <c r="M141" s="36"/>
      <c r="N141" s="36"/>
    </row>
    <row r="142" spans="1:14" x14ac:dyDescent="0.2">
      <c r="A142" s="42"/>
      <c r="B142" s="69"/>
      <c r="C142" s="42"/>
      <c r="D142" s="42"/>
      <c r="E142" s="106"/>
      <c r="F142" s="107"/>
      <c r="G142" s="36"/>
      <c r="H142" s="36"/>
      <c r="I142" s="36"/>
      <c r="J142" s="36"/>
      <c r="K142" s="36"/>
      <c r="L142" s="36"/>
      <c r="M142" s="36"/>
      <c r="N142" s="36"/>
    </row>
    <row r="143" spans="1:14" x14ac:dyDescent="0.2">
      <c r="A143" s="42"/>
      <c r="B143" s="69"/>
      <c r="C143" s="42"/>
      <c r="D143" s="42"/>
      <c r="E143" s="106"/>
      <c r="F143" s="107"/>
      <c r="G143" s="36"/>
      <c r="H143" s="36"/>
      <c r="I143" s="36"/>
      <c r="J143" s="36"/>
      <c r="K143" s="36"/>
      <c r="L143" s="36"/>
      <c r="M143" s="36"/>
      <c r="N143" s="36"/>
    </row>
    <row r="144" spans="1:14" x14ac:dyDescent="0.2">
      <c r="A144" s="42"/>
      <c r="B144" s="69"/>
      <c r="C144" s="42"/>
      <c r="D144" s="42"/>
      <c r="E144" s="106"/>
      <c r="F144" s="107"/>
      <c r="G144" s="36"/>
      <c r="H144" s="36"/>
      <c r="I144" s="36"/>
      <c r="J144" s="36"/>
      <c r="K144" s="36"/>
      <c r="L144" s="36"/>
      <c r="M144" s="36"/>
      <c r="N144" s="36"/>
    </row>
    <row r="145" spans="1:14" x14ac:dyDescent="0.2">
      <c r="A145" s="42"/>
      <c r="B145" s="69"/>
      <c r="C145" s="42"/>
      <c r="D145" s="42"/>
      <c r="E145" s="106"/>
      <c r="F145" s="107"/>
      <c r="G145" s="36"/>
      <c r="H145" s="36"/>
      <c r="I145" s="36"/>
      <c r="J145" s="36"/>
      <c r="K145" s="36"/>
      <c r="L145" s="36"/>
      <c r="M145" s="36"/>
      <c r="N145" s="36"/>
    </row>
    <row r="146" spans="1:14" x14ac:dyDescent="0.2">
      <c r="A146" s="42"/>
      <c r="B146" s="69"/>
      <c r="C146" s="42"/>
      <c r="D146" s="42"/>
      <c r="E146" s="106"/>
      <c r="F146" s="107"/>
      <c r="G146" s="36"/>
      <c r="H146" s="36"/>
      <c r="I146" s="36"/>
      <c r="J146" s="36"/>
      <c r="K146" s="36"/>
      <c r="L146" s="36"/>
      <c r="M146" s="36"/>
      <c r="N146" s="36"/>
    </row>
    <row r="147" spans="1:14" x14ac:dyDescent="0.2">
      <c r="A147" s="42"/>
      <c r="B147" s="69"/>
      <c r="C147" s="42"/>
      <c r="D147" s="42"/>
      <c r="E147" s="106"/>
      <c r="F147" s="107"/>
      <c r="G147" s="36"/>
      <c r="H147" s="36"/>
      <c r="I147" s="36"/>
      <c r="J147" s="36"/>
      <c r="K147" s="36"/>
      <c r="L147" s="36"/>
      <c r="M147" s="36"/>
      <c r="N147" s="36"/>
    </row>
    <row r="148" spans="1:14" x14ac:dyDescent="0.2">
      <c r="A148" s="42"/>
      <c r="B148" s="69"/>
      <c r="C148" s="42"/>
      <c r="D148" s="42"/>
      <c r="E148" s="106"/>
      <c r="F148" s="107"/>
      <c r="G148" s="36"/>
      <c r="H148" s="36"/>
      <c r="I148" s="36"/>
      <c r="J148" s="36"/>
      <c r="K148" s="36"/>
      <c r="L148" s="36"/>
      <c r="M148" s="36"/>
      <c r="N148" s="36"/>
    </row>
    <row r="149" spans="1:14" x14ac:dyDescent="0.2">
      <c r="A149" s="42"/>
      <c r="B149" s="69"/>
      <c r="C149" s="42"/>
      <c r="D149" s="42"/>
      <c r="E149" s="106"/>
      <c r="F149" s="107"/>
      <c r="G149" s="36"/>
      <c r="H149" s="36"/>
      <c r="I149" s="36"/>
      <c r="J149" s="36"/>
      <c r="K149" s="36"/>
      <c r="L149" s="36"/>
      <c r="M149" s="36"/>
      <c r="N149" s="36"/>
    </row>
    <row r="150" spans="1:14" x14ac:dyDescent="0.2">
      <c r="A150" s="42"/>
      <c r="B150" s="69"/>
      <c r="C150" s="42"/>
      <c r="D150" s="42"/>
      <c r="E150" s="106"/>
      <c r="F150" s="107"/>
      <c r="G150" s="36"/>
      <c r="H150" s="36"/>
      <c r="I150" s="36"/>
      <c r="J150" s="36"/>
      <c r="K150" s="36"/>
      <c r="L150" s="36"/>
      <c r="M150" s="36"/>
      <c r="N150" s="36"/>
    </row>
    <row r="151" spans="1:14" x14ac:dyDescent="0.2">
      <c r="A151" s="42"/>
      <c r="B151" s="69"/>
      <c r="C151" s="42"/>
      <c r="D151" s="42"/>
      <c r="E151" s="106"/>
      <c r="F151" s="107"/>
      <c r="G151" s="36"/>
      <c r="H151" s="36"/>
      <c r="I151" s="36"/>
      <c r="J151" s="36"/>
      <c r="K151" s="36"/>
      <c r="L151" s="36"/>
      <c r="M151" s="36"/>
      <c r="N151" s="36"/>
    </row>
    <row r="152" spans="1:14" x14ac:dyDescent="0.2">
      <c r="A152" s="42"/>
      <c r="B152" s="69"/>
      <c r="C152" s="42"/>
      <c r="D152" s="42"/>
      <c r="E152" s="106"/>
      <c r="F152" s="107"/>
      <c r="G152" s="36"/>
      <c r="H152" s="36"/>
      <c r="I152" s="36"/>
      <c r="J152" s="36"/>
      <c r="K152" s="36"/>
      <c r="L152" s="36"/>
      <c r="M152" s="36"/>
      <c r="N152" s="36"/>
    </row>
    <row r="153" spans="1:14" x14ac:dyDescent="0.2">
      <c r="A153" s="42"/>
      <c r="B153" s="69"/>
      <c r="C153" s="42"/>
      <c r="D153" s="42"/>
      <c r="E153" s="106"/>
      <c r="F153" s="107"/>
      <c r="G153" s="36"/>
      <c r="H153" s="36"/>
      <c r="I153" s="36"/>
      <c r="J153" s="36"/>
      <c r="K153" s="36"/>
      <c r="L153" s="36"/>
      <c r="M153" s="36"/>
      <c r="N153" s="36"/>
    </row>
    <row r="154" spans="1:14" x14ac:dyDescent="0.2">
      <c r="A154" s="42"/>
      <c r="B154" s="69"/>
      <c r="C154" s="42"/>
      <c r="D154" s="42"/>
      <c r="E154" s="106"/>
      <c r="F154" s="107"/>
      <c r="G154" s="36"/>
      <c r="H154" s="36"/>
      <c r="I154" s="36"/>
      <c r="J154" s="36"/>
      <c r="K154" s="36"/>
      <c r="L154" s="36"/>
      <c r="M154" s="36"/>
      <c r="N154" s="36"/>
    </row>
    <row r="155" spans="1:14" x14ac:dyDescent="0.2">
      <c r="A155" s="42"/>
      <c r="B155" s="69"/>
      <c r="C155" s="42"/>
      <c r="D155" s="42"/>
      <c r="E155" s="106"/>
      <c r="F155" s="107"/>
      <c r="G155" s="36"/>
      <c r="H155" s="36"/>
      <c r="I155" s="36"/>
      <c r="J155" s="36"/>
      <c r="K155" s="36"/>
      <c r="L155" s="36"/>
      <c r="M155" s="36"/>
      <c r="N155" s="36"/>
    </row>
    <row r="156" spans="1:14" x14ac:dyDescent="0.2">
      <c r="A156" s="42"/>
      <c r="B156" s="69"/>
      <c r="C156" s="42"/>
      <c r="D156" s="42"/>
      <c r="E156" s="106"/>
      <c r="F156" s="107"/>
      <c r="G156" s="36"/>
      <c r="H156" s="36"/>
      <c r="I156" s="36"/>
      <c r="J156" s="36"/>
      <c r="K156" s="36"/>
      <c r="L156" s="36"/>
      <c r="M156" s="36"/>
      <c r="N156" s="36"/>
    </row>
    <row r="157" spans="1:14" x14ac:dyDescent="0.2">
      <c r="A157" s="42"/>
      <c r="B157" s="69"/>
      <c r="C157" s="42"/>
      <c r="D157" s="42"/>
      <c r="E157" s="106"/>
      <c r="F157" s="107"/>
      <c r="G157" s="36"/>
      <c r="H157" s="36"/>
      <c r="I157" s="36"/>
      <c r="J157" s="36"/>
      <c r="K157" s="36"/>
      <c r="L157" s="36"/>
      <c r="M157" s="36"/>
      <c r="N157" s="36"/>
    </row>
    <row r="158" spans="1:14" x14ac:dyDescent="0.2">
      <c r="A158" s="42"/>
      <c r="B158" s="69"/>
      <c r="C158" s="42"/>
      <c r="D158" s="42"/>
      <c r="E158" s="106"/>
      <c r="F158" s="107"/>
      <c r="G158" s="36"/>
      <c r="H158" s="36"/>
      <c r="I158" s="36"/>
      <c r="J158" s="36"/>
      <c r="K158" s="36"/>
      <c r="L158" s="36"/>
      <c r="M158" s="36"/>
      <c r="N158" s="36"/>
    </row>
    <row r="159" spans="1:14" x14ac:dyDescent="0.2">
      <c r="A159" s="42"/>
      <c r="B159" s="69"/>
      <c r="C159" s="42"/>
      <c r="D159" s="42"/>
      <c r="E159" s="106"/>
      <c r="F159" s="107"/>
      <c r="G159" s="36"/>
      <c r="H159" s="36"/>
      <c r="I159" s="36"/>
      <c r="J159" s="36"/>
      <c r="K159" s="36"/>
      <c r="L159" s="36"/>
      <c r="M159" s="36"/>
      <c r="N159" s="36"/>
    </row>
    <row r="160" spans="1:14" x14ac:dyDescent="0.2">
      <c r="A160" s="42"/>
      <c r="B160" s="69"/>
      <c r="C160" s="42"/>
      <c r="D160" s="42"/>
      <c r="E160" s="106"/>
      <c r="F160" s="107"/>
      <c r="G160" s="36"/>
      <c r="H160" s="36"/>
      <c r="I160" s="36"/>
      <c r="J160" s="36"/>
      <c r="K160" s="36"/>
      <c r="L160" s="36"/>
      <c r="M160" s="36"/>
      <c r="N160" s="36"/>
    </row>
    <row r="161" spans="1:14" x14ac:dyDescent="0.2">
      <c r="A161" s="42"/>
      <c r="B161" s="69"/>
      <c r="C161" s="42"/>
      <c r="D161" s="42"/>
      <c r="E161" s="106"/>
      <c r="F161" s="107"/>
      <c r="G161" s="36"/>
      <c r="H161" s="36"/>
      <c r="I161" s="36"/>
      <c r="J161" s="36"/>
      <c r="K161" s="36"/>
      <c r="L161" s="36"/>
      <c r="M161" s="36"/>
      <c r="N161" s="36"/>
    </row>
    <row r="162" spans="1:14" x14ac:dyDescent="0.2">
      <c r="A162" s="42"/>
      <c r="B162" s="69"/>
      <c r="C162" s="42"/>
      <c r="D162" s="42"/>
      <c r="E162" s="106"/>
      <c r="F162" s="107"/>
      <c r="G162" s="36"/>
      <c r="H162" s="36"/>
      <c r="I162" s="36"/>
      <c r="J162" s="36"/>
      <c r="K162" s="36"/>
      <c r="L162" s="36"/>
      <c r="M162" s="36"/>
      <c r="N162" s="36"/>
    </row>
    <row r="163" spans="1:14" x14ac:dyDescent="0.2">
      <c r="A163" s="42"/>
      <c r="B163" s="69"/>
      <c r="C163" s="42"/>
      <c r="D163" s="42"/>
      <c r="E163" s="106"/>
      <c r="F163" s="107"/>
      <c r="G163" s="36"/>
      <c r="H163" s="36"/>
      <c r="I163" s="36"/>
      <c r="J163" s="36"/>
      <c r="K163" s="36"/>
      <c r="L163" s="36"/>
      <c r="M163" s="36"/>
      <c r="N163" s="36"/>
    </row>
    <row r="164" spans="1:14" x14ac:dyDescent="0.2">
      <c r="A164" s="42"/>
      <c r="B164" s="69"/>
      <c r="C164" s="42"/>
      <c r="D164" s="42"/>
      <c r="E164" s="106"/>
      <c r="F164" s="107"/>
      <c r="G164" s="36"/>
      <c r="H164" s="36"/>
      <c r="I164" s="36"/>
      <c r="J164" s="36"/>
      <c r="K164" s="36"/>
      <c r="L164" s="36"/>
      <c r="M164" s="36"/>
      <c r="N164" s="36"/>
    </row>
    <row r="165" spans="1:14" x14ac:dyDescent="0.2">
      <c r="A165" s="42"/>
      <c r="B165" s="69"/>
      <c r="C165" s="42"/>
      <c r="D165" s="42"/>
    </row>
    <row r="166" spans="1:14" x14ac:dyDescent="0.2">
      <c r="B166" s="39"/>
    </row>
    <row r="167" spans="1:14" x14ac:dyDescent="0.2">
      <c r="B167" s="39"/>
    </row>
    <row r="168" spans="1:14" x14ac:dyDescent="0.2">
      <c r="B168" s="39"/>
    </row>
    <row r="169" spans="1:14" x14ac:dyDescent="0.2">
      <c r="B169" s="39"/>
    </row>
    <row r="170" spans="1:14" x14ac:dyDescent="0.2">
      <c r="B170" s="39"/>
    </row>
    <row r="171" spans="1:14" x14ac:dyDescent="0.2">
      <c r="B171" s="39"/>
    </row>
    <row r="172" spans="1:14" x14ac:dyDescent="0.2">
      <c r="B172" s="39"/>
    </row>
    <row r="173" spans="1:14" x14ac:dyDescent="0.2">
      <c r="B173" s="39"/>
    </row>
    <row r="174" spans="1:14" x14ac:dyDescent="0.2">
      <c r="B174" s="39"/>
    </row>
    <row r="175" spans="1:14" x14ac:dyDescent="0.2">
      <c r="B175" s="39"/>
    </row>
    <row r="176" spans="1:14" x14ac:dyDescent="0.2">
      <c r="B176" s="39"/>
    </row>
    <row r="177" spans="2:2" x14ac:dyDescent="0.2">
      <c r="B177" s="39"/>
    </row>
    <row r="178" spans="2:2" x14ac:dyDescent="0.2">
      <c r="B178" s="39"/>
    </row>
    <row r="179" spans="2:2" x14ac:dyDescent="0.2">
      <c r="B179" s="39"/>
    </row>
    <row r="180" spans="2:2" x14ac:dyDescent="0.2">
      <c r="B180" s="39"/>
    </row>
    <row r="181" spans="2:2" x14ac:dyDescent="0.2">
      <c r="B181" s="39"/>
    </row>
    <row r="182" spans="2:2" x14ac:dyDescent="0.2">
      <c r="B182" s="39"/>
    </row>
    <row r="183" spans="2:2" x14ac:dyDescent="0.2">
      <c r="B183" s="39"/>
    </row>
    <row r="184" spans="2:2" x14ac:dyDescent="0.2">
      <c r="B184" s="39"/>
    </row>
    <row r="185" spans="2:2" x14ac:dyDescent="0.2">
      <c r="B185" s="39"/>
    </row>
    <row r="186" spans="2:2" x14ac:dyDescent="0.2">
      <c r="B186" s="39"/>
    </row>
    <row r="187" spans="2:2" x14ac:dyDescent="0.2">
      <c r="B187" s="39"/>
    </row>
    <row r="188" spans="2:2" x14ac:dyDescent="0.2">
      <c r="B188" s="39"/>
    </row>
    <row r="189" spans="2:2" x14ac:dyDescent="0.2">
      <c r="B189" s="39"/>
    </row>
    <row r="190" spans="2:2" x14ac:dyDescent="0.2">
      <c r="B190" s="39"/>
    </row>
    <row r="191" spans="2:2" x14ac:dyDescent="0.2">
      <c r="B191" s="39"/>
    </row>
    <row r="192" spans="2:2" x14ac:dyDescent="0.2">
      <c r="B192" s="39"/>
    </row>
    <row r="193" spans="2:2" x14ac:dyDescent="0.2">
      <c r="B193" s="39"/>
    </row>
    <row r="194" spans="2:2" x14ac:dyDescent="0.2">
      <c r="B194" s="39"/>
    </row>
    <row r="195" spans="2:2" x14ac:dyDescent="0.2">
      <c r="B195" s="39"/>
    </row>
    <row r="196" spans="2:2" x14ac:dyDescent="0.2">
      <c r="B196" s="39"/>
    </row>
    <row r="197" spans="2:2" x14ac:dyDescent="0.2">
      <c r="B197" s="39"/>
    </row>
    <row r="198" spans="2:2" x14ac:dyDescent="0.2">
      <c r="B198" s="39"/>
    </row>
    <row r="199" spans="2:2" x14ac:dyDescent="0.2">
      <c r="B199" s="39"/>
    </row>
    <row r="200" spans="2:2" x14ac:dyDescent="0.2">
      <c r="B200" s="39"/>
    </row>
    <row r="201" spans="2:2" x14ac:dyDescent="0.2">
      <c r="B201" s="39"/>
    </row>
    <row r="202" spans="2:2" x14ac:dyDescent="0.2">
      <c r="B202" s="39"/>
    </row>
    <row r="203" spans="2:2" x14ac:dyDescent="0.2">
      <c r="B203" s="39"/>
    </row>
    <row r="204" spans="2:2" x14ac:dyDescent="0.2">
      <c r="B204" s="39"/>
    </row>
    <row r="205" spans="2:2" x14ac:dyDescent="0.2">
      <c r="B205" s="39"/>
    </row>
    <row r="206" spans="2:2" x14ac:dyDescent="0.2">
      <c r="B206" s="39"/>
    </row>
    <row r="207" spans="2:2" x14ac:dyDescent="0.2">
      <c r="B207" s="39"/>
    </row>
    <row r="208" spans="2:2" x14ac:dyDescent="0.2">
      <c r="B208" s="39"/>
    </row>
    <row r="209" spans="2:2" x14ac:dyDescent="0.2">
      <c r="B209" s="39"/>
    </row>
    <row r="210" spans="2:2" x14ac:dyDescent="0.2">
      <c r="B210" s="39"/>
    </row>
    <row r="211" spans="2:2" x14ac:dyDescent="0.2">
      <c r="B211" s="39"/>
    </row>
    <row r="212" spans="2:2" x14ac:dyDescent="0.2">
      <c r="B212" s="39"/>
    </row>
    <row r="213" spans="2:2" x14ac:dyDescent="0.2">
      <c r="B213" s="39"/>
    </row>
    <row r="214" spans="2:2" x14ac:dyDescent="0.2">
      <c r="B214" s="39"/>
    </row>
    <row r="215" spans="2:2" x14ac:dyDescent="0.2">
      <c r="B215" s="39"/>
    </row>
    <row r="216" spans="2:2" x14ac:dyDescent="0.2">
      <c r="B216" s="39"/>
    </row>
    <row r="217" spans="2:2" x14ac:dyDescent="0.2">
      <c r="B217" s="39"/>
    </row>
    <row r="218" spans="2:2" x14ac:dyDescent="0.2">
      <c r="B218" s="39"/>
    </row>
    <row r="219" spans="2:2" x14ac:dyDescent="0.2">
      <c r="B219" s="39"/>
    </row>
    <row r="220" spans="2:2" x14ac:dyDescent="0.2">
      <c r="B220" s="39"/>
    </row>
    <row r="221" spans="2:2" x14ac:dyDescent="0.2">
      <c r="B221" s="39"/>
    </row>
    <row r="222" spans="2:2" x14ac:dyDescent="0.2">
      <c r="B222" s="39"/>
    </row>
    <row r="223" spans="2:2" x14ac:dyDescent="0.2">
      <c r="B223" s="39"/>
    </row>
    <row r="224" spans="2:2" x14ac:dyDescent="0.2">
      <c r="B224" s="39"/>
    </row>
    <row r="225" spans="2:2" x14ac:dyDescent="0.2">
      <c r="B225" s="39"/>
    </row>
    <row r="226" spans="2:2" x14ac:dyDescent="0.2">
      <c r="B226" s="39"/>
    </row>
    <row r="227" spans="2:2" x14ac:dyDescent="0.2">
      <c r="B227" s="39"/>
    </row>
    <row r="228" spans="2:2" x14ac:dyDescent="0.2">
      <c r="B228" s="39"/>
    </row>
    <row r="229" spans="2:2" x14ac:dyDescent="0.2">
      <c r="B229" s="39"/>
    </row>
    <row r="230" spans="2:2" x14ac:dyDescent="0.2">
      <c r="B230" s="39"/>
    </row>
    <row r="231" spans="2:2" x14ac:dyDescent="0.2">
      <c r="B231" s="39"/>
    </row>
    <row r="232" spans="2:2" x14ac:dyDescent="0.2">
      <c r="B232" s="39"/>
    </row>
    <row r="233" spans="2:2" x14ac:dyDescent="0.2">
      <c r="B233" s="39"/>
    </row>
    <row r="234" spans="2:2" x14ac:dyDescent="0.2">
      <c r="B234" s="39"/>
    </row>
    <row r="235" spans="2:2" x14ac:dyDescent="0.2">
      <c r="B235" s="39"/>
    </row>
    <row r="236" spans="2:2" x14ac:dyDescent="0.2">
      <c r="B236" s="39"/>
    </row>
    <row r="237" spans="2:2" x14ac:dyDescent="0.2">
      <c r="B237" s="39"/>
    </row>
    <row r="238" spans="2:2" x14ac:dyDescent="0.2">
      <c r="B238" s="39"/>
    </row>
    <row r="239" spans="2:2" x14ac:dyDescent="0.2">
      <c r="B239" s="39"/>
    </row>
    <row r="240" spans="2:2" x14ac:dyDescent="0.2">
      <c r="B240" s="39"/>
    </row>
    <row r="241" spans="2:2" x14ac:dyDescent="0.2">
      <c r="B241" s="39"/>
    </row>
    <row r="242" spans="2:2" x14ac:dyDescent="0.2">
      <c r="B242" s="39"/>
    </row>
    <row r="243" spans="2:2" x14ac:dyDescent="0.2">
      <c r="B243" s="39"/>
    </row>
    <row r="244" spans="2:2" x14ac:dyDescent="0.2">
      <c r="B244" s="39"/>
    </row>
    <row r="245" spans="2:2" x14ac:dyDescent="0.2">
      <c r="B245" s="39"/>
    </row>
    <row r="246" spans="2:2" x14ac:dyDescent="0.2">
      <c r="B246" s="39"/>
    </row>
    <row r="247" spans="2:2" x14ac:dyDescent="0.2">
      <c r="B247" s="39"/>
    </row>
    <row r="248" spans="2:2" x14ac:dyDescent="0.2">
      <c r="B248" s="39"/>
    </row>
    <row r="249" spans="2:2" x14ac:dyDescent="0.2">
      <c r="B249" s="39"/>
    </row>
    <row r="250" spans="2:2" x14ac:dyDescent="0.2">
      <c r="B250" s="39"/>
    </row>
    <row r="251" spans="2:2" x14ac:dyDescent="0.2">
      <c r="B251" s="39"/>
    </row>
    <row r="252" spans="2:2" x14ac:dyDescent="0.2">
      <c r="B252" s="39"/>
    </row>
    <row r="253" spans="2:2" x14ac:dyDescent="0.2">
      <c r="B253" s="39"/>
    </row>
    <row r="254" spans="2:2" x14ac:dyDescent="0.2">
      <c r="B254" s="39"/>
    </row>
    <row r="255" spans="2:2" x14ac:dyDescent="0.2">
      <c r="B255" s="39"/>
    </row>
    <row r="256" spans="2:2" x14ac:dyDescent="0.2">
      <c r="B256" s="39"/>
    </row>
    <row r="257" spans="2:2" x14ac:dyDescent="0.2">
      <c r="B257" s="39"/>
    </row>
    <row r="258" spans="2:2" x14ac:dyDescent="0.2">
      <c r="B258" s="39"/>
    </row>
    <row r="259" spans="2:2" x14ac:dyDescent="0.2">
      <c r="B259" s="39"/>
    </row>
    <row r="260" spans="2:2" x14ac:dyDescent="0.2">
      <c r="B260" s="39"/>
    </row>
    <row r="261" spans="2:2" x14ac:dyDescent="0.2">
      <c r="B261" s="39"/>
    </row>
    <row r="262" spans="2:2" x14ac:dyDescent="0.2">
      <c r="B262" s="39"/>
    </row>
    <row r="263" spans="2:2" x14ac:dyDescent="0.2">
      <c r="B263" s="39"/>
    </row>
    <row r="264" spans="2:2" x14ac:dyDescent="0.2">
      <c r="B264" s="39"/>
    </row>
    <row r="265" spans="2:2" x14ac:dyDescent="0.2">
      <c r="B265" s="39"/>
    </row>
    <row r="266" spans="2:2" x14ac:dyDescent="0.2">
      <c r="B266" s="39"/>
    </row>
    <row r="267" spans="2:2" x14ac:dyDescent="0.2">
      <c r="B267" s="39"/>
    </row>
    <row r="268" spans="2:2" x14ac:dyDescent="0.2">
      <c r="B268" s="39"/>
    </row>
    <row r="269" spans="2:2" x14ac:dyDescent="0.2">
      <c r="B269" s="39"/>
    </row>
    <row r="270" spans="2:2" x14ac:dyDescent="0.2">
      <c r="B270" s="39"/>
    </row>
    <row r="271" spans="2:2" x14ac:dyDescent="0.2">
      <c r="B271" s="39"/>
    </row>
    <row r="272" spans="2:2" x14ac:dyDescent="0.2">
      <c r="B272" s="39"/>
    </row>
    <row r="273" spans="2:2" x14ac:dyDescent="0.2">
      <c r="B273" s="39"/>
    </row>
    <row r="274" spans="2:2" x14ac:dyDescent="0.2">
      <c r="B274" s="39"/>
    </row>
    <row r="275" spans="2:2" x14ac:dyDescent="0.2">
      <c r="B275" s="39"/>
    </row>
    <row r="276" spans="2:2" x14ac:dyDescent="0.2">
      <c r="B276" s="39"/>
    </row>
    <row r="277" spans="2:2" x14ac:dyDescent="0.2">
      <c r="B277" s="39"/>
    </row>
    <row r="278" spans="2:2" x14ac:dyDescent="0.2">
      <c r="B278" s="39"/>
    </row>
    <row r="279" spans="2:2" x14ac:dyDescent="0.2">
      <c r="B279" s="39"/>
    </row>
    <row r="280" spans="2:2" x14ac:dyDescent="0.2">
      <c r="B280" s="39"/>
    </row>
    <row r="281" spans="2:2" x14ac:dyDescent="0.2">
      <c r="B281" s="39"/>
    </row>
    <row r="282" spans="2:2" x14ac:dyDescent="0.2">
      <c r="B282" s="39"/>
    </row>
    <row r="283" spans="2:2" x14ac:dyDescent="0.2">
      <c r="B283" s="39"/>
    </row>
    <row r="284" spans="2:2" x14ac:dyDescent="0.2">
      <c r="B284" s="39"/>
    </row>
    <row r="285" spans="2:2" x14ac:dyDescent="0.2">
      <c r="B285" s="39"/>
    </row>
    <row r="286" spans="2:2" x14ac:dyDescent="0.2">
      <c r="B286" s="39"/>
    </row>
    <row r="287" spans="2:2" x14ac:dyDescent="0.2">
      <c r="B287" s="39"/>
    </row>
    <row r="288" spans="2:2" x14ac:dyDescent="0.2">
      <c r="B288" s="39"/>
    </row>
    <row r="289" spans="2:2" x14ac:dyDescent="0.2">
      <c r="B289" s="39"/>
    </row>
    <row r="290" spans="2:2" x14ac:dyDescent="0.2">
      <c r="B290" s="39"/>
    </row>
    <row r="291" spans="2:2" x14ac:dyDescent="0.2">
      <c r="B291" s="39"/>
    </row>
    <row r="292" spans="2:2" x14ac:dyDescent="0.2">
      <c r="B292" s="39"/>
    </row>
    <row r="293" spans="2:2" x14ac:dyDescent="0.2">
      <c r="B293" s="39"/>
    </row>
    <row r="294" spans="2:2" x14ac:dyDescent="0.2">
      <c r="B294" s="39"/>
    </row>
    <row r="295" spans="2:2" x14ac:dyDescent="0.2">
      <c r="B295" s="39"/>
    </row>
    <row r="296" spans="2:2" x14ac:dyDescent="0.2">
      <c r="B296" s="39"/>
    </row>
    <row r="297" spans="2:2" x14ac:dyDescent="0.2">
      <c r="B297" s="39"/>
    </row>
    <row r="298" spans="2:2" x14ac:dyDescent="0.2">
      <c r="B298" s="39"/>
    </row>
    <row r="299" spans="2:2" x14ac:dyDescent="0.2">
      <c r="B299" s="39"/>
    </row>
    <row r="300" spans="2:2" x14ac:dyDescent="0.2">
      <c r="B300" s="39"/>
    </row>
    <row r="301" spans="2:2" x14ac:dyDescent="0.2">
      <c r="B301" s="39"/>
    </row>
    <row r="302" spans="2:2" x14ac:dyDescent="0.2">
      <c r="B302" s="39"/>
    </row>
    <row r="303" spans="2:2" x14ac:dyDescent="0.2">
      <c r="B303" s="39"/>
    </row>
    <row r="304" spans="2:2" x14ac:dyDescent="0.2">
      <c r="B304" s="39"/>
    </row>
    <row r="305" spans="2:2" x14ac:dyDescent="0.2">
      <c r="B305" s="39"/>
    </row>
    <row r="306" spans="2:2" x14ac:dyDescent="0.2">
      <c r="B306" s="39"/>
    </row>
    <row r="307" spans="2:2" x14ac:dyDescent="0.2">
      <c r="B307" s="39"/>
    </row>
    <row r="308" spans="2:2" x14ac:dyDescent="0.2">
      <c r="B308" s="39"/>
    </row>
    <row r="309" spans="2:2" x14ac:dyDescent="0.2">
      <c r="B309" s="39"/>
    </row>
    <row r="310" spans="2:2" x14ac:dyDescent="0.2">
      <c r="B310" s="39"/>
    </row>
    <row r="311" spans="2:2" x14ac:dyDescent="0.2">
      <c r="B311" s="39"/>
    </row>
    <row r="312" spans="2:2" x14ac:dyDescent="0.2">
      <c r="B312" s="39"/>
    </row>
    <row r="313" spans="2:2" x14ac:dyDescent="0.2">
      <c r="B313" s="39"/>
    </row>
    <row r="314" spans="2:2" x14ac:dyDescent="0.2">
      <c r="B314" s="39"/>
    </row>
    <row r="315" spans="2:2" x14ac:dyDescent="0.2">
      <c r="B315" s="39"/>
    </row>
    <row r="316" spans="2:2" x14ac:dyDescent="0.2">
      <c r="B316" s="39"/>
    </row>
    <row r="317" spans="2:2" x14ac:dyDescent="0.2">
      <c r="B317" s="39"/>
    </row>
    <row r="318" spans="2:2" x14ac:dyDescent="0.2">
      <c r="B318" s="39"/>
    </row>
    <row r="319" spans="2:2" x14ac:dyDescent="0.2">
      <c r="B319" s="39"/>
    </row>
    <row r="320" spans="2:2" x14ac:dyDescent="0.2">
      <c r="B320" s="39"/>
    </row>
    <row r="321" spans="2:2" x14ac:dyDescent="0.2">
      <c r="B321" s="39"/>
    </row>
    <row r="322" spans="2:2" x14ac:dyDescent="0.2">
      <c r="B322" s="39"/>
    </row>
    <row r="323" spans="2:2" x14ac:dyDescent="0.2">
      <c r="B323" s="39"/>
    </row>
    <row r="324" spans="2:2" x14ac:dyDescent="0.2">
      <c r="B324" s="39"/>
    </row>
    <row r="325" spans="2:2" x14ac:dyDescent="0.2">
      <c r="B325" s="39"/>
    </row>
    <row r="326" spans="2:2" x14ac:dyDescent="0.2">
      <c r="B326" s="39"/>
    </row>
    <row r="327" spans="2:2" x14ac:dyDescent="0.2">
      <c r="B327" s="39"/>
    </row>
    <row r="328" spans="2:2" x14ac:dyDescent="0.2">
      <c r="B328" s="39"/>
    </row>
    <row r="329" spans="2:2" x14ac:dyDescent="0.2">
      <c r="B329" s="39"/>
    </row>
    <row r="330" spans="2:2" x14ac:dyDescent="0.2">
      <c r="B330" s="39"/>
    </row>
    <row r="331" spans="2:2" x14ac:dyDescent="0.2">
      <c r="B331" s="39"/>
    </row>
    <row r="332" spans="2:2" x14ac:dyDescent="0.2">
      <c r="B332" s="39"/>
    </row>
    <row r="333" spans="2:2" x14ac:dyDescent="0.2">
      <c r="B333" s="39"/>
    </row>
    <row r="334" spans="2:2" x14ac:dyDescent="0.2">
      <c r="B334" s="39"/>
    </row>
    <row r="335" spans="2:2" x14ac:dyDescent="0.2">
      <c r="B335" s="39"/>
    </row>
    <row r="336" spans="2:2" x14ac:dyDescent="0.2">
      <c r="B336" s="39"/>
    </row>
    <row r="337" spans="2:2" x14ac:dyDescent="0.2">
      <c r="B337" s="39"/>
    </row>
    <row r="338" spans="2:2" x14ac:dyDescent="0.2">
      <c r="B338" s="39"/>
    </row>
    <row r="339" spans="2:2" x14ac:dyDescent="0.2">
      <c r="B339" s="39"/>
    </row>
    <row r="340" spans="2:2" x14ac:dyDescent="0.2">
      <c r="B340" s="39"/>
    </row>
    <row r="341" spans="2:2" x14ac:dyDescent="0.2">
      <c r="B341" s="39"/>
    </row>
    <row r="342" spans="2:2" x14ac:dyDescent="0.2">
      <c r="B342" s="39"/>
    </row>
    <row r="343" spans="2:2" x14ac:dyDescent="0.2">
      <c r="B343" s="39"/>
    </row>
    <row r="344" spans="2:2" x14ac:dyDescent="0.2">
      <c r="B344" s="39"/>
    </row>
    <row r="345" spans="2:2" x14ac:dyDescent="0.2">
      <c r="B345" s="39"/>
    </row>
    <row r="346" spans="2:2" x14ac:dyDescent="0.2">
      <c r="B346" s="39"/>
    </row>
    <row r="347" spans="2:2" x14ac:dyDescent="0.2">
      <c r="B347" s="39"/>
    </row>
    <row r="348" spans="2:2" x14ac:dyDescent="0.2">
      <c r="B348" s="39"/>
    </row>
    <row r="349" spans="2:2" x14ac:dyDescent="0.2">
      <c r="B349" s="39"/>
    </row>
    <row r="350" spans="2:2" x14ac:dyDescent="0.2">
      <c r="B350" s="39"/>
    </row>
    <row r="351" spans="2:2" x14ac:dyDescent="0.2">
      <c r="B351" s="39"/>
    </row>
    <row r="352" spans="2:2" x14ac:dyDescent="0.2">
      <c r="B352" s="39"/>
    </row>
    <row r="353" spans="2:2" x14ac:dyDescent="0.2">
      <c r="B353" s="39"/>
    </row>
    <row r="354" spans="2:2" x14ac:dyDescent="0.2">
      <c r="B354" s="39"/>
    </row>
    <row r="355" spans="2:2" x14ac:dyDescent="0.2">
      <c r="B355" s="39"/>
    </row>
    <row r="356" spans="2:2" x14ac:dyDescent="0.2">
      <c r="B356" s="39"/>
    </row>
    <row r="357" spans="2:2" x14ac:dyDescent="0.2">
      <c r="B357" s="39"/>
    </row>
    <row r="358" spans="2:2" x14ac:dyDescent="0.2">
      <c r="B358" s="39"/>
    </row>
    <row r="359" spans="2:2" x14ac:dyDescent="0.2">
      <c r="B359" s="39"/>
    </row>
    <row r="360" spans="2:2" x14ac:dyDescent="0.2">
      <c r="B360" s="39"/>
    </row>
    <row r="361" spans="2:2" x14ac:dyDescent="0.2">
      <c r="B361" s="39"/>
    </row>
    <row r="362" spans="2:2" x14ac:dyDescent="0.2">
      <c r="B362" s="39"/>
    </row>
    <row r="363" spans="2:2" x14ac:dyDescent="0.2">
      <c r="B363" s="39"/>
    </row>
    <row r="364" spans="2:2" x14ac:dyDescent="0.2">
      <c r="B364" s="39"/>
    </row>
    <row r="365" spans="2:2" x14ac:dyDescent="0.2">
      <c r="B365" s="39"/>
    </row>
    <row r="366" spans="2:2" x14ac:dyDescent="0.2">
      <c r="B366" s="39"/>
    </row>
    <row r="367" spans="2:2" x14ac:dyDescent="0.2">
      <c r="B367" s="39"/>
    </row>
    <row r="368" spans="2:2" x14ac:dyDescent="0.2">
      <c r="B368" s="39"/>
    </row>
    <row r="369" spans="2:2" x14ac:dyDescent="0.2">
      <c r="B369" s="39"/>
    </row>
    <row r="370" spans="2:2" x14ac:dyDescent="0.2">
      <c r="B370" s="39"/>
    </row>
    <row r="371" spans="2:2" x14ac:dyDescent="0.2">
      <c r="B371" s="39"/>
    </row>
    <row r="372" spans="2:2" x14ac:dyDescent="0.2">
      <c r="B372" s="39"/>
    </row>
    <row r="373" spans="2:2" x14ac:dyDescent="0.2">
      <c r="B373" s="39"/>
    </row>
    <row r="374" spans="2:2" x14ac:dyDescent="0.2">
      <c r="B374" s="39"/>
    </row>
    <row r="375" spans="2:2" x14ac:dyDescent="0.2">
      <c r="B375" s="39"/>
    </row>
    <row r="376" spans="2:2" x14ac:dyDescent="0.2">
      <c r="B376" s="39"/>
    </row>
    <row r="377" spans="2:2" x14ac:dyDescent="0.2">
      <c r="B377" s="39"/>
    </row>
    <row r="378" spans="2:2" x14ac:dyDescent="0.2">
      <c r="B378" s="39"/>
    </row>
    <row r="379" spans="2:2" x14ac:dyDescent="0.2">
      <c r="B379" s="39"/>
    </row>
    <row r="380" spans="2:2" x14ac:dyDescent="0.2">
      <c r="B380" s="39"/>
    </row>
    <row r="381" spans="2:2" x14ac:dyDescent="0.2">
      <c r="B381" s="39"/>
    </row>
    <row r="382" spans="2:2" x14ac:dyDescent="0.2">
      <c r="B382" s="39"/>
    </row>
    <row r="383" spans="2:2" x14ac:dyDescent="0.2">
      <c r="B383" s="39"/>
    </row>
    <row r="384" spans="2:2" x14ac:dyDescent="0.2">
      <c r="B384" s="39"/>
    </row>
    <row r="385" spans="2:2" x14ac:dyDescent="0.2">
      <c r="B385" s="39"/>
    </row>
    <row r="386" spans="2:2" x14ac:dyDescent="0.2">
      <c r="B386" s="39"/>
    </row>
    <row r="387" spans="2:2" x14ac:dyDescent="0.2">
      <c r="B387" s="39"/>
    </row>
    <row r="388" spans="2:2" x14ac:dyDescent="0.2">
      <c r="B388" s="39"/>
    </row>
    <row r="389" spans="2:2" x14ac:dyDescent="0.2">
      <c r="B389" s="39"/>
    </row>
    <row r="390" spans="2:2" x14ac:dyDescent="0.2">
      <c r="B390" s="39"/>
    </row>
    <row r="391" spans="2:2" x14ac:dyDescent="0.2">
      <c r="B391" s="39"/>
    </row>
    <row r="392" spans="2:2" x14ac:dyDescent="0.2">
      <c r="B392" s="39"/>
    </row>
    <row r="393" spans="2:2" x14ac:dyDescent="0.2">
      <c r="B393" s="39"/>
    </row>
    <row r="394" spans="2:2" x14ac:dyDescent="0.2">
      <c r="B394" s="39"/>
    </row>
    <row r="395" spans="2:2" x14ac:dyDescent="0.2">
      <c r="B395" s="39"/>
    </row>
    <row r="396" spans="2:2" x14ac:dyDescent="0.2">
      <c r="B396" s="39"/>
    </row>
    <row r="397" spans="2:2" x14ac:dyDescent="0.2">
      <c r="B397" s="39"/>
    </row>
    <row r="398" spans="2:2" x14ac:dyDescent="0.2">
      <c r="B398" s="39"/>
    </row>
    <row r="399" spans="2:2" x14ac:dyDescent="0.2">
      <c r="B399" s="39"/>
    </row>
    <row r="400" spans="2:2" x14ac:dyDescent="0.2">
      <c r="B400" s="39"/>
    </row>
    <row r="401" spans="2:2" x14ac:dyDescent="0.2">
      <c r="B401" s="39"/>
    </row>
    <row r="402" spans="2:2" x14ac:dyDescent="0.2">
      <c r="B402" s="39"/>
    </row>
    <row r="403" spans="2:2" x14ac:dyDescent="0.2">
      <c r="B403" s="39"/>
    </row>
    <row r="404" spans="2:2" x14ac:dyDescent="0.2">
      <c r="B404" s="39"/>
    </row>
    <row r="405" spans="2:2" x14ac:dyDescent="0.2">
      <c r="B405" s="39"/>
    </row>
    <row r="406" spans="2:2" x14ac:dyDescent="0.2">
      <c r="B406" s="39"/>
    </row>
    <row r="407" spans="2:2" x14ac:dyDescent="0.2">
      <c r="B407" s="39"/>
    </row>
    <row r="408" spans="2:2" x14ac:dyDescent="0.2">
      <c r="B408" s="39"/>
    </row>
    <row r="409" spans="2:2" x14ac:dyDescent="0.2">
      <c r="B409" s="39"/>
    </row>
    <row r="410" spans="2:2" x14ac:dyDescent="0.2">
      <c r="B410" s="39"/>
    </row>
    <row r="411" spans="2:2" x14ac:dyDescent="0.2">
      <c r="B411" s="39"/>
    </row>
    <row r="412" spans="2:2" x14ac:dyDescent="0.2">
      <c r="B412" s="39"/>
    </row>
    <row r="413" spans="2:2" x14ac:dyDescent="0.2">
      <c r="B413" s="39"/>
    </row>
    <row r="414" spans="2:2" x14ac:dyDescent="0.2">
      <c r="B414" s="39"/>
    </row>
    <row r="415" spans="2:2" x14ac:dyDescent="0.2">
      <c r="B415" s="39"/>
    </row>
    <row r="416" spans="2:2" x14ac:dyDescent="0.2">
      <c r="B416" s="39"/>
    </row>
    <row r="417" spans="2:2" x14ac:dyDescent="0.2">
      <c r="B417" s="39"/>
    </row>
    <row r="418" spans="2:2" x14ac:dyDescent="0.2">
      <c r="B418" s="39"/>
    </row>
    <row r="419" spans="2:2" x14ac:dyDescent="0.2">
      <c r="B419" s="39"/>
    </row>
    <row r="420" spans="2:2" x14ac:dyDescent="0.2">
      <c r="B420" s="39"/>
    </row>
    <row r="421" spans="2:2" x14ac:dyDescent="0.2">
      <c r="B421" s="39"/>
    </row>
    <row r="422" spans="2:2" x14ac:dyDescent="0.2">
      <c r="B422" s="39"/>
    </row>
    <row r="423" spans="2:2" x14ac:dyDescent="0.2">
      <c r="B423" s="39"/>
    </row>
    <row r="424" spans="2:2" x14ac:dyDescent="0.2">
      <c r="B424" s="39"/>
    </row>
    <row r="425" spans="2:2" x14ac:dyDescent="0.2">
      <c r="B425" s="39"/>
    </row>
    <row r="426" spans="2:2" x14ac:dyDescent="0.2">
      <c r="B426" s="39"/>
    </row>
    <row r="427" spans="2:2" x14ac:dyDescent="0.2">
      <c r="B427" s="39"/>
    </row>
    <row r="428" spans="2:2" x14ac:dyDescent="0.2">
      <c r="B428" s="39"/>
    </row>
    <row r="429" spans="2:2" x14ac:dyDescent="0.2">
      <c r="B429" s="39"/>
    </row>
    <row r="430" spans="2:2" x14ac:dyDescent="0.2">
      <c r="B430" s="39"/>
    </row>
    <row r="431" spans="2:2" x14ac:dyDescent="0.2">
      <c r="B431" s="39"/>
    </row>
    <row r="432" spans="2:2" x14ac:dyDescent="0.2">
      <c r="B432" s="39"/>
    </row>
    <row r="433" spans="2:2" x14ac:dyDescent="0.2">
      <c r="B433" s="39"/>
    </row>
    <row r="434" spans="2:2" x14ac:dyDescent="0.2">
      <c r="B434" s="39"/>
    </row>
    <row r="435" spans="2:2" x14ac:dyDescent="0.2">
      <c r="B435" s="39"/>
    </row>
    <row r="436" spans="2:2" x14ac:dyDescent="0.2">
      <c r="B436" s="39"/>
    </row>
    <row r="437" spans="2:2" x14ac:dyDescent="0.2">
      <c r="B437" s="39"/>
    </row>
    <row r="438" spans="2:2" x14ac:dyDescent="0.2">
      <c r="B438" s="39"/>
    </row>
    <row r="439" spans="2:2" x14ac:dyDescent="0.2">
      <c r="B439" s="39"/>
    </row>
    <row r="440" spans="2:2" x14ac:dyDescent="0.2">
      <c r="B440" s="39"/>
    </row>
    <row r="441" spans="2:2" x14ac:dyDescent="0.2">
      <c r="B441" s="39"/>
    </row>
    <row r="442" spans="2:2" x14ac:dyDescent="0.2">
      <c r="B442" s="39"/>
    </row>
    <row r="443" spans="2:2" x14ac:dyDescent="0.2">
      <c r="B443" s="39"/>
    </row>
    <row r="444" spans="2:2" x14ac:dyDescent="0.2">
      <c r="B444" s="39"/>
    </row>
    <row r="445" spans="2:2" x14ac:dyDescent="0.2">
      <c r="B445" s="39"/>
    </row>
    <row r="446" spans="2:2" x14ac:dyDescent="0.2">
      <c r="B446" s="39"/>
    </row>
    <row r="447" spans="2:2" x14ac:dyDescent="0.2">
      <c r="B447" s="39"/>
    </row>
    <row r="448" spans="2:2" x14ac:dyDescent="0.2">
      <c r="B448" s="39"/>
    </row>
    <row r="449" spans="2:2" x14ac:dyDescent="0.2">
      <c r="B449" s="39"/>
    </row>
    <row r="450" spans="2:2" x14ac:dyDescent="0.2">
      <c r="B450" s="39"/>
    </row>
    <row r="451" spans="2:2" x14ac:dyDescent="0.2">
      <c r="B451" s="39"/>
    </row>
    <row r="452" spans="2:2" x14ac:dyDescent="0.2">
      <c r="B452" s="39"/>
    </row>
    <row r="453" spans="2:2" x14ac:dyDescent="0.2">
      <c r="B453" s="39"/>
    </row>
    <row r="454" spans="2:2" x14ac:dyDescent="0.2">
      <c r="B454" s="39"/>
    </row>
    <row r="455" spans="2:2" x14ac:dyDescent="0.2">
      <c r="B455" s="39"/>
    </row>
    <row r="456" spans="2:2" x14ac:dyDescent="0.2">
      <c r="B456" s="39"/>
    </row>
    <row r="457" spans="2:2" x14ac:dyDescent="0.2">
      <c r="B457" s="39"/>
    </row>
    <row r="458" spans="2:2" x14ac:dyDescent="0.2">
      <c r="B458" s="39"/>
    </row>
    <row r="459" spans="2:2" x14ac:dyDescent="0.2">
      <c r="B459" s="39"/>
    </row>
    <row r="460" spans="2:2" x14ac:dyDescent="0.2">
      <c r="B460" s="39"/>
    </row>
    <row r="461" spans="2:2" x14ac:dyDescent="0.2">
      <c r="B461" s="39"/>
    </row>
    <row r="462" spans="2:2" x14ac:dyDescent="0.2">
      <c r="B462" s="39"/>
    </row>
    <row r="463" spans="2:2" x14ac:dyDescent="0.2">
      <c r="B463" s="39"/>
    </row>
    <row r="464" spans="2:2" x14ac:dyDescent="0.2">
      <c r="B464" s="39"/>
    </row>
    <row r="465" spans="2:2" x14ac:dyDescent="0.2">
      <c r="B465" s="39"/>
    </row>
    <row r="466" spans="2:2" x14ac:dyDescent="0.2">
      <c r="B466" s="39"/>
    </row>
    <row r="467" spans="2:2" x14ac:dyDescent="0.2">
      <c r="B467" s="39"/>
    </row>
    <row r="468" spans="2:2" x14ac:dyDescent="0.2">
      <c r="B468" s="39"/>
    </row>
    <row r="469" spans="2:2" x14ac:dyDescent="0.2">
      <c r="B469" s="39"/>
    </row>
    <row r="470" spans="2:2" x14ac:dyDescent="0.2">
      <c r="B470" s="39"/>
    </row>
    <row r="471" spans="2:2" x14ac:dyDescent="0.2">
      <c r="B471" s="39"/>
    </row>
    <row r="472" spans="2:2" x14ac:dyDescent="0.2">
      <c r="B472" s="39"/>
    </row>
    <row r="473" spans="2:2" x14ac:dyDescent="0.2">
      <c r="B473" s="39"/>
    </row>
    <row r="474" spans="2:2" x14ac:dyDescent="0.2">
      <c r="B474" s="39"/>
    </row>
    <row r="475" spans="2:2" x14ac:dyDescent="0.2">
      <c r="B475" s="39"/>
    </row>
    <row r="476" spans="2:2" x14ac:dyDescent="0.2">
      <c r="B476" s="39"/>
    </row>
    <row r="477" spans="2:2" x14ac:dyDescent="0.2">
      <c r="B477" s="39"/>
    </row>
    <row r="478" spans="2:2" x14ac:dyDescent="0.2">
      <c r="B478" s="39"/>
    </row>
    <row r="479" spans="2:2" x14ac:dyDescent="0.2">
      <c r="B479" s="39"/>
    </row>
    <row r="480" spans="2:2" x14ac:dyDescent="0.2">
      <c r="B480" s="39"/>
    </row>
    <row r="481" spans="2:2" x14ac:dyDescent="0.2">
      <c r="B481" s="39"/>
    </row>
    <row r="482" spans="2:2" x14ac:dyDescent="0.2">
      <c r="B482" s="39"/>
    </row>
    <row r="483" spans="2:2" x14ac:dyDescent="0.2">
      <c r="B483" s="39"/>
    </row>
    <row r="484" spans="2:2" x14ac:dyDescent="0.2">
      <c r="B484" s="39"/>
    </row>
    <row r="485" spans="2:2" x14ac:dyDescent="0.2">
      <c r="B485" s="39"/>
    </row>
    <row r="486" spans="2:2" x14ac:dyDescent="0.2">
      <c r="B486" s="39"/>
    </row>
    <row r="487" spans="2:2" x14ac:dyDescent="0.2">
      <c r="B487" s="39"/>
    </row>
    <row r="488" spans="2:2" x14ac:dyDescent="0.2">
      <c r="B488" s="39"/>
    </row>
    <row r="489" spans="2:2" x14ac:dyDescent="0.2">
      <c r="B489" s="39"/>
    </row>
    <row r="490" spans="2:2" x14ac:dyDescent="0.2">
      <c r="B490" s="39"/>
    </row>
    <row r="491" spans="2:2" x14ac:dyDescent="0.2">
      <c r="B491" s="39"/>
    </row>
    <row r="492" spans="2:2" x14ac:dyDescent="0.2">
      <c r="B492" s="39"/>
    </row>
    <row r="493" spans="2:2" x14ac:dyDescent="0.2">
      <c r="B493" s="39"/>
    </row>
    <row r="494" spans="2:2" x14ac:dyDescent="0.2">
      <c r="B494" s="39"/>
    </row>
    <row r="495" spans="2:2" x14ac:dyDescent="0.2">
      <c r="B495" s="39"/>
    </row>
    <row r="496" spans="2:2" x14ac:dyDescent="0.2">
      <c r="B496" s="39"/>
    </row>
    <row r="497" spans="2:2" x14ac:dyDescent="0.2">
      <c r="B497" s="39"/>
    </row>
    <row r="498" spans="2:2" x14ac:dyDescent="0.2">
      <c r="B498" s="39"/>
    </row>
    <row r="499" spans="2:2" x14ac:dyDescent="0.2">
      <c r="B499" s="39"/>
    </row>
    <row r="500" spans="2:2" x14ac:dyDescent="0.2">
      <c r="B500" s="39"/>
    </row>
    <row r="501" spans="2:2" x14ac:dyDescent="0.2">
      <c r="B501" s="39"/>
    </row>
    <row r="502" spans="2:2" x14ac:dyDescent="0.2">
      <c r="B502" s="39"/>
    </row>
    <row r="503" spans="2:2" x14ac:dyDescent="0.2">
      <c r="B503" s="39"/>
    </row>
    <row r="504" spans="2:2" x14ac:dyDescent="0.2">
      <c r="B504" s="39"/>
    </row>
    <row r="505" spans="2:2" x14ac:dyDescent="0.2">
      <c r="B505" s="39"/>
    </row>
    <row r="506" spans="2:2" x14ac:dyDescent="0.2">
      <c r="B506" s="39"/>
    </row>
    <row r="507" spans="2:2" x14ac:dyDescent="0.2">
      <c r="B507" s="39"/>
    </row>
    <row r="508" spans="2:2" x14ac:dyDescent="0.2">
      <c r="B508" s="39"/>
    </row>
    <row r="509" spans="2:2" x14ac:dyDescent="0.2">
      <c r="B509" s="39"/>
    </row>
    <row r="510" spans="2:2" x14ac:dyDescent="0.2">
      <c r="B510" s="39"/>
    </row>
    <row r="511" spans="2:2" x14ac:dyDescent="0.2">
      <c r="B511" s="39"/>
    </row>
    <row r="512" spans="2:2" x14ac:dyDescent="0.2">
      <c r="B512" s="39"/>
    </row>
    <row r="513" spans="2:2" x14ac:dyDescent="0.2">
      <c r="B513" s="39"/>
    </row>
    <row r="514" spans="2:2" x14ac:dyDescent="0.2">
      <c r="B514" s="39"/>
    </row>
    <row r="515" spans="2:2" x14ac:dyDescent="0.2">
      <c r="B515" s="39"/>
    </row>
    <row r="516" spans="2:2" x14ac:dyDescent="0.2">
      <c r="B516" s="39"/>
    </row>
    <row r="517" spans="2:2" x14ac:dyDescent="0.2">
      <c r="B517" s="39"/>
    </row>
    <row r="518" spans="2:2" x14ac:dyDescent="0.2">
      <c r="B518" s="39"/>
    </row>
    <row r="519" spans="2:2" x14ac:dyDescent="0.2">
      <c r="B519" s="39"/>
    </row>
    <row r="520" spans="2:2" x14ac:dyDescent="0.2">
      <c r="B520" s="39"/>
    </row>
    <row r="521" spans="2:2" x14ac:dyDescent="0.2">
      <c r="B521" s="39"/>
    </row>
    <row r="522" spans="2:2" x14ac:dyDescent="0.2">
      <c r="B522" s="39"/>
    </row>
    <row r="523" spans="2:2" x14ac:dyDescent="0.2">
      <c r="B523" s="39"/>
    </row>
    <row r="524" spans="2:2" x14ac:dyDescent="0.2">
      <c r="B524" s="39"/>
    </row>
    <row r="525" spans="2:2" x14ac:dyDescent="0.2">
      <c r="B525" s="39"/>
    </row>
    <row r="526" spans="2:2" x14ac:dyDescent="0.2">
      <c r="B526" s="39"/>
    </row>
    <row r="527" spans="2:2" x14ac:dyDescent="0.2">
      <c r="B527" s="39"/>
    </row>
    <row r="528" spans="2:2" x14ac:dyDescent="0.2">
      <c r="B528" s="39"/>
    </row>
    <row r="529" spans="2:2" x14ac:dyDescent="0.2">
      <c r="B529" s="39"/>
    </row>
    <row r="530" spans="2:2" x14ac:dyDescent="0.2">
      <c r="B530" s="39"/>
    </row>
    <row r="531" spans="2:2" x14ac:dyDescent="0.2">
      <c r="B531" s="39"/>
    </row>
    <row r="532" spans="2:2" x14ac:dyDescent="0.2">
      <c r="B532" s="39"/>
    </row>
    <row r="533" spans="2:2" x14ac:dyDescent="0.2">
      <c r="B533" s="39"/>
    </row>
    <row r="534" spans="2:2" x14ac:dyDescent="0.2">
      <c r="B534" s="39"/>
    </row>
    <row r="535" spans="2:2" x14ac:dyDescent="0.2">
      <c r="B535" s="39"/>
    </row>
    <row r="536" spans="2:2" x14ac:dyDescent="0.2">
      <c r="B536" s="39"/>
    </row>
    <row r="537" spans="2:2" x14ac:dyDescent="0.2">
      <c r="B537" s="39"/>
    </row>
    <row r="538" spans="2:2" x14ac:dyDescent="0.2">
      <c r="B538" s="39"/>
    </row>
    <row r="539" spans="2:2" x14ac:dyDescent="0.2">
      <c r="B539" s="39"/>
    </row>
    <row r="540" spans="2:2" x14ac:dyDescent="0.2">
      <c r="B540" s="39"/>
    </row>
    <row r="541" spans="2:2" x14ac:dyDescent="0.2">
      <c r="B541" s="39"/>
    </row>
    <row r="542" spans="2:2" x14ac:dyDescent="0.2">
      <c r="B542" s="39"/>
    </row>
    <row r="543" spans="2:2" x14ac:dyDescent="0.2">
      <c r="B543" s="39"/>
    </row>
    <row r="544" spans="2:2" x14ac:dyDescent="0.2">
      <c r="B544" s="39"/>
    </row>
    <row r="545" spans="2:2" x14ac:dyDescent="0.2">
      <c r="B545" s="39"/>
    </row>
    <row r="546" spans="2:2" x14ac:dyDescent="0.2">
      <c r="B546" s="39"/>
    </row>
    <row r="547" spans="2:2" x14ac:dyDescent="0.2">
      <c r="B547" s="39"/>
    </row>
    <row r="548" spans="2:2" x14ac:dyDescent="0.2">
      <c r="B548" s="39"/>
    </row>
    <row r="549" spans="2:2" x14ac:dyDescent="0.2">
      <c r="B549" s="39"/>
    </row>
    <row r="550" spans="2:2" x14ac:dyDescent="0.2">
      <c r="B550" s="39"/>
    </row>
    <row r="551" spans="2:2" x14ac:dyDescent="0.2">
      <c r="B551" s="39"/>
    </row>
    <row r="552" spans="2:2" x14ac:dyDescent="0.2">
      <c r="B552" s="39"/>
    </row>
    <row r="553" spans="2:2" x14ac:dyDescent="0.2">
      <c r="B553" s="39"/>
    </row>
    <row r="554" spans="2:2" x14ac:dyDescent="0.2">
      <c r="B554" s="39"/>
    </row>
    <row r="555" spans="2:2" x14ac:dyDescent="0.2">
      <c r="B555" s="39"/>
    </row>
    <row r="556" spans="2:2" x14ac:dyDescent="0.2">
      <c r="B556" s="39"/>
    </row>
    <row r="557" spans="2:2" x14ac:dyDescent="0.2">
      <c r="B557" s="39"/>
    </row>
    <row r="558" spans="2:2" x14ac:dyDescent="0.2">
      <c r="B558" s="39"/>
    </row>
    <row r="559" spans="2:2" x14ac:dyDescent="0.2">
      <c r="B559" s="39"/>
    </row>
    <row r="560" spans="2:2" x14ac:dyDescent="0.2">
      <c r="B560" s="39"/>
    </row>
    <row r="561" spans="2:2" x14ac:dyDescent="0.2">
      <c r="B561" s="39"/>
    </row>
    <row r="562" spans="2:2" x14ac:dyDescent="0.2">
      <c r="B562" s="39"/>
    </row>
    <row r="563" spans="2:2" x14ac:dyDescent="0.2">
      <c r="B563" s="39"/>
    </row>
    <row r="564" spans="2:2" x14ac:dyDescent="0.2">
      <c r="B564" s="39"/>
    </row>
    <row r="565" spans="2:2" x14ac:dyDescent="0.2">
      <c r="B565" s="39"/>
    </row>
    <row r="566" spans="2:2" x14ac:dyDescent="0.2">
      <c r="B566" s="39"/>
    </row>
    <row r="567" spans="2:2" x14ac:dyDescent="0.2">
      <c r="B567" s="39"/>
    </row>
    <row r="568" spans="2:2" x14ac:dyDescent="0.2">
      <c r="B568" s="39"/>
    </row>
    <row r="569" spans="2:2" x14ac:dyDescent="0.2">
      <c r="B569" s="39"/>
    </row>
    <row r="570" spans="2:2" x14ac:dyDescent="0.2">
      <c r="B570" s="39"/>
    </row>
    <row r="571" spans="2:2" x14ac:dyDescent="0.2">
      <c r="B571" s="39"/>
    </row>
    <row r="572" spans="2:2" x14ac:dyDescent="0.2">
      <c r="B572" s="39"/>
    </row>
    <row r="573" spans="2:2" x14ac:dyDescent="0.2">
      <c r="B573" s="39"/>
    </row>
    <row r="574" spans="2:2" x14ac:dyDescent="0.2">
      <c r="B574" s="39"/>
    </row>
    <row r="575" spans="2:2" x14ac:dyDescent="0.2">
      <c r="B575" s="39"/>
    </row>
    <row r="576" spans="2:2" x14ac:dyDescent="0.2">
      <c r="B576" s="39"/>
    </row>
    <row r="577" spans="2:2" x14ac:dyDescent="0.2">
      <c r="B577" s="39"/>
    </row>
    <row r="578" spans="2:2" x14ac:dyDescent="0.2">
      <c r="B578" s="39"/>
    </row>
    <row r="579" spans="2:2" x14ac:dyDescent="0.2">
      <c r="B579" s="39"/>
    </row>
    <row r="580" spans="2:2" x14ac:dyDescent="0.2">
      <c r="B580" s="39"/>
    </row>
    <row r="581" spans="2:2" x14ac:dyDescent="0.2">
      <c r="B581" s="39"/>
    </row>
    <row r="582" spans="2:2" x14ac:dyDescent="0.2">
      <c r="B582" s="39"/>
    </row>
    <row r="583" spans="2:2" x14ac:dyDescent="0.2">
      <c r="B583" s="39"/>
    </row>
    <row r="584" spans="2:2" x14ac:dyDescent="0.2">
      <c r="B584" s="39"/>
    </row>
    <row r="585" spans="2:2" x14ac:dyDescent="0.2">
      <c r="B585" s="39"/>
    </row>
    <row r="586" spans="2:2" x14ac:dyDescent="0.2">
      <c r="B586" s="39"/>
    </row>
    <row r="587" spans="2:2" x14ac:dyDescent="0.2">
      <c r="B587" s="39"/>
    </row>
    <row r="588" spans="2:2" x14ac:dyDescent="0.2">
      <c r="B588" s="39"/>
    </row>
    <row r="589" spans="2:2" x14ac:dyDescent="0.2">
      <c r="B589" s="39"/>
    </row>
    <row r="590" spans="2:2" x14ac:dyDescent="0.2">
      <c r="B590" s="39"/>
    </row>
    <row r="591" spans="2:2" x14ac:dyDescent="0.2">
      <c r="B591" s="39"/>
    </row>
    <row r="592" spans="2:2" x14ac:dyDescent="0.2">
      <c r="B592" s="39"/>
    </row>
    <row r="593" spans="2:2" x14ac:dyDescent="0.2">
      <c r="B593" s="39"/>
    </row>
    <row r="594" spans="2:2" x14ac:dyDescent="0.2">
      <c r="B594" s="39"/>
    </row>
    <row r="595" spans="2:2" x14ac:dyDescent="0.2">
      <c r="B595" s="39"/>
    </row>
    <row r="596" spans="2:2" x14ac:dyDescent="0.2">
      <c r="B596" s="39"/>
    </row>
    <row r="597" spans="2:2" x14ac:dyDescent="0.2">
      <c r="B597" s="39"/>
    </row>
    <row r="598" spans="2:2" x14ac:dyDescent="0.2">
      <c r="B598" s="39"/>
    </row>
    <row r="599" spans="2:2" x14ac:dyDescent="0.2">
      <c r="B599" s="39"/>
    </row>
    <row r="600" spans="2:2" x14ac:dyDescent="0.2">
      <c r="B600" s="39"/>
    </row>
    <row r="601" spans="2:2" x14ac:dyDescent="0.2">
      <c r="B601" s="39"/>
    </row>
    <row r="602" spans="2:2" x14ac:dyDescent="0.2">
      <c r="B602" s="39"/>
    </row>
    <row r="603" spans="2:2" x14ac:dyDescent="0.2">
      <c r="B603" s="39"/>
    </row>
    <row r="604" spans="2:2" x14ac:dyDescent="0.2">
      <c r="B604" s="39"/>
    </row>
    <row r="605" spans="2:2" x14ac:dyDescent="0.2">
      <c r="B605" s="39"/>
    </row>
    <row r="606" spans="2:2" x14ac:dyDescent="0.2">
      <c r="B606" s="39"/>
    </row>
    <row r="607" spans="2:2" x14ac:dyDescent="0.2">
      <c r="B607" s="39"/>
    </row>
    <row r="608" spans="2:2" x14ac:dyDescent="0.2">
      <c r="B608" s="39"/>
    </row>
    <row r="609" spans="2:2" x14ac:dyDescent="0.2">
      <c r="B609" s="39"/>
    </row>
    <row r="610" spans="2:2" x14ac:dyDescent="0.2">
      <c r="B610" s="39"/>
    </row>
    <row r="611" spans="2:2" x14ac:dyDescent="0.2">
      <c r="B611" s="39"/>
    </row>
    <row r="612" spans="2:2" x14ac:dyDescent="0.2">
      <c r="B612" s="39"/>
    </row>
    <row r="613" spans="2:2" x14ac:dyDescent="0.2">
      <c r="B613" s="39"/>
    </row>
    <row r="614" spans="2:2" x14ac:dyDescent="0.2">
      <c r="B614" s="39"/>
    </row>
    <row r="615" spans="2:2" x14ac:dyDescent="0.2">
      <c r="B615" s="39"/>
    </row>
    <row r="616" spans="2:2" x14ac:dyDescent="0.2">
      <c r="B616" s="39"/>
    </row>
    <row r="617" spans="2:2" x14ac:dyDescent="0.2">
      <c r="B617" s="39"/>
    </row>
    <row r="618" spans="2:2" x14ac:dyDescent="0.2">
      <c r="B618" s="39"/>
    </row>
    <row r="619" spans="2:2" x14ac:dyDescent="0.2">
      <c r="B619" s="39"/>
    </row>
    <row r="620" spans="2:2" x14ac:dyDescent="0.2">
      <c r="B620" s="39"/>
    </row>
    <row r="621" spans="2:2" x14ac:dyDescent="0.2">
      <c r="B621" s="39"/>
    </row>
    <row r="622" spans="2:2" x14ac:dyDescent="0.2">
      <c r="B622" s="39"/>
    </row>
    <row r="623" spans="2:2" x14ac:dyDescent="0.2">
      <c r="B623" s="39"/>
    </row>
    <row r="624" spans="2:2" x14ac:dyDescent="0.2">
      <c r="B624" s="39"/>
    </row>
    <row r="625" spans="2:2" x14ac:dyDescent="0.2">
      <c r="B625" s="39"/>
    </row>
    <row r="626" spans="2:2" x14ac:dyDescent="0.2">
      <c r="B626" s="39"/>
    </row>
    <row r="627" spans="2:2" x14ac:dyDescent="0.2">
      <c r="B627" s="39"/>
    </row>
    <row r="628" spans="2:2" x14ac:dyDescent="0.2">
      <c r="B628" s="39"/>
    </row>
    <row r="629" spans="2:2" x14ac:dyDescent="0.2">
      <c r="B629" s="39"/>
    </row>
    <row r="630" spans="2:2" x14ac:dyDescent="0.2">
      <c r="B630" s="39"/>
    </row>
    <row r="631" spans="2:2" x14ac:dyDescent="0.2">
      <c r="B631" s="39"/>
    </row>
    <row r="632" spans="2:2" x14ac:dyDescent="0.2">
      <c r="B632" s="39"/>
    </row>
    <row r="633" spans="2:2" x14ac:dyDescent="0.2">
      <c r="B633" s="39"/>
    </row>
    <row r="634" spans="2:2" x14ac:dyDescent="0.2">
      <c r="B634" s="39"/>
    </row>
    <row r="635" spans="2:2" x14ac:dyDescent="0.2">
      <c r="B635" s="39"/>
    </row>
    <row r="636" spans="2:2" x14ac:dyDescent="0.2">
      <c r="B636" s="39"/>
    </row>
    <row r="637" spans="2:2" x14ac:dyDescent="0.2">
      <c r="B637" s="39"/>
    </row>
    <row r="638" spans="2:2" x14ac:dyDescent="0.2">
      <c r="B638" s="39"/>
    </row>
    <row r="639" spans="2:2" x14ac:dyDescent="0.2">
      <c r="B639" s="39"/>
    </row>
    <row r="640" spans="2:2" x14ac:dyDescent="0.2">
      <c r="B640" s="39"/>
    </row>
    <row r="641" spans="2:2" x14ac:dyDescent="0.2">
      <c r="B641" s="39"/>
    </row>
    <row r="642" spans="2:2" x14ac:dyDescent="0.2">
      <c r="B642" s="39"/>
    </row>
    <row r="643" spans="2:2" x14ac:dyDescent="0.2">
      <c r="B643" s="39"/>
    </row>
    <row r="644" spans="2:2" x14ac:dyDescent="0.2">
      <c r="B644" s="39"/>
    </row>
    <row r="645" spans="2:2" x14ac:dyDescent="0.2">
      <c r="B645" s="39"/>
    </row>
    <row r="646" spans="2:2" x14ac:dyDescent="0.2">
      <c r="B646" s="39"/>
    </row>
    <row r="647" spans="2:2" x14ac:dyDescent="0.2">
      <c r="B647" s="39"/>
    </row>
    <row r="648" spans="2:2" x14ac:dyDescent="0.2">
      <c r="B648" s="39"/>
    </row>
    <row r="649" spans="2:2" x14ac:dyDescent="0.2">
      <c r="B649" s="39"/>
    </row>
    <row r="650" spans="2:2" x14ac:dyDescent="0.2">
      <c r="B650" s="39"/>
    </row>
    <row r="651" spans="2:2" x14ac:dyDescent="0.2">
      <c r="B651" s="39"/>
    </row>
    <row r="652" spans="2:2" x14ac:dyDescent="0.2">
      <c r="B652" s="39"/>
    </row>
    <row r="653" spans="2:2" x14ac:dyDescent="0.2">
      <c r="B653" s="39"/>
    </row>
    <row r="654" spans="2:2" x14ac:dyDescent="0.2">
      <c r="B654" s="39"/>
    </row>
    <row r="655" spans="2:2" x14ac:dyDescent="0.2">
      <c r="B655" s="39"/>
    </row>
    <row r="656" spans="2:2" x14ac:dyDescent="0.2">
      <c r="B656" s="39"/>
    </row>
    <row r="657" spans="2:2" x14ac:dyDescent="0.2">
      <c r="B657" s="39"/>
    </row>
    <row r="658" spans="2:2" x14ac:dyDescent="0.2">
      <c r="B658" s="39"/>
    </row>
    <row r="659" spans="2:2" x14ac:dyDescent="0.2">
      <c r="B659" s="39"/>
    </row>
    <row r="660" spans="2:2" x14ac:dyDescent="0.2">
      <c r="B660" s="39"/>
    </row>
    <row r="661" spans="2:2" x14ac:dyDescent="0.2">
      <c r="B661" s="39"/>
    </row>
    <row r="662" spans="2:2" x14ac:dyDescent="0.2">
      <c r="B662" s="39"/>
    </row>
    <row r="663" spans="2:2" x14ac:dyDescent="0.2">
      <c r="B663" s="39"/>
    </row>
    <row r="664" spans="2:2" x14ac:dyDescent="0.2">
      <c r="B664" s="39"/>
    </row>
    <row r="665" spans="2:2" x14ac:dyDescent="0.2">
      <c r="B665" s="39"/>
    </row>
    <row r="666" spans="2:2" x14ac:dyDescent="0.2">
      <c r="B666" s="39"/>
    </row>
    <row r="667" spans="2:2" x14ac:dyDescent="0.2">
      <c r="B667" s="39"/>
    </row>
    <row r="668" spans="2:2" x14ac:dyDescent="0.2">
      <c r="B668" s="39"/>
    </row>
    <row r="669" spans="2:2" x14ac:dyDescent="0.2">
      <c r="B669" s="39"/>
    </row>
    <row r="670" spans="2:2" x14ac:dyDescent="0.2">
      <c r="B670" s="39"/>
    </row>
    <row r="671" spans="2:2" x14ac:dyDescent="0.2">
      <c r="B671" s="39"/>
    </row>
    <row r="672" spans="2:2" x14ac:dyDescent="0.2">
      <c r="B672" s="39"/>
    </row>
    <row r="673" spans="2:2" x14ac:dyDescent="0.2">
      <c r="B673" s="39"/>
    </row>
    <row r="674" spans="2:2" x14ac:dyDescent="0.2">
      <c r="B674" s="39"/>
    </row>
    <row r="675" spans="2:2" x14ac:dyDescent="0.2">
      <c r="B675" s="39"/>
    </row>
    <row r="676" spans="2:2" x14ac:dyDescent="0.2">
      <c r="B676" s="39"/>
    </row>
    <row r="677" spans="2:2" x14ac:dyDescent="0.2">
      <c r="B677" s="39"/>
    </row>
    <row r="678" spans="2:2" x14ac:dyDescent="0.2">
      <c r="B678" s="39"/>
    </row>
    <row r="679" spans="2:2" x14ac:dyDescent="0.2">
      <c r="B679" s="39"/>
    </row>
    <row r="680" spans="2:2" x14ac:dyDescent="0.2">
      <c r="B680" s="39"/>
    </row>
    <row r="681" spans="2:2" x14ac:dyDescent="0.2">
      <c r="B681" s="39"/>
    </row>
    <row r="682" spans="2:2" x14ac:dyDescent="0.2">
      <c r="B682" s="39"/>
    </row>
    <row r="683" spans="2:2" x14ac:dyDescent="0.2">
      <c r="B683" s="39"/>
    </row>
    <row r="684" spans="2:2" x14ac:dyDescent="0.2">
      <c r="B684" s="39"/>
    </row>
    <row r="685" spans="2:2" x14ac:dyDescent="0.2">
      <c r="B685" s="39"/>
    </row>
    <row r="686" spans="2:2" x14ac:dyDescent="0.2">
      <c r="B686" s="39"/>
    </row>
    <row r="687" spans="2:2" x14ac:dyDescent="0.2">
      <c r="B687" s="39"/>
    </row>
    <row r="688" spans="2:2" x14ac:dyDescent="0.2">
      <c r="B688" s="39"/>
    </row>
    <row r="689" spans="2:2" x14ac:dyDescent="0.2">
      <c r="B689" s="39"/>
    </row>
    <row r="690" spans="2:2" x14ac:dyDescent="0.2">
      <c r="B690" s="39"/>
    </row>
    <row r="691" spans="2:2" x14ac:dyDescent="0.2">
      <c r="B691" s="39"/>
    </row>
    <row r="692" spans="2:2" x14ac:dyDescent="0.2">
      <c r="B692" s="39"/>
    </row>
    <row r="693" spans="2:2" x14ac:dyDescent="0.2">
      <c r="B693" s="39"/>
    </row>
    <row r="694" spans="2:2" x14ac:dyDescent="0.2">
      <c r="B694" s="39"/>
    </row>
    <row r="695" spans="2:2" x14ac:dyDescent="0.2">
      <c r="B695" s="39"/>
    </row>
    <row r="696" spans="2:2" x14ac:dyDescent="0.2">
      <c r="B696" s="39"/>
    </row>
    <row r="697" spans="2:2" x14ac:dyDescent="0.2">
      <c r="B697" s="39"/>
    </row>
    <row r="698" spans="2:2" x14ac:dyDescent="0.2">
      <c r="B698" s="39"/>
    </row>
    <row r="699" spans="2:2" x14ac:dyDescent="0.2">
      <c r="B699" s="39"/>
    </row>
    <row r="700" spans="2:2" x14ac:dyDescent="0.2">
      <c r="B700" s="39"/>
    </row>
    <row r="701" spans="2:2" x14ac:dyDescent="0.2">
      <c r="B701" s="39"/>
    </row>
    <row r="702" spans="2:2" x14ac:dyDescent="0.2">
      <c r="B702" s="39"/>
    </row>
    <row r="703" spans="2:2" x14ac:dyDescent="0.2">
      <c r="B703" s="39"/>
    </row>
    <row r="704" spans="2:2" x14ac:dyDescent="0.2">
      <c r="B704" s="39"/>
    </row>
    <row r="705" spans="2:2" x14ac:dyDescent="0.2">
      <c r="B705" s="39"/>
    </row>
    <row r="706" spans="2:2" x14ac:dyDescent="0.2">
      <c r="B706" s="39"/>
    </row>
    <row r="707" spans="2:2" x14ac:dyDescent="0.2">
      <c r="B707" s="39"/>
    </row>
    <row r="708" spans="2:2" x14ac:dyDescent="0.2">
      <c r="B708" s="39"/>
    </row>
    <row r="709" spans="2:2" x14ac:dyDescent="0.2">
      <c r="B709" s="39"/>
    </row>
    <row r="710" spans="2:2" x14ac:dyDescent="0.2">
      <c r="B710" s="39"/>
    </row>
    <row r="711" spans="2:2" x14ac:dyDescent="0.2">
      <c r="B711" s="39"/>
    </row>
    <row r="712" spans="2:2" x14ac:dyDescent="0.2">
      <c r="B712" s="39"/>
    </row>
    <row r="713" spans="2:2" x14ac:dyDescent="0.2">
      <c r="B713" s="39"/>
    </row>
    <row r="714" spans="2:2" x14ac:dyDescent="0.2">
      <c r="B714" s="39"/>
    </row>
    <row r="715" spans="2:2" x14ac:dyDescent="0.2">
      <c r="B715" s="39"/>
    </row>
    <row r="716" spans="2:2" x14ac:dyDescent="0.2">
      <c r="B716" s="39"/>
    </row>
    <row r="717" spans="2:2" x14ac:dyDescent="0.2">
      <c r="B717" s="39"/>
    </row>
    <row r="718" spans="2:2" x14ac:dyDescent="0.2">
      <c r="B718" s="39"/>
    </row>
    <row r="719" spans="2:2" x14ac:dyDescent="0.2">
      <c r="B719" s="39"/>
    </row>
    <row r="720" spans="2:2" x14ac:dyDescent="0.2">
      <c r="B720" s="39"/>
    </row>
    <row r="721" spans="2:2" x14ac:dyDescent="0.2">
      <c r="B721" s="39"/>
    </row>
    <row r="722" spans="2:2" x14ac:dyDescent="0.2">
      <c r="B722" s="39"/>
    </row>
    <row r="723" spans="2:2" x14ac:dyDescent="0.2">
      <c r="B723" s="39"/>
    </row>
    <row r="724" spans="2:2" x14ac:dyDescent="0.2">
      <c r="B724" s="39"/>
    </row>
    <row r="725" spans="2:2" x14ac:dyDescent="0.2">
      <c r="B725" s="39"/>
    </row>
    <row r="726" spans="2:2" x14ac:dyDescent="0.2">
      <c r="B726" s="39"/>
    </row>
    <row r="727" spans="2:2" x14ac:dyDescent="0.2">
      <c r="B727" s="39"/>
    </row>
    <row r="728" spans="2:2" x14ac:dyDescent="0.2">
      <c r="B728" s="39"/>
    </row>
    <row r="729" spans="2:2" x14ac:dyDescent="0.2">
      <c r="B729" s="39"/>
    </row>
    <row r="730" spans="2:2" x14ac:dyDescent="0.2">
      <c r="B730" s="39"/>
    </row>
    <row r="731" spans="2:2" x14ac:dyDescent="0.2">
      <c r="B731" s="39"/>
    </row>
    <row r="732" spans="2:2" x14ac:dyDescent="0.2">
      <c r="B732" s="39"/>
    </row>
    <row r="733" spans="2:2" x14ac:dyDescent="0.2">
      <c r="B733" s="39"/>
    </row>
    <row r="734" spans="2:2" x14ac:dyDescent="0.2">
      <c r="B734" s="39"/>
    </row>
    <row r="735" spans="2:2" x14ac:dyDescent="0.2">
      <c r="B735" s="39"/>
    </row>
    <row r="736" spans="2:2" x14ac:dyDescent="0.2">
      <c r="B736" s="39"/>
    </row>
    <row r="737" spans="2:2" x14ac:dyDescent="0.2">
      <c r="B737" s="39"/>
    </row>
    <row r="738" spans="2:2" x14ac:dyDescent="0.2">
      <c r="B738" s="39"/>
    </row>
    <row r="739" spans="2:2" x14ac:dyDescent="0.2">
      <c r="B739" s="39"/>
    </row>
    <row r="740" spans="2:2" x14ac:dyDescent="0.2">
      <c r="B740" s="39"/>
    </row>
    <row r="741" spans="2:2" x14ac:dyDescent="0.2">
      <c r="B741" s="39"/>
    </row>
    <row r="742" spans="2:2" x14ac:dyDescent="0.2">
      <c r="B742" s="39"/>
    </row>
    <row r="743" spans="2:2" x14ac:dyDescent="0.2">
      <c r="B743" s="39"/>
    </row>
    <row r="744" spans="2:2" x14ac:dyDescent="0.2">
      <c r="B744" s="39"/>
    </row>
    <row r="745" spans="2:2" x14ac:dyDescent="0.2">
      <c r="B745" s="39"/>
    </row>
    <row r="746" spans="2:2" x14ac:dyDescent="0.2">
      <c r="B746" s="39"/>
    </row>
    <row r="747" spans="2:2" x14ac:dyDescent="0.2">
      <c r="B747" s="39"/>
    </row>
    <row r="748" spans="2:2" x14ac:dyDescent="0.2">
      <c r="B748" s="39"/>
    </row>
    <row r="749" spans="2:2" x14ac:dyDescent="0.2">
      <c r="B749" s="39"/>
    </row>
    <row r="750" spans="2:2" x14ac:dyDescent="0.2">
      <c r="B750" s="39"/>
    </row>
    <row r="751" spans="2:2" x14ac:dyDescent="0.2">
      <c r="B751" s="39"/>
    </row>
    <row r="752" spans="2:2" x14ac:dyDescent="0.2">
      <c r="B752" s="39"/>
    </row>
    <row r="753" spans="2:2" x14ac:dyDescent="0.2">
      <c r="B753" s="39"/>
    </row>
    <row r="754" spans="2:2" x14ac:dyDescent="0.2">
      <c r="B754" s="39"/>
    </row>
    <row r="755" spans="2:2" x14ac:dyDescent="0.2">
      <c r="B755" s="39"/>
    </row>
    <row r="756" spans="2:2" x14ac:dyDescent="0.2">
      <c r="B756" s="39"/>
    </row>
    <row r="757" spans="2:2" x14ac:dyDescent="0.2">
      <c r="B757" s="39"/>
    </row>
    <row r="758" spans="2:2" x14ac:dyDescent="0.2">
      <c r="B758" s="39"/>
    </row>
    <row r="759" spans="2:2" x14ac:dyDescent="0.2">
      <c r="B759" s="39"/>
    </row>
    <row r="760" spans="2:2" x14ac:dyDescent="0.2">
      <c r="B760" s="39"/>
    </row>
    <row r="761" spans="2:2" x14ac:dyDescent="0.2">
      <c r="B761" s="39"/>
    </row>
    <row r="762" spans="2:2" x14ac:dyDescent="0.2">
      <c r="B762" s="39"/>
    </row>
    <row r="763" spans="2:2" x14ac:dyDescent="0.2">
      <c r="B763" s="39"/>
    </row>
    <row r="764" spans="2:2" x14ac:dyDescent="0.2">
      <c r="B764" s="39"/>
    </row>
    <row r="765" spans="2:2" x14ac:dyDescent="0.2">
      <c r="B765" s="39"/>
    </row>
    <row r="766" spans="2:2" x14ac:dyDescent="0.2">
      <c r="B766" s="39"/>
    </row>
    <row r="767" spans="2:2" x14ac:dyDescent="0.2">
      <c r="B767" s="39"/>
    </row>
    <row r="768" spans="2:2" x14ac:dyDescent="0.2">
      <c r="B768" s="39"/>
    </row>
    <row r="769" spans="2:2" x14ac:dyDescent="0.2">
      <c r="B769" s="39"/>
    </row>
    <row r="770" spans="2:2" x14ac:dyDescent="0.2">
      <c r="B770" s="39"/>
    </row>
    <row r="771" spans="2:2" x14ac:dyDescent="0.2">
      <c r="B771" s="39"/>
    </row>
    <row r="772" spans="2:2" x14ac:dyDescent="0.2">
      <c r="B772" s="39"/>
    </row>
    <row r="773" spans="2:2" x14ac:dyDescent="0.2">
      <c r="B773" s="39"/>
    </row>
    <row r="774" spans="2:2" x14ac:dyDescent="0.2">
      <c r="B774" s="39"/>
    </row>
    <row r="775" spans="2:2" x14ac:dyDescent="0.2">
      <c r="B775" s="39"/>
    </row>
    <row r="776" spans="2:2" x14ac:dyDescent="0.2">
      <c r="B776" s="39"/>
    </row>
    <row r="777" spans="2:2" x14ac:dyDescent="0.2">
      <c r="B777" s="39"/>
    </row>
    <row r="778" spans="2:2" x14ac:dyDescent="0.2">
      <c r="B778" s="39"/>
    </row>
    <row r="779" spans="2:2" x14ac:dyDescent="0.2">
      <c r="B779" s="39"/>
    </row>
    <row r="780" spans="2:2" x14ac:dyDescent="0.2">
      <c r="B780" s="39"/>
    </row>
    <row r="781" spans="2:2" x14ac:dyDescent="0.2">
      <c r="B781" s="39"/>
    </row>
    <row r="782" spans="2:2" x14ac:dyDescent="0.2">
      <c r="B782" s="39"/>
    </row>
    <row r="783" spans="2:2" x14ac:dyDescent="0.2">
      <c r="B783" s="39"/>
    </row>
    <row r="784" spans="2:2" x14ac:dyDescent="0.2">
      <c r="B784" s="39"/>
    </row>
    <row r="785" spans="2:2" x14ac:dyDescent="0.2">
      <c r="B785" s="39"/>
    </row>
    <row r="786" spans="2:2" x14ac:dyDescent="0.2">
      <c r="B786" s="39"/>
    </row>
    <row r="787" spans="2:2" x14ac:dyDescent="0.2">
      <c r="B787" s="39"/>
    </row>
    <row r="788" spans="2:2" x14ac:dyDescent="0.2">
      <c r="B788" s="39"/>
    </row>
    <row r="789" spans="2:2" x14ac:dyDescent="0.2">
      <c r="B789" s="39"/>
    </row>
    <row r="790" spans="2:2" x14ac:dyDescent="0.2">
      <c r="B790" s="39"/>
    </row>
    <row r="791" spans="2:2" x14ac:dyDescent="0.2">
      <c r="B791" s="39"/>
    </row>
    <row r="792" spans="2:2" x14ac:dyDescent="0.2">
      <c r="B792" s="39"/>
    </row>
    <row r="793" spans="2:2" x14ac:dyDescent="0.2">
      <c r="B793" s="39"/>
    </row>
    <row r="794" spans="2:2" x14ac:dyDescent="0.2">
      <c r="B794" s="39"/>
    </row>
    <row r="795" spans="2:2" x14ac:dyDescent="0.2">
      <c r="B795" s="39"/>
    </row>
    <row r="796" spans="2:2" x14ac:dyDescent="0.2">
      <c r="B796" s="39"/>
    </row>
    <row r="797" spans="2:2" x14ac:dyDescent="0.2">
      <c r="B797" s="39"/>
    </row>
    <row r="798" spans="2:2" x14ac:dyDescent="0.2">
      <c r="B798" s="39"/>
    </row>
    <row r="799" spans="2:2" x14ac:dyDescent="0.2">
      <c r="B799" s="39"/>
    </row>
    <row r="800" spans="2:2" x14ac:dyDescent="0.2">
      <c r="B800" s="39"/>
    </row>
    <row r="801" spans="2:2" x14ac:dyDescent="0.2">
      <c r="B801" s="39"/>
    </row>
    <row r="802" spans="2:2" x14ac:dyDescent="0.2">
      <c r="B802" s="39"/>
    </row>
    <row r="803" spans="2:2" x14ac:dyDescent="0.2">
      <c r="B803" s="39"/>
    </row>
    <row r="804" spans="2:2" x14ac:dyDescent="0.2">
      <c r="B804" s="39"/>
    </row>
    <row r="805" spans="2:2" x14ac:dyDescent="0.2">
      <c r="B805" s="39"/>
    </row>
    <row r="806" spans="2:2" x14ac:dyDescent="0.2">
      <c r="B806" s="39"/>
    </row>
    <row r="807" spans="2:2" x14ac:dyDescent="0.2">
      <c r="B807" s="39"/>
    </row>
    <row r="808" spans="2:2" x14ac:dyDescent="0.2">
      <c r="B808" s="39"/>
    </row>
    <row r="809" spans="2:2" x14ac:dyDescent="0.2">
      <c r="B809" s="39"/>
    </row>
    <row r="810" spans="2:2" x14ac:dyDescent="0.2">
      <c r="B810" s="39"/>
    </row>
    <row r="811" spans="2:2" x14ac:dyDescent="0.2">
      <c r="B811" s="39"/>
    </row>
    <row r="812" spans="2:2" x14ac:dyDescent="0.2">
      <c r="B812" s="39"/>
    </row>
    <row r="813" spans="2:2" x14ac:dyDescent="0.2">
      <c r="B813" s="39"/>
    </row>
    <row r="814" spans="2:2" x14ac:dyDescent="0.2">
      <c r="B814" s="39"/>
    </row>
    <row r="815" spans="2:2" x14ac:dyDescent="0.2">
      <c r="B815" s="39"/>
    </row>
    <row r="816" spans="2:2" x14ac:dyDescent="0.2">
      <c r="B816" s="39"/>
    </row>
    <row r="817" spans="2:2" x14ac:dyDescent="0.2">
      <c r="B817" s="39"/>
    </row>
    <row r="818" spans="2:2" x14ac:dyDescent="0.2">
      <c r="B818" s="39"/>
    </row>
    <row r="819" spans="2:2" x14ac:dyDescent="0.2">
      <c r="B819" s="39"/>
    </row>
    <row r="820" spans="2:2" x14ac:dyDescent="0.2">
      <c r="B820" s="39"/>
    </row>
    <row r="821" spans="2:2" x14ac:dyDescent="0.2">
      <c r="B821" s="39"/>
    </row>
    <row r="822" spans="2:2" x14ac:dyDescent="0.2">
      <c r="B822" s="39"/>
    </row>
    <row r="823" spans="2:2" x14ac:dyDescent="0.2">
      <c r="B823" s="39"/>
    </row>
    <row r="824" spans="2:2" x14ac:dyDescent="0.2">
      <c r="B824" s="39"/>
    </row>
    <row r="825" spans="2:2" x14ac:dyDescent="0.2">
      <c r="B825" s="39"/>
    </row>
    <row r="826" spans="2:2" x14ac:dyDescent="0.2">
      <c r="B826" s="39"/>
    </row>
    <row r="827" spans="2:2" x14ac:dyDescent="0.2">
      <c r="B827" s="39"/>
    </row>
    <row r="828" spans="2:2" x14ac:dyDescent="0.2">
      <c r="B828" s="39"/>
    </row>
    <row r="829" spans="2:2" x14ac:dyDescent="0.2">
      <c r="B829" s="39"/>
    </row>
    <row r="830" spans="2:2" x14ac:dyDescent="0.2">
      <c r="B830" s="39"/>
    </row>
    <row r="831" spans="2:2" x14ac:dyDescent="0.2">
      <c r="B831" s="39"/>
    </row>
    <row r="832" spans="2:2" x14ac:dyDescent="0.2">
      <c r="B832" s="39"/>
    </row>
    <row r="833" spans="2:2" x14ac:dyDescent="0.2">
      <c r="B833" s="39"/>
    </row>
    <row r="834" spans="2:2" x14ac:dyDescent="0.2">
      <c r="B834" s="39"/>
    </row>
    <row r="835" spans="2:2" x14ac:dyDescent="0.2">
      <c r="B835" s="39"/>
    </row>
    <row r="836" spans="2:2" x14ac:dyDescent="0.2">
      <c r="B836" s="39"/>
    </row>
    <row r="837" spans="2:2" x14ac:dyDescent="0.2">
      <c r="B837" s="39"/>
    </row>
    <row r="838" spans="2:2" x14ac:dyDescent="0.2">
      <c r="B838" s="39"/>
    </row>
    <row r="839" spans="2:2" x14ac:dyDescent="0.2">
      <c r="B839" s="39"/>
    </row>
    <row r="840" spans="2:2" x14ac:dyDescent="0.2">
      <c r="B840" s="39"/>
    </row>
    <row r="841" spans="2:2" x14ac:dyDescent="0.2">
      <c r="B841" s="39"/>
    </row>
    <row r="842" spans="2:2" x14ac:dyDescent="0.2">
      <c r="B842" s="39"/>
    </row>
    <row r="843" spans="2:2" x14ac:dyDescent="0.2">
      <c r="B843" s="39"/>
    </row>
    <row r="844" spans="2:2" x14ac:dyDescent="0.2">
      <c r="B844" s="39"/>
    </row>
    <row r="845" spans="2:2" x14ac:dyDescent="0.2">
      <c r="B845" s="39"/>
    </row>
    <row r="846" spans="2:2" x14ac:dyDescent="0.2">
      <c r="B846" s="39"/>
    </row>
    <row r="847" spans="2:2" x14ac:dyDescent="0.2">
      <c r="B847" s="39"/>
    </row>
    <row r="848" spans="2:2" x14ac:dyDescent="0.2">
      <c r="B848" s="39"/>
    </row>
    <row r="849" spans="2:2" x14ac:dyDescent="0.2">
      <c r="B849" s="39"/>
    </row>
    <row r="850" spans="2:2" x14ac:dyDescent="0.2">
      <c r="B850" s="39"/>
    </row>
    <row r="851" spans="2:2" x14ac:dyDescent="0.2">
      <c r="B851" s="39"/>
    </row>
    <row r="852" spans="2:2" x14ac:dyDescent="0.2">
      <c r="B852" s="39"/>
    </row>
    <row r="853" spans="2:2" x14ac:dyDescent="0.2">
      <c r="B853" s="39"/>
    </row>
    <row r="854" spans="2:2" x14ac:dyDescent="0.2">
      <c r="B854" s="39"/>
    </row>
    <row r="855" spans="2:2" x14ac:dyDescent="0.2">
      <c r="B855" s="39"/>
    </row>
    <row r="856" spans="2:2" x14ac:dyDescent="0.2">
      <c r="B856" s="39"/>
    </row>
    <row r="857" spans="2:2" x14ac:dyDescent="0.2">
      <c r="B857" s="39"/>
    </row>
    <row r="858" spans="2:2" x14ac:dyDescent="0.2">
      <c r="B858" s="39"/>
    </row>
    <row r="859" spans="2:2" x14ac:dyDescent="0.2">
      <c r="B859" s="39"/>
    </row>
    <row r="860" spans="2:2" x14ac:dyDescent="0.2">
      <c r="B860" s="39"/>
    </row>
    <row r="861" spans="2:2" x14ac:dyDescent="0.2">
      <c r="B861" s="39"/>
    </row>
    <row r="862" spans="2:2" x14ac:dyDescent="0.2">
      <c r="B862" s="39"/>
    </row>
    <row r="863" spans="2:2" x14ac:dyDescent="0.2">
      <c r="B863" s="39"/>
    </row>
    <row r="864" spans="2:2" x14ac:dyDescent="0.2">
      <c r="B864" s="39"/>
    </row>
    <row r="865" spans="2:2" x14ac:dyDescent="0.2">
      <c r="B865" s="39"/>
    </row>
    <row r="866" spans="2:2" x14ac:dyDescent="0.2">
      <c r="B866" s="39"/>
    </row>
    <row r="867" spans="2:2" x14ac:dyDescent="0.2">
      <c r="B867" s="39"/>
    </row>
    <row r="868" spans="2:2" x14ac:dyDescent="0.2">
      <c r="B868" s="39"/>
    </row>
    <row r="869" spans="2:2" x14ac:dyDescent="0.2">
      <c r="B869" s="39"/>
    </row>
    <row r="870" spans="2:2" x14ac:dyDescent="0.2">
      <c r="B870" s="39"/>
    </row>
    <row r="871" spans="2:2" x14ac:dyDescent="0.2">
      <c r="B871" s="39"/>
    </row>
    <row r="872" spans="2:2" x14ac:dyDescent="0.2">
      <c r="B872" s="39"/>
    </row>
    <row r="873" spans="2:2" x14ac:dyDescent="0.2">
      <c r="B873" s="39"/>
    </row>
    <row r="874" spans="2:2" x14ac:dyDescent="0.2">
      <c r="B874" s="39"/>
    </row>
    <row r="875" spans="2:2" x14ac:dyDescent="0.2">
      <c r="B875" s="39"/>
    </row>
    <row r="876" spans="2:2" x14ac:dyDescent="0.2">
      <c r="B876" s="39"/>
    </row>
    <row r="877" spans="2:2" x14ac:dyDescent="0.2">
      <c r="B877" s="39"/>
    </row>
    <row r="878" spans="2:2" x14ac:dyDescent="0.2">
      <c r="B878" s="39"/>
    </row>
    <row r="879" spans="2:2" x14ac:dyDescent="0.2">
      <c r="B879" s="39"/>
    </row>
    <row r="880" spans="2:2" x14ac:dyDescent="0.2">
      <c r="B880" s="39"/>
    </row>
    <row r="881" spans="2:2" x14ac:dyDescent="0.2">
      <c r="B881" s="39"/>
    </row>
    <row r="882" spans="2:2" x14ac:dyDescent="0.2">
      <c r="B882" s="39"/>
    </row>
    <row r="883" spans="2:2" x14ac:dyDescent="0.2">
      <c r="B883" s="39"/>
    </row>
    <row r="884" spans="2:2" x14ac:dyDescent="0.2">
      <c r="B884" s="39"/>
    </row>
    <row r="885" spans="2:2" x14ac:dyDescent="0.2">
      <c r="B885" s="39"/>
    </row>
    <row r="886" spans="2:2" x14ac:dyDescent="0.2">
      <c r="B886" s="39"/>
    </row>
    <row r="887" spans="2:2" x14ac:dyDescent="0.2">
      <c r="B887" s="39"/>
    </row>
    <row r="888" spans="2:2" x14ac:dyDescent="0.2">
      <c r="B888" s="39"/>
    </row>
    <row r="889" spans="2:2" x14ac:dyDescent="0.2">
      <c r="B889" s="39"/>
    </row>
    <row r="890" spans="2:2" x14ac:dyDescent="0.2">
      <c r="B890" s="39"/>
    </row>
    <row r="891" spans="2:2" x14ac:dyDescent="0.2">
      <c r="B891" s="39"/>
    </row>
    <row r="892" spans="2:2" x14ac:dyDescent="0.2">
      <c r="B892" s="39"/>
    </row>
    <row r="893" spans="2:2" x14ac:dyDescent="0.2">
      <c r="B893" s="39"/>
    </row>
    <row r="894" spans="2:2" x14ac:dyDescent="0.2">
      <c r="B894" s="39"/>
    </row>
    <row r="895" spans="2:2" x14ac:dyDescent="0.2">
      <c r="B895" s="39"/>
    </row>
    <row r="896" spans="2:2" x14ac:dyDescent="0.2">
      <c r="B896" s="39"/>
    </row>
    <row r="897" spans="2:2" x14ac:dyDescent="0.2">
      <c r="B897" s="39"/>
    </row>
    <row r="898" spans="2:2" x14ac:dyDescent="0.2">
      <c r="B898" s="39"/>
    </row>
    <row r="899" spans="2:2" x14ac:dyDescent="0.2">
      <c r="B899" s="39"/>
    </row>
    <row r="900" spans="2:2" x14ac:dyDescent="0.2">
      <c r="B900" s="39"/>
    </row>
    <row r="901" spans="2:2" x14ac:dyDescent="0.2">
      <c r="B901" s="39"/>
    </row>
    <row r="902" spans="2:2" x14ac:dyDescent="0.2">
      <c r="B902" s="39"/>
    </row>
    <row r="903" spans="2:2" x14ac:dyDescent="0.2">
      <c r="B903" s="39"/>
    </row>
    <row r="904" spans="2:2" x14ac:dyDescent="0.2">
      <c r="B904" s="39"/>
    </row>
    <row r="905" spans="2:2" x14ac:dyDescent="0.2">
      <c r="B905" s="39"/>
    </row>
    <row r="906" spans="2:2" x14ac:dyDescent="0.2">
      <c r="B906" s="39"/>
    </row>
    <row r="907" spans="2:2" x14ac:dyDescent="0.2">
      <c r="B907" s="39"/>
    </row>
    <row r="908" spans="2:2" x14ac:dyDescent="0.2">
      <c r="B908" s="39"/>
    </row>
    <row r="909" spans="2:2" x14ac:dyDescent="0.2">
      <c r="B909" s="39"/>
    </row>
    <row r="910" spans="2:2" x14ac:dyDescent="0.2">
      <c r="B910" s="39"/>
    </row>
    <row r="911" spans="2:2" x14ac:dyDescent="0.2">
      <c r="B911" s="39"/>
    </row>
    <row r="912" spans="2:2" x14ac:dyDescent="0.2">
      <c r="B912" s="39"/>
    </row>
    <row r="913" spans="2:2" x14ac:dyDescent="0.2">
      <c r="B913" s="39"/>
    </row>
    <row r="914" spans="2:2" x14ac:dyDescent="0.2">
      <c r="B914" s="39"/>
    </row>
    <row r="915" spans="2:2" x14ac:dyDescent="0.2">
      <c r="B915" s="39"/>
    </row>
    <row r="916" spans="2:2" x14ac:dyDescent="0.2">
      <c r="B916" s="39"/>
    </row>
    <row r="917" spans="2:2" x14ac:dyDescent="0.2">
      <c r="B917" s="39"/>
    </row>
    <row r="918" spans="2:2" x14ac:dyDescent="0.2">
      <c r="B918" s="39"/>
    </row>
    <row r="919" spans="2:2" x14ac:dyDescent="0.2">
      <c r="B919" s="39"/>
    </row>
    <row r="920" spans="2:2" x14ac:dyDescent="0.2">
      <c r="B920" s="39"/>
    </row>
    <row r="921" spans="2:2" x14ac:dyDescent="0.2">
      <c r="B921" s="39"/>
    </row>
    <row r="922" spans="2:2" x14ac:dyDescent="0.2">
      <c r="B922" s="39"/>
    </row>
    <row r="923" spans="2:2" x14ac:dyDescent="0.2">
      <c r="B923" s="39"/>
    </row>
    <row r="924" spans="2:2" x14ac:dyDescent="0.2">
      <c r="B924" s="39"/>
    </row>
    <row r="925" spans="2:2" x14ac:dyDescent="0.2">
      <c r="B925" s="39"/>
    </row>
    <row r="926" spans="2:2" x14ac:dyDescent="0.2">
      <c r="B926" s="39"/>
    </row>
    <row r="927" spans="2:2" x14ac:dyDescent="0.2">
      <c r="B927" s="39"/>
    </row>
    <row r="928" spans="2:2" x14ac:dyDescent="0.2">
      <c r="B928" s="39"/>
    </row>
    <row r="929" spans="2:2" x14ac:dyDescent="0.2">
      <c r="B929" s="39"/>
    </row>
    <row r="930" spans="2:2" x14ac:dyDescent="0.2">
      <c r="B930" s="39"/>
    </row>
    <row r="931" spans="2:2" x14ac:dyDescent="0.2">
      <c r="B931" s="39"/>
    </row>
    <row r="932" spans="2:2" x14ac:dyDescent="0.2">
      <c r="B932" s="39"/>
    </row>
    <row r="933" spans="2:2" x14ac:dyDescent="0.2">
      <c r="B933" s="39"/>
    </row>
    <row r="934" spans="2:2" x14ac:dyDescent="0.2">
      <c r="B934" s="39"/>
    </row>
    <row r="935" spans="2:2" x14ac:dyDescent="0.2">
      <c r="B935" s="39"/>
    </row>
    <row r="936" spans="2:2" x14ac:dyDescent="0.2">
      <c r="B936" s="39"/>
    </row>
    <row r="937" spans="2:2" x14ac:dyDescent="0.2">
      <c r="B937" s="39"/>
    </row>
    <row r="938" spans="2:2" x14ac:dyDescent="0.2">
      <c r="B938" s="39"/>
    </row>
    <row r="939" spans="2:2" x14ac:dyDescent="0.2">
      <c r="B939" s="39"/>
    </row>
    <row r="940" spans="2:2" x14ac:dyDescent="0.2">
      <c r="B940" s="39"/>
    </row>
    <row r="941" spans="2:2" x14ac:dyDescent="0.2">
      <c r="B941" s="39"/>
    </row>
    <row r="942" spans="2:2" x14ac:dyDescent="0.2">
      <c r="B942" s="39"/>
    </row>
    <row r="943" spans="2:2" x14ac:dyDescent="0.2">
      <c r="B943" s="39"/>
    </row>
    <row r="944" spans="2:2" x14ac:dyDescent="0.2">
      <c r="B944" s="39"/>
    </row>
    <row r="945" spans="2:2" x14ac:dyDescent="0.2">
      <c r="B945" s="39"/>
    </row>
    <row r="946" spans="2:2" x14ac:dyDescent="0.2">
      <c r="B946" s="39"/>
    </row>
  </sheetData>
  <sheetProtection sheet="1" objects="1" scenarios="1" selectLockedCells="1"/>
  <pageMargins left="0.7" right="0.7" top="0.78740157499999996" bottom="0.78740157499999996" header="0.3" footer="0.3"/>
  <pageSetup paperSize="8" scale="95" orientation="landscape" r:id="rId1"/>
  <colBreaks count="1" manualBreakCount="1">
    <brk id="14" max="1048575" man="1"/>
  </colBreaks>
  <drawing r:id="rId2"/>
  <legacyDrawing r:id="rId3"/>
  <controls>
    <mc:AlternateContent xmlns:mc="http://schemas.openxmlformats.org/markup-compatibility/2006">
      <mc:Choice Requires="x14">
        <control shapeId="25604" r:id="rId4" name="ComboBox1">
          <controlPr defaultSize="0" autoLine="0" r:id="rId5">
            <anchor moveWithCells="1">
              <from>
                <xdr:col>4</xdr:col>
                <xdr:colOff>523875</xdr:colOff>
                <xdr:row>0</xdr:row>
                <xdr:rowOff>114300</xdr:rowOff>
              </from>
              <to>
                <xdr:col>7</xdr:col>
                <xdr:colOff>123825</xdr:colOff>
                <xdr:row>2</xdr:row>
                <xdr:rowOff>9525</xdr:rowOff>
              </to>
            </anchor>
          </controlPr>
        </control>
      </mc:Choice>
      <mc:Fallback>
        <control shapeId="25604" r:id="rId4" name="ComboBox1"/>
      </mc:Fallback>
    </mc:AlternateContent>
    <mc:AlternateContent xmlns:mc="http://schemas.openxmlformats.org/markup-compatibility/2006">
      <mc:Choice Requires="x14">
        <control shapeId="25601" r:id="rId6" name="CommandButton1">
          <controlPr defaultSize="0" autoLine="0" r:id="rId7">
            <anchor moveWithCells="1">
              <from>
                <xdr:col>7</xdr:col>
                <xdr:colOff>123825</xdr:colOff>
                <xdr:row>0</xdr:row>
                <xdr:rowOff>95250</xdr:rowOff>
              </from>
              <to>
                <xdr:col>10</xdr:col>
                <xdr:colOff>619125</xdr:colOff>
                <xdr:row>2</xdr:row>
                <xdr:rowOff>9525</xdr:rowOff>
              </to>
            </anchor>
          </controlPr>
        </control>
      </mc:Choice>
      <mc:Fallback>
        <control shapeId="25601"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tabColor rgb="FF00B050"/>
    <pageSetUpPr fitToPage="1"/>
  </sheetPr>
  <dimension ref="A1:AJ189"/>
  <sheetViews>
    <sheetView view="pageBreakPreview" zoomScale="55" zoomScaleNormal="55" zoomScaleSheetLayoutView="55" zoomScalePageLayoutView="50" workbookViewId="0">
      <pane ySplit="32" topLeftCell="A33" activePane="bottomLeft" state="frozen"/>
      <selection activeCell="D31" sqref="D31"/>
      <selection pane="bottomLeft" activeCell="L35" sqref="L35"/>
    </sheetView>
  </sheetViews>
  <sheetFormatPr baseColWidth="10" defaultRowHeight="14.25" x14ac:dyDescent="0.2"/>
  <cols>
    <col min="1" max="1" width="3.75" customWidth="1"/>
    <col min="2" max="2" width="37.25" customWidth="1"/>
    <col min="3" max="3" width="44.125" customWidth="1"/>
    <col min="4" max="4" width="44.75" customWidth="1"/>
    <col min="5" max="5" width="38.75" customWidth="1"/>
    <col min="6" max="6" width="37.125" customWidth="1"/>
    <col min="7" max="7" width="26.375" customWidth="1"/>
    <col min="8" max="8" width="26.625" customWidth="1"/>
    <col min="9" max="9" width="26.375" customWidth="1"/>
    <col min="10" max="10" width="35.75" customWidth="1"/>
    <col min="11" max="11" width="15.25" bestFit="1" customWidth="1"/>
    <col min="12" max="12" width="62.375" bestFit="1" customWidth="1"/>
    <col min="13" max="13" width="3.75" style="54" customWidth="1"/>
    <col min="14" max="14" width="4.125" style="54" customWidth="1"/>
    <col min="15" max="15" width="11" style="99"/>
    <col min="16" max="16" width="17.875" style="99" customWidth="1"/>
    <col min="17" max="17" width="13.75" style="99" bestFit="1" customWidth="1"/>
    <col min="18" max="18" width="18.125" style="99" bestFit="1" customWidth="1"/>
    <col min="19" max="19" width="16.5" style="99" bestFit="1" customWidth="1"/>
    <col min="20" max="20" width="11" style="99"/>
    <col min="21" max="21" width="17.375" style="99" customWidth="1"/>
    <col min="22" max="23" width="11" style="99"/>
    <col min="24" max="24" width="22.125" style="99" bestFit="1" customWidth="1"/>
    <col min="25" max="25" width="18" style="99" customWidth="1"/>
    <col min="26" max="31" width="11" style="99"/>
  </cols>
  <sheetData>
    <row r="1" spans="1:16" s="100" customFormat="1" ht="46.5" hidden="1" customHeight="1" x14ac:dyDescent="0.2">
      <c r="B1" s="101" t="str">
        <f>B33</f>
        <v xml:space="preserve">Gesetzgebung </v>
      </c>
      <c r="C1" s="101" t="str">
        <f>B39</f>
        <v>politische Stabilität/ Rechtssicherheit</v>
      </c>
      <c r="D1" s="101" t="str">
        <f>B45</f>
        <v xml:space="preserve">Handelshemmnisse (Zölle/ Schranken/ regolatorische Hemmnisse ...) </v>
      </c>
      <c r="E1" s="101" t="str">
        <f>B51</f>
        <v xml:space="preserve">Wirtschaftswachstum </v>
      </c>
      <c r="F1" s="101" t="str">
        <f>B57</f>
        <v xml:space="preserve">Inflation, Zinsen, Wechselkurse </v>
      </c>
      <c r="G1" s="101" t="str">
        <f>B63</f>
        <v xml:space="preserve">Arbeitsmarkt (Quantität/ Qualität ...) </v>
      </c>
      <c r="H1" s="101" t="str">
        <f>B69</f>
        <v xml:space="preserve">Globalisierung/ Internationalisierung </v>
      </c>
      <c r="I1" s="101" t="str">
        <f>B75</f>
        <v xml:space="preserve">Ressourcenverfügbarkeit </v>
      </c>
      <c r="J1" s="101" t="str">
        <f>B81</f>
        <v xml:space="preserve">Werte </v>
      </c>
      <c r="K1" s="101" t="str">
        <f>B87</f>
        <v xml:space="preserve">Lebensstil/ Mentalitäten </v>
      </c>
      <c r="L1" s="101" t="str">
        <f>B93</f>
        <v>Bildung</v>
      </c>
      <c r="M1" s="100" t="str">
        <f>B99</f>
        <v xml:space="preserve">Forschung </v>
      </c>
      <c r="N1" s="102" t="str">
        <f>B105</f>
        <v xml:space="preserve">neue Technologien und Produkte </v>
      </c>
      <c r="O1" s="102" t="str">
        <f>B111</f>
        <v>neue Prozesse</v>
      </c>
      <c r="P1" s="102" t="str">
        <f>B117</f>
        <v>Produktlebenszyklen</v>
      </c>
    </row>
    <row r="2" spans="1:16" s="100" customFormat="1" hidden="1" x14ac:dyDescent="0.2">
      <c r="A2" s="100" t="str">
        <f>'Modell-Kalibrierung'!B16</f>
        <v>nicht vorhanden</v>
      </c>
      <c r="B2" s="100">
        <f t="shared" ref="B2:B8" si="0">COUNTIF(G$33:G$37,A2)+COUNTIF(I$33:I$37,A2)</f>
        <v>0</v>
      </c>
      <c r="C2" s="100">
        <f t="shared" ref="C2:C8" si="1">COUNTIF(G$39:G$43,A2)+COUNTIF(I$39:I$43,A2)</f>
        <v>0</v>
      </c>
      <c r="D2" s="100">
        <f t="shared" ref="D2:D8" si="2">COUNTIF(G$45:G$49,A2)+COUNTIF(I$45:I$49,A2)</f>
        <v>0</v>
      </c>
      <c r="E2" s="100">
        <f t="shared" ref="E2:E8" si="3">COUNTIF(G$51:G$55,A2)+COUNTIF(I$51:I$55,A2)</f>
        <v>0</v>
      </c>
      <c r="F2" s="100">
        <f t="shared" ref="F2:F8" si="4">COUNTIF(G$57:G$61,A2)+COUNTIF(I$57:I$61,A2)</f>
        <v>0</v>
      </c>
      <c r="G2" s="100">
        <f t="shared" ref="G2:G8" si="5">COUNTIF(G$63:G$67,A2)+COUNTIF(I$63:I$67,A2)</f>
        <v>0</v>
      </c>
      <c r="H2" s="100">
        <f t="shared" ref="H2:H8" si="6">COUNTIF(G$69:G$73,A2)+COUNTIF(I$69:I$73,A2)</f>
        <v>0</v>
      </c>
      <c r="I2" s="100">
        <f t="shared" ref="I2:I8" si="7">COUNTIF(G$75:G$79,A2)+COUNTIF(I$75:I$79,A2)</f>
        <v>0</v>
      </c>
      <c r="J2" s="100">
        <f t="shared" ref="J2:J8" si="8">COUNTIF(G$81:G$85,A2)+COUNTIF(I$81:I$85,A2)</f>
        <v>0</v>
      </c>
      <c r="K2" s="100">
        <f t="shared" ref="K2:K8" si="9">COUNTIF(G$87:G$91,A2)+COUNTIF(I$87:I$91,A2)</f>
        <v>0</v>
      </c>
      <c r="L2" s="100">
        <f t="shared" ref="L2:L8" si="10">COUNTIF(G$93:G$97,A2)+COUNTIF(I$93:I$97,A2)</f>
        <v>0</v>
      </c>
      <c r="M2" s="100">
        <f t="shared" ref="M2:M8" si="11">COUNTIF(G$99:G$103,A2)+COUNTIF(I$99:I$103,A2)</f>
        <v>0</v>
      </c>
      <c r="N2" s="100">
        <f t="shared" ref="N2:N8" si="12">COUNTIF(G$105:G$109,A2)+COUNTIF(I$105:I$109,A2)</f>
        <v>0</v>
      </c>
      <c r="O2" s="100">
        <f t="shared" ref="O2:O8" si="13">COUNTIF(G$111:G$115,A2)+COUNTIF(I$111:I$115,A2)</f>
        <v>0</v>
      </c>
      <c r="P2" s="100">
        <f t="shared" ref="P2:P8" si="14">COUNTIF(G$117:G$121,A2)+COUNTIF(I$117:I$121,A2)</f>
        <v>0</v>
      </c>
    </row>
    <row r="3" spans="1:16" s="100" customFormat="1" hidden="1" x14ac:dyDescent="0.2">
      <c r="A3" s="100" t="str">
        <f>'Modell-Kalibrierung'!B17</f>
        <v>sehr gering</v>
      </c>
      <c r="B3" s="100">
        <f t="shared" si="0"/>
        <v>0</v>
      </c>
      <c r="C3" s="100">
        <f t="shared" si="1"/>
        <v>0</v>
      </c>
      <c r="D3" s="100">
        <f t="shared" si="2"/>
        <v>0</v>
      </c>
      <c r="E3" s="100">
        <f t="shared" si="3"/>
        <v>0</v>
      </c>
      <c r="F3" s="100">
        <f t="shared" si="4"/>
        <v>0</v>
      </c>
      <c r="G3" s="100">
        <f t="shared" si="5"/>
        <v>0</v>
      </c>
      <c r="H3" s="100">
        <f t="shared" si="6"/>
        <v>0</v>
      </c>
      <c r="I3" s="100">
        <f t="shared" si="7"/>
        <v>0</v>
      </c>
      <c r="J3" s="100">
        <f t="shared" si="8"/>
        <v>0</v>
      </c>
      <c r="K3" s="100">
        <f t="shared" si="9"/>
        <v>0</v>
      </c>
      <c r="L3" s="100">
        <f t="shared" si="10"/>
        <v>0</v>
      </c>
      <c r="M3" s="100">
        <f t="shared" si="11"/>
        <v>0</v>
      </c>
      <c r="N3" s="100">
        <f t="shared" si="12"/>
        <v>0</v>
      </c>
      <c r="O3" s="100">
        <f t="shared" si="13"/>
        <v>0</v>
      </c>
      <c r="P3" s="100">
        <f t="shared" si="14"/>
        <v>0</v>
      </c>
    </row>
    <row r="4" spans="1:16" s="100" customFormat="1" hidden="1" x14ac:dyDescent="0.2">
      <c r="A4" s="100" t="str">
        <f>'Modell-Kalibrierung'!B18</f>
        <v>gering</v>
      </c>
      <c r="B4" s="100">
        <f t="shared" si="0"/>
        <v>0</v>
      </c>
      <c r="C4" s="100">
        <f t="shared" si="1"/>
        <v>0</v>
      </c>
      <c r="D4" s="100">
        <f t="shared" si="2"/>
        <v>0</v>
      </c>
      <c r="E4" s="100">
        <f t="shared" si="3"/>
        <v>0</v>
      </c>
      <c r="F4" s="100">
        <f t="shared" si="4"/>
        <v>0</v>
      </c>
      <c r="G4" s="100">
        <f t="shared" si="5"/>
        <v>0</v>
      </c>
      <c r="H4" s="100">
        <f t="shared" si="6"/>
        <v>0</v>
      </c>
      <c r="I4" s="100">
        <f t="shared" si="7"/>
        <v>0</v>
      </c>
      <c r="J4" s="100">
        <f t="shared" si="8"/>
        <v>0</v>
      </c>
      <c r="K4" s="100">
        <f t="shared" si="9"/>
        <v>0</v>
      </c>
      <c r="L4" s="100">
        <f t="shared" si="10"/>
        <v>0</v>
      </c>
      <c r="M4" s="100">
        <f t="shared" si="11"/>
        <v>0</v>
      </c>
      <c r="N4" s="100">
        <f t="shared" si="12"/>
        <v>0</v>
      </c>
      <c r="O4" s="100">
        <f t="shared" si="13"/>
        <v>0</v>
      </c>
      <c r="P4" s="100">
        <f t="shared" si="14"/>
        <v>0</v>
      </c>
    </row>
    <row r="5" spans="1:16" s="100" customFormat="1" hidden="1" x14ac:dyDescent="0.2">
      <c r="A5" s="100" t="str">
        <f>'Modell-Kalibrierung'!B19</f>
        <v>mittel</v>
      </c>
      <c r="B5" s="100">
        <f t="shared" si="0"/>
        <v>0</v>
      </c>
      <c r="C5" s="100">
        <f t="shared" si="1"/>
        <v>0</v>
      </c>
      <c r="D5" s="100">
        <f t="shared" si="2"/>
        <v>0</v>
      </c>
      <c r="E5" s="100">
        <f t="shared" si="3"/>
        <v>0</v>
      </c>
      <c r="F5" s="100">
        <f t="shared" si="4"/>
        <v>0</v>
      </c>
      <c r="G5" s="100">
        <f t="shared" si="5"/>
        <v>0</v>
      </c>
      <c r="H5" s="100">
        <f t="shared" si="6"/>
        <v>0</v>
      </c>
      <c r="I5" s="100">
        <f t="shared" si="7"/>
        <v>0</v>
      </c>
      <c r="J5" s="100">
        <f t="shared" si="8"/>
        <v>0</v>
      </c>
      <c r="K5" s="100">
        <f t="shared" si="9"/>
        <v>0</v>
      </c>
      <c r="L5" s="100">
        <f t="shared" si="10"/>
        <v>0</v>
      </c>
      <c r="M5" s="100">
        <f t="shared" si="11"/>
        <v>0</v>
      </c>
      <c r="N5" s="100">
        <f t="shared" si="12"/>
        <v>0</v>
      </c>
      <c r="O5" s="100">
        <f t="shared" si="13"/>
        <v>0</v>
      </c>
      <c r="P5" s="100">
        <f t="shared" si="14"/>
        <v>0</v>
      </c>
    </row>
    <row r="6" spans="1:16" s="100" customFormat="1" hidden="1" x14ac:dyDescent="0.2">
      <c r="A6" s="100" t="str">
        <f>'Modell-Kalibrierung'!B20</f>
        <v>hoch</v>
      </c>
      <c r="B6" s="100">
        <f t="shared" si="0"/>
        <v>0</v>
      </c>
      <c r="C6" s="100">
        <f t="shared" si="1"/>
        <v>0</v>
      </c>
      <c r="D6" s="100">
        <f t="shared" si="2"/>
        <v>0</v>
      </c>
      <c r="E6" s="100">
        <f t="shared" si="3"/>
        <v>0</v>
      </c>
      <c r="F6" s="100">
        <f t="shared" si="4"/>
        <v>0</v>
      </c>
      <c r="G6" s="100">
        <f t="shared" si="5"/>
        <v>0</v>
      </c>
      <c r="H6" s="100">
        <f t="shared" si="6"/>
        <v>0</v>
      </c>
      <c r="I6" s="100">
        <f t="shared" si="7"/>
        <v>0</v>
      </c>
      <c r="J6" s="100">
        <f t="shared" si="8"/>
        <v>0</v>
      </c>
      <c r="K6" s="100">
        <f t="shared" si="9"/>
        <v>0</v>
      </c>
      <c r="L6" s="100">
        <f t="shared" si="10"/>
        <v>0</v>
      </c>
      <c r="M6" s="100">
        <f t="shared" si="11"/>
        <v>0</v>
      </c>
      <c r="N6" s="100">
        <f t="shared" si="12"/>
        <v>0</v>
      </c>
      <c r="O6" s="100">
        <f t="shared" si="13"/>
        <v>0</v>
      </c>
      <c r="P6" s="100">
        <f t="shared" si="14"/>
        <v>0</v>
      </c>
    </row>
    <row r="7" spans="1:16" s="100" customFormat="1" hidden="1" x14ac:dyDescent="0.2">
      <c r="A7" s="100" t="str">
        <f>'Modell-Kalibrierung'!B21</f>
        <v>sehr hoch</v>
      </c>
      <c r="B7" s="100">
        <f t="shared" si="0"/>
        <v>0</v>
      </c>
      <c r="C7" s="100">
        <f t="shared" si="1"/>
        <v>0</v>
      </c>
      <c r="D7" s="100">
        <f t="shared" si="2"/>
        <v>0</v>
      </c>
      <c r="E7" s="100">
        <f t="shared" si="3"/>
        <v>0</v>
      </c>
      <c r="F7" s="100">
        <f t="shared" si="4"/>
        <v>0</v>
      </c>
      <c r="G7" s="100">
        <f t="shared" si="5"/>
        <v>0</v>
      </c>
      <c r="H7" s="100">
        <f t="shared" si="6"/>
        <v>0</v>
      </c>
      <c r="I7" s="100">
        <f t="shared" si="7"/>
        <v>0</v>
      </c>
      <c r="J7" s="100">
        <f t="shared" si="8"/>
        <v>0</v>
      </c>
      <c r="K7" s="100">
        <f t="shared" si="9"/>
        <v>0</v>
      </c>
      <c r="L7" s="100">
        <f t="shared" si="10"/>
        <v>0</v>
      </c>
      <c r="M7" s="100">
        <f t="shared" si="11"/>
        <v>0</v>
      </c>
      <c r="N7" s="100">
        <f t="shared" si="12"/>
        <v>0</v>
      </c>
      <c r="O7" s="100">
        <f t="shared" si="13"/>
        <v>0</v>
      </c>
      <c r="P7" s="100">
        <f t="shared" si="14"/>
        <v>0</v>
      </c>
    </row>
    <row r="8" spans="1:16" s="100" customFormat="1" hidden="1" x14ac:dyDescent="0.2">
      <c r="A8" s="100" t="str">
        <f>'Modell-Kalibrierung'!B22</f>
        <v>führt zum Abbruch</v>
      </c>
      <c r="B8" s="100">
        <f t="shared" si="0"/>
        <v>0</v>
      </c>
      <c r="C8" s="100">
        <f t="shared" si="1"/>
        <v>0</v>
      </c>
      <c r="D8" s="100">
        <f t="shared" si="2"/>
        <v>0</v>
      </c>
      <c r="E8" s="100">
        <f t="shared" si="3"/>
        <v>0</v>
      </c>
      <c r="F8" s="100">
        <f t="shared" si="4"/>
        <v>0</v>
      </c>
      <c r="G8" s="100">
        <f t="shared" si="5"/>
        <v>0</v>
      </c>
      <c r="H8" s="100">
        <f t="shared" si="6"/>
        <v>0</v>
      </c>
      <c r="I8" s="100">
        <f t="shared" si="7"/>
        <v>0</v>
      </c>
      <c r="J8" s="100">
        <f t="shared" si="8"/>
        <v>0</v>
      </c>
      <c r="K8" s="100">
        <f t="shared" si="9"/>
        <v>0</v>
      </c>
      <c r="L8" s="100">
        <f t="shared" si="10"/>
        <v>0</v>
      </c>
      <c r="M8" s="100">
        <f t="shared" si="11"/>
        <v>0</v>
      </c>
      <c r="N8" s="100">
        <f t="shared" si="12"/>
        <v>0</v>
      </c>
      <c r="O8" s="100">
        <f t="shared" si="13"/>
        <v>0</v>
      </c>
      <c r="P8" s="100">
        <f t="shared" si="14"/>
        <v>0</v>
      </c>
    </row>
    <row r="9" spans="1:16" s="100" customFormat="1" hidden="1" x14ac:dyDescent="0.2">
      <c r="A9" s="100" t="s">
        <v>82</v>
      </c>
      <c r="B9" s="100">
        <f t="shared" ref="B9:P9" si="15">IF(B8&gt;0,6,IF(B7&gt;0,5,IF(B6&gt;0,4,IF(B5&gt;0,3,IF(B4&gt;0,2,IF(B3&gt;0,1,IF(B2&gt;0,0,0)))))))</f>
        <v>0</v>
      </c>
      <c r="C9" s="100">
        <f t="shared" si="15"/>
        <v>0</v>
      </c>
      <c r="D9" s="100">
        <f t="shared" si="15"/>
        <v>0</v>
      </c>
      <c r="E9" s="100">
        <f t="shared" si="15"/>
        <v>0</v>
      </c>
      <c r="F9" s="100">
        <f t="shared" si="15"/>
        <v>0</v>
      </c>
      <c r="G9" s="100">
        <f t="shared" si="15"/>
        <v>0</v>
      </c>
      <c r="H9" s="100">
        <f t="shared" si="15"/>
        <v>0</v>
      </c>
      <c r="I9" s="100">
        <f t="shared" si="15"/>
        <v>0</v>
      </c>
      <c r="J9" s="100">
        <f t="shared" si="15"/>
        <v>0</v>
      </c>
      <c r="K9" s="100">
        <f t="shared" si="15"/>
        <v>0</v>
      </c>
      <c r="L9" s="100">
        <f t="shared" si="15"/>
        <v>0</v>
      </c>
      <c r="M9" s="100">
        <f t="shared" si="15"/>
        <v>0</v>
      </c>
      <c r="N9" s="100">
        <f t="shared" si="15"/>
        <v>0</v>
      </c>
      <c r="O9" s="100">
        <f t="shared" si="15"/>
        <v>0</v>
      </c>
      <c r="P9" s="100">
        <f t="shared" si="15"/>
        <v>0</v>
      </c>
    </row>
    <row r="10" spans="1:16" s="100" customFormat="1" hidden="1" x14ac:dyDescent="0.2"/>
    <row r="11" spans="1:16" s="100" customFormat="1" hidden="1" x14ac:dyDescent="0.2"/>
    <row r="12" spans="1:16" s="100" customFormat="1" hidden="1" x14ac:dyDescent="0.2"/>
    <row r="13" spans="1:16" s="100" customFormat="1" hidden="1" x14ac:dyDescent="0.2">
      <c r="C13" s="100" t="s">
        <v>23</v>
      </c>
      <c r="D13" s="100" t="s">
        <v>82</v>
      </c>
      <c r="E13" s="100" t="s">
        <v>83</v>
      </c>
    </row>
    <row r="14" spans="1:16" s="100" customFormat="1" hidden="1" x14ac:dyDescent="0.2">
      <c r="B14" s="102" t="str">
        <f t="array" ref="B14:B28">TRANSPOSE(B1:P1)</f>
        <v xml:space="preserve">Gesetzgebung </v>
      </c>
      <c r="C14" s="100">
        <f>K38</f>
        <v>0</v>
      </c>
      <c r="D14" s="100">
        <f t="array" ref="D14:D28">TRANSPOSE($B$9:$P$9)</f>
        <v>0</v>
      </c>
      <c r="E14" s="103">
        <f t="shared" ref="E14:E28" si="16">IF(C14&gt;0,C14/$M$31,0)</f>
        <v>0</v>
      </c>
      <c r="F14" s="100" t="s">
        <v>65</v>
      </c>
    </row>
    <row r="15" spans="1:16" s="100" customFormat="1" hidden="1" x14ac:dyDescent="0.2">
      <c r="B15" s="102" t="str">
        <v>politische Stabilität/ Rechtssicherheit</v>
      </c>
      <c r="C15" s="100">
        <f>K44</f>
        <v>0</v>
      </c>
      <c r="D15" s="100">
        <v>0</v>
      </c>
      <c r="E15" s="103">
        <f t="shared" si="16"/>
        <v>0</v>
      </c>
      <c r="F15" s="100" t="s">
        <v>65</v>
      </c>
    </row>
    <row r="16" spans="1:16" s="100" customFormat="1" ht="28.5" hidden="1" x14ac:dyDescent="0.2">
      <c r="B16" s="102" t="str">
        <v xml:space="preserve">Handelshemmnisse (Zölle/ Schranken/ regolatorische Hemmnisse ...) </v>
      </c>
      <c r="C16" s="100">
        <f>K50</f>
        <v>0</v>
      </c>
      <c r="D16" s="100">
        <v>0</v>
      </c>
      <c r="E16" s="103">
        <f t="shared" si="16"/>
        <v>0</v>
      </c>
      <c r="F16" s="100" t="s">
        <v>65</v>
      </c>
    </row>
    <row r="17" spans="1:14" s="100" customFormat="1" hidden="1" x14ac:dyDescent="0.2">
      <c r="B17" s="102" t="str">
        <v xml:space="preserve">Wirtschaftswachstum </v>
      </c>
      <c r="C17" s="100">
        <f>K56</f>
        <v>0</v>
      </c>
      <c r="D17" s="100">
        <v>0</v>
      </c>
      <c r="E17" s="103">
        <f t="shared" si="16"/>
        <v>0</v>
      </c>
      <c r="F17" s="100" t="s">
        <v>3</v>
      </c>
    </row>
    <row r="18" spans="1:14" s="100" customFormat="1" hidden="1" x14ac:dyDescent="0.2">
      <c r="B18" s="102" t="str">
        <v xml:space="preserve">Inflation, Zinsen, Wechselkurse </v>
      </c>
      <c r="C18" s="100">
        <f>K62</f>
        <v>0</v>
      </c>
      <c r="D18" s="100">
        <v>0</v>
      </c>
      <c r="E18" s="103">
        <f t="shared" si="16"/>
        <v>0</v>
      </c>
      <c r="F18" s="100" t="s">
        <v>3</v>
      </c>
    </row>
    <row r="19" spans="1:14" s="100" customFormat="1" hidden="1" x14ac:dyDescent="0.2">
      <c r="B19" s="102" t="str">
        <v xml:space="preserve">Arbeitsmarkt (Quantität/ Qualität ...) </v>
      </c>
      <c r="C19" s="100">
        <f>K68</f>
        <v>0</v>
      </c>
      <c r="D19" s="100">
        <v>0</v>
      </c>
      <c r="E19" s="103">
        <f t="shared" si="16"/>
        <v>0</v>
      </c>
      <c r="F19" s="100" t="s">
        <v>3</v>
      </c>
    </row>
    <row r="20" spans="1:14" s="100" customFormat="1" hidden="1" x14ac:dyDescent="0.2">
      <c r="B20" s="102" t="str">
        <v xml:space="preserve">Globalisierung/ Internationalisierung </v>
      </c>
      <c r="C20" s="100">
        <f>K74</f>
        <v>0</v>
      </c>
      <c r="D20" s="100">
        <v>0</v>
      </c>
      <c r="E20" s="103">
        <f t="shared" si="16"/>
        <v>0</v>
      </c>
      <c r="F20" s="100" t="s">
        <v>3</v>
      </c>
    </row>
    <row r="21" spans="1:14" s="100" customFormat="1" hidden="1" x14ac:dyDescent="0.2">
      <c r="B21" s="102" t="str">
        <v xml:space="preserve">Ressourcenverfügbarkeit </v>
      </c>
      <c r="C21" s="100">
        <f>K80</f>
        <v>0</v>
      </c>
      <c r="D21" s="100">
        <v>0</v>
      </c>
      <c r="E21" s="103">
        <f t="shared" si="16"/>
        <v>0</v>
      </c>
      <c r="F21" s="100" t="s">
        <v>3</v>
      </c>
    </row>
    <row r="22" spans="1:14" s="100" customFormat="1" hidden="1" x14ac:dyDescent="0.2">
      <c r="B22" s="102" t="str">
        <v xml:space="preserve">Werte </v>
      </c>
      <c r="C22" s="100">
        <f>K86</f>
        <v>0</v>
      </c>
      <c r="D22" s="100">
        <v>0</v>
      </c>
      <c r="E22" s="103">
        <f t="shared" si="16"/>
        <v>0</v>
      </c>
      <c r="F22" s="100" t="s">
        <v>4</v>
      </c>
    </row>
    <row r="23" spans="1:14" s="100" customFormat="1" hidden="1" x14ac:dyDescent="0.2">
      <c r="B23" s="102" t="str">
        <v xml:space="preserve">Lebensstil/ Mentalitäten </v>
      </c>
      <c r="C23" s="100">
        <f>K92</f>
        <v>0</v>
      </c>
      <c r="D23" s="100">
        <v>0</v>
      </c>
      <c r="E23" s="103">
        <f t="shared" si="16"/>
        <v>0</v>
      </c>
      <c r="F23" s="100" t="s">
        <v>4</v>
      </c>
    </row>
    <row r="24" spans="1:14" s="100" customFormat="1" hidden="1" x14ac:dyDescent="0.2">
      <c r="B24" s="102" t="str">
        <v>Bildung</v>
      </c>
      <c r="C24" s="100">
        <f>K98</f>
        <v>0</v>
      </c>
      <c r="D24" s="100">
        <v>0</v>
      </c>
      <c r="E24" s="103">
        <f t="shared" si="16"/>
        <v>0</v>
      </c>
      <c r="F24" s="100" t="s">
        <v>4</v>
      </c>
    </row>
    <row r="25" spans="1:14" s="100" customFormat="1" hidden="1" x14ac:dyDescent="0.2">
      <c r="B25" s="102" t="str">
        <v xml:space="preserve">Forschung </v>
      </c>
      <c r="C25" s="100">
        <f>K104</f>
        <v>0</v>
      </c>
      <c r="D25" s="100">
        <v>0</v>
      </c>
      <c r="E25" s="103">
        <f t="shared" si="16"/>
        <v>0</v>
      </c>
      <c r="F25" s="100" t="s">
        <v>5</v>
      </c>
    </row>
    <row r="26" spans="1:14" s="100" customFormat="1" hidden="1" x14ac:dyDescent="0.2">
      <c r="B26" s="102" t="str">
        <v xml:space="preserve">neue Technologien und Produkte </v>
      </c>
      <c r="C26" s="100">
        <f>K110</f>
        <v>0</v>
      </c>
      <c r="D26" s="100">
        <v>0</v>
      </c>
      <c r="E26" s="103">
        <f t="shared" si="16"/>
        <v>0</v>
      </c>
      <c r="F26" s="100" t="s">
        <v>5</v>
      </c>
    </row>
    <row r="27" spans="1:14" s="100" customFormat="1" hidden="1" x14ac:dyDescent="0.2">
      <c r="B27" s="102" t="str">
        <v>neue Prozesse</v>
      </c>
      <c r="C27" s="100">
        <f>K116</f>
        <v>0</v>
      </c>
      <c r="D27" s="100">
        <v>0</v>
      </c>
      <c r="E27" s="103">
        <f t="shared" si="16"/>
        <v>0</v>
      </c>
      <c r="F27" s="100" t="s">
        <v>5</v>
      </c>
    </row>
    <row r="28" spans="1:14" s="100" customFormat="1" hidden="1" x14ac:dyDescent="0.2">
      <c r="B28" s="102" t="str">
        <v>Produktlebenszyklen</v>
      </c>
      <c r="C28" s="100">
        <f>K122</f>
        <v>0</v>
      </c>
      <c r="D28" s="100">
        <v>0</v>
      </c>
      <c r="E28" s="103">
        <f t="shared" si="16"/>
        <v>0</v>
      </c>
      <c r="F28" s="100" t="s">
        <v>5</v>
      </c>
    </row>
    <row r="29" spans="1:14" s="100" customFormat="1" hidden="1" x14ac:dyDescent="0.2">
      <c r="M29" s="48"/>
      <c r="N29" s="48"/>
    </row>
    <row r="30" spans="1:14" s="100" customFormat="1" ht="33" hidden="1" customHeight="1" x14ac:dyDescent="0.2">
      <c r="M30" s="48"/>
      <c r="N30" s="48"/>
    </row>
    <row r="31" spans="1:14" ht="69.75" customHeight="1" thickBot="1" x14ac:dyDescent="0.25">
      <c r="A31" s="36"/>
      <c r="B31" s="149" t="s">
        <v>84</v>
      </c>
      <c r="C31" s="149"/>
      <c r="D31" s="149"/>
      <c r="E31" s="149"/>
      <c r="F31" s="149"/>
      <c r="G31" s="149"/>
      <c r="H31" s="149"/>
      <c r="I31" s="149"/>
      <c r="J31" s="149"/>
      <c r="K31" s="149"/>
      <c r="L31" s="149"/>
      <c r="M31" s="54">
        <f>SUM(K122,K116,K110,K104,K98,K92,K86,K80,K74,K68,K62,K56,K50,K44,K38)</f>
        <v>0</v>
      </c>
      <c r="N31" s="54">
        <f>MAX(K38,K44,K50,K56,K62,K68,K74,K80,K86,K92,K98,K104,K110,K116,K122,)+5</f>
        <v>5</v>
      </c>
    </row>
    <row r="32" spans="1:14" ht="63.75" customHeight="1" thickBot="1" x14ac:dyDescent="0.25">
      <c r="A32" s="36"/>
      <c r="B32" s="61" t="s">
        <v>0</v>
      </c>
      <c r="C32" s="61" t="s">
        <v>40</v>
      </c>
      <c r="D32" s="61" t="s">
        <v>1</v>
      </c>
      <c r="E32" s="61" t="s">
        <v>2</v>
      </c>
      <c r="F32" s="61" t="s">
        <v>6</v>
      </c>
      <c r="G32" s="61" t="s">
        <v>21</v>
      </c>
      <c r="H32" s="61" t="s">
        <v>7</v>
      </c>
      <c r="I32" s="61" t="s">
        <v>20</v>
      </c>
      <c r="J32" s="61" t="s">
        <v>10</v>
      </c>
      <c r="K32" s="61" t="s">
        <v>23</v>
      </c>
      <c r="L32" s="61" t="s">
        <v>93</v>
      </c>
      <c r="M32" s="54">
        <f>SUM(M33:M2033)</f>
        <v>5</v>
      </c>
    </row>
    <row r="33" spans="1:13" ht="20.25" x14ac:dyDescent="0.2">
      <c r="A33" s="136" t="s">
        <v>65</v>
      </c>
      <c r="B33" s="148" t="s">
        <v>9</v>
      </c>
      <c r="C33" s="11"/>
      <c r="D33" s="11"/>
      <c r="E33" s="6"/>
      <c r="F33" s="10"/>
      <c r="G33" s="8"/>
      <c r="H33" s="9"/>
      <c r="I33" s="8"/>
      <c r="J33" s="1" t="e">
        <f>1-VLOOKUP(H33,'Modell-Kalibrierung'!$B$3:$C$8,2,0)</f>
        <v>#N/A</v>
      </c>
      <c r="K33" s="93">
        <f>IF(ISNA(J33),0,VLOOKUP(G33,'Modell-Kalibrierung'!$B$16:$C$22,2,FALSE)*VLOOKUP(H33,'Modell-Kalibrierung'!$B$3:$C$8,2,0)+VLOOKUP(I33,'Modell-Kalibrierung'!$B$16:$C$22,2,0)*'STEP-Analyse Brasilien'!J33)</f>
        <v>0</v>
      </c>
      <c r="L33" s="6"/>
      <c r="M33" s="54">
        <v>1</v>
      </c>
    </row>
    <row r="34" spans="1:13" ht="20.25" x14ac:dyDescent="0.2">
      <c r="A34" s="137"/>
      <c r="B34" s="139"/>
      <c r="C34" s="10"/>
      <c r="D34" s="10"/>
      <c r="E34" s="6"/>
      <c r="F34" s="10"/>
      <c r="G34" s="8"/>
      <c r="H34" s="9"/>
      <c r="I34" s="8"/>
      <c r="J34" s="1" t="e">
        <f>1-VLOOKUP(H34,'Modell-Kalibrierung'!$B$3:$C$8,2,0)</f>
        <v>#N/A</v>
      </c>
      <c r="K34" s="93">
        <f>IF(ISNA(J34),0,VLOOKUP(G34,'Modell-Kalibrierung'!$B$16:$C$22,2,FALSE)*VLOOKUP(H34,'Modell-Kalibrierung'!$B$3:$C$8,2,0)+VLOOKUP(I34,'Modell-Kalibrierung'!$B$16:$C$22,2,0)*'STEP-Analyse Brasilien'!J34)</f>
        <v>0</v>
      </c>
      <c r="L34" s="6"/>
      <c r="M34" s="54">
        <v>1</v>
      </c>
    </row>
    <row r="35" spans="1:13" ht="20.25" x14ac:dyDescent="0.2">
      <c r="A35" s="137"/>
      <c r="B35" s="139"/>
      <c r="C35" s="10"/>
      <c r="D35" s="10"/>
      <c r="E35" s="6"/>
      <c r="F35" s="10"/>
      <c r="G35" s="8"/>
      <c r="H35" s="9"/>
      <c r="I35" s="8"/>
      <c r="J35" s="1" t="e">
        <f>1-VLOOKUP(H35,'Modell-Kalibrierung'!$B$3:$C$8,2,0)</f>
        <v>#N/A</v>
      </c>
      <c r="K35" s="93">
        <f>IF(ISNA(J35),0,VLOOKUP(G35,'Modell-Kalibrierung'!$B$16:$C$22,2,FALSE)*VLOOKUP(H35,'Modell-Kalibrierung'!$B$3:$C$8,2,0)+VLOOKUP(I35,'Modell-Kalibrierung'!$B$16:$C$22,2,0)*'STEP-Analyse Brasilien'!J35)</f>
        <v>0</v>
      </c>
      <c r="L35" s="6"/>
      <c r="M35" s="54">
        <v>1</v>
      </c>
    </row>
    <row r="36" spans="1:13" ht="29.25" customHeight="1" x14ac:dyDescent="0.2">
      <c r="A36" s="137"/>
      <c r="B36" s="139"/>
      <c r="C36" s="24"/>
      <c r="D36" s="10"/>
      <c r="E36" s="6"/>
      <c r="F36" s="10"/>
      <c r="G36" s="8"/>
      <c r="H36" s="9"/>
      <c r="I36" s="8"/>
      <c r="J36" s="1" t="e">
        <f>1-VLOOKUP(H36,'Modell-Kalibrierung'!$B$3:$C$8,2,0)</f>
        <v>#N/A</v>
      </c>
      <c r="K36" s="93">
        <f>IF(ISNA(J36),0,VLOOKUP(G36,'Modell-Kalibrierung'!$B$16:$C$22,2,FALSE)*VLOOKUP(H36,'Modell-Kalibrierung'!$B$3:$C$8,2,0)+VLOOKUP(I36,'Modell-Kalibrierung'!$B$16:$C$22,2,0)*'STEP-Analyse Brasilien'!J36)</f>
        <v>0</v>
      </c>
      <c r="L36" s="6"/>
      <c r="M36" s="54">
        <v>1</v>
      </c>
    </row>
    <row r="37" spans="1:13" ht="30" customHeight="1" thickBot="1" x14ac:dyDescent="0.25">
      <c r="A37" s="137"/>
      <c r="B37" s="139"/>
      <c r="C37" s="10"/>
      <c r="D37" s="10"/>
      <c r="E37" s="6"/>
      <c r="F37" s="10"/>
      <c r="G37" s="8"/>
      <c r="H37" s="9"/>
      <c r="I37" s="8"/>
      <c r="J37" s="1" t="e">
        <f>1-VLOOKUP(H37,'Modell-Kalibrierung'!$B$3:$C$8,2,0)</f>
        <v>#N/A</v>
      </c>
      <c r="K37" s="93">
        <f>IF(ISNA(J37),0,VLOOKUP(G37,'Modell-Kalibrierung'!$B$16:$C$22,2,FALSE)*VLOOKUP(H37,'Modell-Kalibrierung'!$B$3:$C$8,2,0)+VLOOKUP(I37,'Modell-Kalibrierung'!$B$16:$C$22,2,0)*'STEP-Analyse Brasilien'!J37)</f>
        <v>0</v>
      </c>
      <c r="L37" s="14"/>
      <c r="M37" s="54">
        <v>1</v>
      </c>
    </row>
    <row r="38" spans="1:13" ht="36" thickBot="1" x14ac:dyDescent="0.25">
      <c r="A38" s="137"/>
      <c r="B38" s="139"/>
      <c r="C38" s="125" t="str">
        <f>B33</f>
        <v xml:space="preserve">Gesetzgebung </v>
      </c>
      <c r="D38" s="126"/>
      <c r="E38" s="126"/>
      <c r="F38" s="126"/>
      <c r="G38" s="127"/>
      <c r="H38" s="127"/>
      <c r="I38" s="127"/>
      <c r="J38" s="128"/>
      <c r="K38" s="3">
        <f>SUM(K33:K37)</f>
        <v>0</v>
      </c>
      <c r="L38" s="16" t="str">
        <f>IF(K38=0,"0% Anteil am Gesamtprojektrisiko",(K38/$K$123))</f>
        <v>0% Anteil am Gesamtprojektrisiko</v>
      </c>
    </row>
    <row r="39" spans="1:13" ht="20.25" x14ac:dyDescent="0.2">
      <c r="A39" s="137"/>
      <c r="B39" s="141" t="s">
        <v>24</v>
      </c>
      <c r="C39" s="11"/>
      <c r="D39" s="11"/>
      <c r="E39" s="6"/>
      <c r="F39" s="10"/>
      <c r="G39" s="8"/>
      <c r="H39" s="9"/>
      <c r="I39" s="8"/>
      <c r="J39" s="12" t="e">
        <f>1-VLOOKUP(H39,'Modell-Kalibrierung'!$B$3:$C$8,2,0)</f>
        <v>#N/A</v>
      </c>
      <c r="K39" s="93">
        <f>IF(ISNA(J39),0,VLOOKUP(G39,'Modell-Kalibrierung'!$B$16:$C$22,2,FALSE)*VLOOKUP(H39,'Modell-Kalibrierung'!$B$3:$C$8,2,0)+VLOOKUP(I39,'Modell-Kalibrierung'!$B$16:$C$22,2,0)*'STEP-Analyse Brasilien'!J39)</f>
        <v>0</v>
      </c>
      <c r="L39" s="6"/>
    </row>
    <row r="40" spans="1:13" ht="20.25" x14ac:dyDescent="0.2">
      <c r="A40" s="137"/>
      <c r="B40" s="139"/>
      <c r="C40" s="11"/>
      <c r="D40" s="11"/>
      <c r="E40" s="6"/>
      <c r="F40" s="10"/>
      <c r="G40" s="8"/>
      <c r="H40" s="9"/>
      <c r="I40" s="8"/>
      <c r="J40" s="12" t="e">
        <f>1-VLOOKUP(H40,'Modell-Kalibrierung'!$B$3:$C$8,2,0)</f>
        <v>#N/A</v>
      </c>
      <c r="K40" s="93">
        <f>IF(ISNA(J40),0,VLOOKUP(G40,'Modell-Kalibrierung'!$B$16:$C$22,2,FALSE)*VLOOKUP(H40,'Modell-Kalibrierung'!$B$3:$C$8,2,0)+VLOOKUP(I40,'Modell-Kalibrierung'!$B$16:$C$22,2,0)*'STEP-Analyse Brasilien'!J40)</f>
        <v>0</v>
      </c>
      <c r="L40" s="6"/>
    </row>
    <row r="41" spans="1:13" ht="20.25" x14ac:dyDescent="0.2">
      <c r="A41" s="137"/>
      <c r="B41" s="139"/>
      <c r="C41" s="11"/>
      <c r="D41" s="11"/>
      <c r="E41" s="6"/>
      <c r="F41" s="10"/>
      <c r="G41" s="8"/>
      <c r="H41" s="9"/>
      <c r="I41" s="8"/>
      <c r="J41" s="12" t="e">
        <f>1-VLOOKUP(H41,'Modell-Kalibrierung'!$B$3:$C$8,2,0)</f>
        <v>#N/A</v>
      </c>
      <c r="K41" s="93">
        <f>IF(ISNA(J41),0,VLOOKUP(G41,'Modell-Kalibrierung'!$B$16:$C$22,2,FALSE)*VLOOKUP(H41,'Modell-Kalibrierung'!$B$3:$C$8,2,0)+VLOOKUP(I41,'Modell-Kalibrierung'!$B$16:$C$22,2,0)*'STEP-Analyse Brasilien'!J41)</f>
        <v>0</v>
      </c>
      <c r="L41" s="6"/>
    </row>
    <row r="42" spans="1:13" ht="20.25" x14ac:dyDescent="0.2">
      <c r="A42" s="137"/>
      <c r="B42" s="139"/>
      <c r="C42" s="11"/>
      <c r="D42" s="11"/>
      <c r="E42" s="6"/>
      <c r="F42" s="10"/>
      <c r="G42" s="8"/>
      <c r="H42" s="9"/>
      <c r="I42" s="8"/>
      <c r="J42" s="12" t="e">
        <f>1-VLOOKUP(H42,'Modell-Kalibrierung'!$B$3:$C$8,2,0)</f>
        <v>#N/A</v>
      </c>
      <c r="K42" s="93">
        <f>IF(ISNA(J42),0,VLOOKUP(G42,'Modell-Kalibrierung'!$B$16:$C$22,2,FALSE)*VLOOKUP(H42,'Modell-Kalibrierung'!$B$3:$C$8,2,0)+VLOOKUP(I42,'Modell-Kalibrierung'!$B$16:$C$22,2,0)*'STEP-Analyse Brasilien'!J42)</f>
        <v>0</v>
      </c>
      <c r="L42" s="6"/>
    </row>
    <row r="43" spans="1:13" ht="21" thickBot="1" x14ac:dyDescent="0.25">
      <c r="A43" s="137"/>
      <c r="B43" s="139"/>
      <c r="C43" s="11"/>
      <c r="D43" s="11"/>
      <c r="E43" s="6"/>
      <c r="F43" s="10"/>
      <c r="G43" s="8"/>
      <c r="H43" s="9"/>
      <c r="I43" s="8"/>
      <c r="J43" s="12" t="e">
        <f>1-VLOOKUP(H43,'Modell-Kalibrierung'!$B$3:$C$8,2,0)</f>
        <v>#N/A</v>
      </c>
      <c r="K43" s="93">
        <f>IF(ISNA(J43),0,VLOOKUP(G43,'Modell-Kalibrierung'!$B$16:$C$22,2,FALSE)*VLOOKUP(H43,'Modell-Kalibrierung'!$B$3:$C$8,2,0)+VLOOKUP(I43,'Modell-Kalibrierung'!$B$16:$C$22,2,0)*'STEP-Analyse Brasilien'!J43)</f>
        <v>0</v>
      </c>
      <c r="L43" s="6"/>
    </row>
    <row r="44" spans="1:13" ht="36" customHeight="1" thickBot="1" x14ac:dyDescent="0.25">
      <c r="A44" s="137"/>
      <c r="B44" s="140"/>
      <c r="C44" s="125" t="str">
        <f>B39</f>
        <v>politische Stabilität/ Rechtssicherheit</v>
      </c>
      <c r="D44" s="126"/>
      <c r="E44" s="126"/>
      <c r="F44" s="126"/>
      <c r="G44" s="127"/>
      <c r="H44" s="127"/>
      <c r="I44" s="127"/>
      <c r="J44" s="128"/>
      <c r="K44" s="3">
        <f>SUM(K39:K43)</f>
        <v>0</v>
      </c>
      <c r="L44" s="16" t="str">
        <f>IF(K44=0,"0% Anteil am Gesamtprojektrisiko",(K44/$K$123))</f>
        <v>0% Anteil am Gesamtprojektrisiko</v>
      </c>
    </row>
    <row r="45" spans="1:13" ht="20.25" x14ac:dyDescent="0.2">
      <c r="A45" s="137"/>
      <c r="B45" s="129" t="s">
        <v>25</v>
      </c>
      <c r="C45" s="11"/>
      <c r="D45" s="11"/>
      <c r="E45" s="6"/>
      <c r="F45" s="10"/>
      <c r="G45" s="8"/>
      <c r="H45" s="9"/>
      <c r="I45" s="8"/>
      <c r="J45" s="1" t="e">
        <f>1-VLOOKUP(H45,'Modell-Kalibrierung'!$B$3:$C$8,2,0)</f>
        <v>#N/A</v>
      </c>
      <c r="K45" s="93">
        <f>IF(ISNA(J45),0,VLOOKUP(G45,'Modell-Kalibrierung'!$B$16:$C$22,2,FALSE)*VLOOKUP(H45,'Modell-Kalibrierung'!$B$3:$C$8,2,0)+VLOOKUP(I45,'Modell-Kalibrierung'!$B$16:$C$22,2,0)*'STEP-Analyse Brasilien'!J45)</f>
        <v>0</v>
      </c>
      <c r="L45" s="6"/>
    </row>
    <row r="46" spans="1:13" ht="20.25" x14ac:dyDescent="0.2">
      <c r="A46" s="151"/>
      <c r="B46" s="130"/>
      <c r="C46" s="11"/>
      <c r="D46" s="11"/>
      <c r="E46" s="6"/>
      <c r="F46" s="10"/>
      <c r="G46" s="8"/>
      <c r="H46" s="9"/>
      <c r="I46" s="8"/>
      <c r="J46" s="1" t="e">
        <f>1-VLOOKUP(H46,'Modell-Kalibrierung'!$B$3:$C$8,2,0)</f>
        <v>#N/A</v>
      </c>
      <c r="K46" s="93">
        <f>IF(ISNA(J46),0,VLOOKUP(G46,'Modell-Kalibrierung'!$B$16:$C$22,2,FALSE)*VLOOKUP(H46,'Modell-Kalibrierung'!$B$3:$C$8,2,0)+VLOOKUP(I46,'Modell-Kalibrierung'!$B$16:$C$22,2,0)*'STEP-Analyse Brasilien'!J46)</f>
        <v>0</v>
      </c>
      <c r="L46" s="6"/>
    </row>
    <row r="47" spans="1:13" ht="20.25" x14ac:dyDescent="0.2">
      <c r="A47" s="151"/>
      <c r="B47" s="130"/>
      <c r="C47" s="11"/>
      <c r="D47" s="11"/>
      <c r="E47" s="6"/>
      <c r="F47" s="10"/>
      <c r="G47" s="8"/>
      <c r="H47" s="9"/>
      <c r="I47" s="8"/>
      <c r="J47" s="1" t="e">
        <f>1-VLOOKUP(H47,'Modell-Kalibrierung'!$B$3:$C$8,2,0)</f>
        <v>#N/A</v>
      </c>
      <c r="K47" s="93">
        <f>IF(ISNA(J47),0,VLOOKUP(G47,'Modell-Kalibrierung'!$B$16:$C$22,2,FALSE)*VLOOKUP(H47,'Modell-Kalibrierung'!$B$3:$C$8,2,0)+VLOOKUP(I47,'Modell-Kalibrierung'!$B$16:$C$22,2,0)*'STEP-Analyse Brasilien'!J47)</f>
        <v>0</v>
      </c>
      <c r="L47" s="6"/>
    </row>
    <row r="48" spans="1:13" ht="20.25" x14ac:dyDescent="0.2">
      <c r="A48" s="151"/>
      <c r="B48" s="130"/>
      <c r="C48" s="11"/>
      <c r="D48" s="11"/>
      <c r="E48" s="6"/>
      <c r="F48" s="10"/>
      <c r="G48" s="8"/>
      <c r="H48" s="9"/>
      <c r="I48" s="8"/>
      <c r="J48" s="1" t="e">
        <f>1-VLOOKUP(H48,'Modell-Kalibrierung'!$B$3:$C$8,2,0)</f>
        <v>#N/A</v>
      </c>
      <c r="K48" s="93">
        <f>IF(ISNA(J48),0,VLOOKUP(G48,'Modell-Kalibrierung'!$B$16:$C$22,2,FALSE)*VLOOKUP(H48,'Modell-Kalibrierung'!$B$3:$C$8,2,0)+VLOOKUP(I48,'Modell-Kalibrierung'!$B$16:$C$22,2,0)*'STEP-Analyse Brasilien'!J48)</f>
        <v>0</v>
      </c>
      <c r="L48" s="6"/>
    </row>
    <row r="49" spans="1:12" ht="21" thickBot="1" x14ac:dyDescent="0.25">
      <c r="A49" s="151"/>
      <c r="B49" s="130"/>
      <c r="C49" s="11"/>
      <c r="D49" s="11"/>
      <c r="E49" s="6"/>
      <c r="F49" s="10"/>
      <c r="G49" s="8"/>
      <c r="H49" s="9"/>
      <c r="I49" s="8"/>
      <c r="J49" s="1" t="e">
        <f>1-VLOOKUP(H49,'Modell-Kalibrierung'!$B$3:$C$8,2,0)</f>
        <v>#N/A</v>
      </c>
      <c r="K49" s="93">
        <f>IF(ISNA(J49),0,VLOOKUP(G49,'Modell-Kalibrierung'!$B$16:$C$22,2,FALSE)*VLOOKUP(H49,'Modell-Kalibrierung'!$B$3:$C$8,2,0)+VLOOKUP(I49,'Modell-Kalibrierung'!$B$16:$C$22,2,0)*'STEP-Analyse Brasilien'!J49)</f>
        <v>0</v>
      </c>
      <c r="L49" s="6"/>
    </row>
    <row r="50" spans="1:12" ht="36" customHeight="1" thickBot="1" x14ac:dyDescent="0.25">
      <c r="A50" s="138"/>
      <c r="B50" s="131"/>
      <c r="C50" s="132" t="str">
        <f>B45</f>
        <v xml:space="preserve">Handelshemmnisse (Zölle/ Schranken/ regolatorische Hemmnisse ...) </v>
      </c>
      <c r="D50" s="133"/>
      <c r="E50" s="133"/>
      <c r="F50" s="133"/>
      <c r="G50" s="134"/>
      <c r="H50" s="134"/>
      <c r="I50" s="134"/>
      <c r="J50" s="135"/>
      <c r="K50" s="3">
        <f>SUM(K45:K49)</f>
        <v>0</v>
      </c>
      <c r="L50" s="16" t="str">
        <f>IF(K50=0,"0% Anteil am Gesamtprojektrisiko",(K50/$K$123))</f>
        <v>0% Anteil am Gesamtprojektrisiko</v>
      </c>
    </row>
    <row r="51" spans="1:12" ht="20.25" x14ac:dyDescent="0.2">
      <c r="A51" s="136" t="s">
        <v>3</v>
      </c>
      <c r="B51" s="139" t="s">
        <v>26</v>
      </c>
      <c r="C51" s="7"/>
      <c r="D51" s="7"/>
      <c r="E51" s="6"/>
      <c r="F51" s="6"/>
      <c r="G51" s="8"/>
      <c r="H51" s="9"/>
      <c r="I51" s="8"/>
      <c r="J51" s="1" t="e">
        <f>1-VLOOKUP(H51,'Modell-Kalibrierung'!$B$3:$C$8,2,0)</f>
        <v>#N/A</v>
      </c>
      <c r="K51" s="93">
        <f>IF(ISNA(J51),0,VLOOKUP(G51,'Modell-Kalibrierung'!$B$16:$C$22,2,FALSE)*VLOOKUP(H51,'Modell-Kalibrierung'!$B$3:$C$8,2,0)+VLOOKUP(I51,'Modell-Kalibrierung'!$B$16:$C$22,2,0)*'STEP-Analyse Brasilien'!J51)</f>
        <v>0</v>
      </c>
      <c r="L51" s="6"/>
    </row>
    <row r="52" spans="1:12" ht="20.25" x14ac:dyDescent="0.2">
      <c r="A52" s="137"/>
      <c r="B52" s="139"/>
      <c r="C52" s="11"/>
      <c r="D52" s="11"/>
      <c r="E52" s="6"/>
      <c r="F52" s="10"/>
      <c r="G52" s="8"/>
      <c r="H52" s="9"/>
      <c r="I52" s="8"/>
      <c r="J52" s="1" t="e">
        <f>1-VLOOKUP(H52,'Modell-Kalibrierung'!$B$3:$C$8,2,0)</f>
        <v>#N/A</v>
      </c>
      <c r="K52" s="93">
        <f>IF(ISNA(J52),0,VLOOKUP(G52,'Modell-Kalibrierung'!$B$16:$C$22,2,FALSE)*VLOOKUP(H52,'Modell-Kalibrierung'!$B$3:$C$8,2,0)+VLOOKUP(I52,'Modell-Kalibrierung'!$B$16:$C$22,2,0)*'STEP-Analyse Brasilien'!J52)</f>
        <v>0</v>
      </c>
      <c r="L52" s="6"/>
    </row>
    <row r="53" spans="1:12" ht="20.25" x14ac:dyDescent="0.2">
      <c r="A53" s="137"/>
      <c r="B53" s="139"/>
      <c r="C53" s="11"/>
      <c r="D53" s="11"/>
      <c r="E53" s="6"/>
      <c r="F53" s="10"/>
      <c r="G53" s="8"/>
      <c r="H53" s="9"/>
      <c r="I53" s="8"/>
      <c r="J53" s="1" t="e">
        <f>1-VLOOKUP(H53,'Modell-Kalibrierung'!$B$3:$C$8,2,0)</f>
        <v>#N/A</v>
      </c>
      <c r="K53" s="93">
        <f>IF(ISNA(J53),0,VLOOKUP(G53,'Modell-Kalibrierung'!$B$16:$C$22,2,FALSE)*VLOOKUP(H53,'Modell-Kalibrierung'!$B$3:$C$8,2,0)+VLOOKUP(I53,'Modell-Kalibrierung'!$B$16:$C$22,2,0)*'STEP-Analyse Brasilien'!J53)</f>
        <v>0</v>
      </c>
      <c r="L53" s="6"/>
    </row>
    <row r="54" spans="1:12" ht="20.25" x14ac:dyDescent="0.2">
      <c r="A54" s="137"/>
      <c r="B54" s="139"/>
      <c r="C54" s="11"/>
      <c r="D54" s="11"/>
      <c r="E54" s="6"/>
      <c r="F54" s="10"/>
      <c r="G54" s="8"/>
      <c r="H54" s="9"/>
      <c r="I54" s="8"/>
      <c r="J54" s="1" t="e">
        <f>1-VLOOKUP(H54,'Modell-Kalibrierung'!$B$3:$C$8,2,0)</f>
        <v>#N/A</v>
      </c>
      <c r="K54" s="93">
        <f>IF(ISNA(J54),0,VLOOKUP(G54,'Modell-Kalibrierung'!$B$16:$C$22,2,FALSE)*VLOOKUP(H54,'Modell-Kalibrierung'!$B$3:$C$8,2,0)+VLOOKUP(I54,'Modell-Kalibrierung'!$B$16:$C$22,2,0)*'STEP-Analyse Brasilien'!J54)</f>
        <v>0</v>
      </c>
      <c r="L54" s="6"/>
    </row>
    <row r="55" spans="1:12" ht="21" thickBot="1" x14ac:dyDescent="0.25">
      <c r="A55" s="137"/>
      <c r="B55" s="139"/>
      <c r="C55" s="11"/>
      <c r="D55" s="11"/>
      <c r="E55" s="6"/>
      <c r="F55" s="10"/>
      <c r="G55" s="8"/>
      <c r="H55" s="9"/>
      <c r="I55" s="8"/>
      <c r="J55" s="1" t="e">
        <f>1-VLOOKUP(H55,'Modell-Kalibrierung'!$B$3:$C$8,2,0)</f>
        <v>#N/A</v>
      </c>
      <c r="K55" s="93">
        <f>IF(ISNA(J55),0,VLOOKUP(G55,'Modell-Kalibrierung'!$B$16:$C$22,2,FALSE)*VLOOKUP(H55,'Modell-Kalibrierung'!$B$3:$C$8,2,0)+VLOOKUP(I55,'Modell-Kalibrierung'!$B$16:$C$22,2,0)*'STEP-Analyse Brasilien'!J55)</f>
        <v>0</v>
      </c>
      <c r="L55" s="6"/>
    </row>
    <row r="56" spans="1:12" ht="36" customHeight="1" thickBot="1" x14ac:dyDescent="0.25">
      <c r="A56" s="137"/>
      <c r="B56" s="140"/>
      <c r="C56" s="125" t="str">
        <f>B51</f>
        <v xml:space="preserve">Wirtschaftswachstum </v>
      </c>
      <c r="D56" s="126"/>
      <c r="E56" s="126"/>
      <c r="F56" s="126"/>
      <c r="G56" s="127"/>
      <c r="H56" s="127"/>
      <c r="I56" s="127"/>
      <c r="J56" s="128"/>
      <c r="K56" s="3">
        <f>SUM(K51:K55)</f>
        <v>0</v>
      </c>
      <c r="L56" s="16" t="str">
        <f>IF(K56=0,"0% Anteil am Gesamtprojektrisiko",(K56/$K$123))</f>
        <v>0% Anteil am Gesamtprojektrisiko</v>
      </c>
    </row>
    <row r="57" spans="1:12" ht="20.25" x14ac:dyDescent="0.2">
      <c r="A57" s="137"/>
      <c r="B57" s="141" t="s">
        <v>27</v>
      </c>
      <c r="C57" s="7"/>
      <c r="D57" s="7"/>
      <c r="E57" s="6"/>
      <c r="F57" s="6"/>
      <c r="G57" s="8"/>
      <c r="H57" s="9"/>
      <c r="I57" s="8"/>
      <c r="J57" s="1" t="e">
        <f>1-VLOOKUP(H57,'Modell-Kalibrierung'!$B$3:$C$8,2,0)</f>
        <v>#N/A</v>
      </c>
      <c r="K57" s="93">
        <f>IF(ISNA(J57),0,VLOOKUP(G57,'Modell-Kalibrierung'!$B$16:$C$22,2,FALSE)*VLOOKUP(H57,'Modell-Kalibrierung'!$B$3:$C$8,2,0)+VLOOKUP(I57,'Modell-Kalibrierung'!$B$16:$C$22,2,0)*'STEP-Analyse Brasilien'!J57)</f>
        <v>0</v>
      </c>
      <c r="L57" s="6"/>
    </row>
    <row r="58" spans="1:12" ht="20.25" x14ac:dyDescent="0.2">
      <c r="A58" s="137"/>
      <c r="B58" s="139"/>
      <c r="C58" s="11"/>
      <c r="D58" s="11"/>
      <c r="E58" s="6"/>
      <c r="F58" s="10"/>
      <c r="G58" s="8"/>
      <c r="H58" s="9"/>
      <c r="I58" s="8"/>
      <c r="J58" s="1" t="e">
        <f>1-VLOOKUP(H58,'Modell-Kalibrierung'!$B$3:$C$8,2,0)</f>
        <v>#N/A</v>
      </c>
      <c r="K58" s="93">
        <f>IF(ISNA(J58),0,VLOOKUP(G58,'Modell-Kalibrierung'!$B$16:$C$22,2,FALSE)*VLOOKUP(H58,'Modell-Kalibrierung'!$B$3:$C$8,2,0)+VLOOKUP(I58,'Modell-Kalibrierung'!$B$16:$C$22,2,0)*'STEP-Analyse Brasilien'!J58)</f>
        <v>0</v>
      </c>
      <c r="L58" s="6"/>
    </row>
    <row r="59" spans="1:12" ht="20.25" x14ac:dyDescent="0.2">
      <c r="A59" s="137"/>
      <c r="B59" s="139"/>
      <c r="C59" s="11"/>
      <c r="D59" s="11"/>
      <c r="E59" s="6"/>
      <c r="F59" s="10"/>
      <c r="G59" s="8"/>
      <c r="H59" s="9"/>
      <c r="I59" s="8"/>
      <c r="J59" s="1" t="e">
        <f>1-VLOOKUP(H59,'Modell-Kalibrierung'!$B$3:$C$8,2,0)</f>
        <v>#N/A</v>
      </c>
      <c r="K59" s="93">
        <f>IF(ISNA(J59),0,VLOOKUP(G59,'Modell-Kalibrierung'!$B$16:$C$22,2,FALSE)*VLOOKUP(H59,'Modell-Kalibrierung'!$B$3:$C$8,2,0)+VLOOKUP(I59,'Modell-Kalibrierung'!$B$16:$C$22,2,0)*'STEP-Analyse Brasilien'!J59)</f>
        <v>0</v>
      </c>
      <c r="L59" s="6"/>
    </row>
    <row r="60" spans="1:12" ht="20.25" x14ac:dyDescent="0.2">
      <c r="A60" s="137"/>
      <c r="B60" s="139"/>
      <c r="C60" s="11"/>
      <c r="D60" s="11"/>
      <c r="E60" s="6"/>
      <c r="F60" s="10"/>
      <c r="G60" s="8"/>
      <c r="H60" s="9"/>
      <c r="I60" s="8"/>
      <c r="J60" s="1" t="e">
        <f>1-VLOOKUP(H60,'Modell-Kalibrierung'!$B$3:$C$8,2,0)</f>
        <v>#N/A</v>
      </c>
      <c r="K60" s="93">
        <f>IF(ISNA(J60),0,VLOOKUP(G60,'Modell-Kalibrierung'!$B$16:$C$22,2,FALSE)*VLOOKUP(H60,'Modell-Kalibrierung'!$B$3:$C$8,2,0)+VLOOKUP(I60,'Modell-Kalibrierung'!$B$16:$C$22,2,0)*'STEP-Analyse Brasilien'!J60)</f>
        <v>0</v>
      </c>
      <c r="L60" s="6"/>
    </row>
    <row r="61" spans="1:12" ht="21" thickBot="1" x14ac:dyDescent="0.25">
      <c r="A61" s="137"/>
      <c r="B61" s="139"/>
      <c r="C61" s="11"/>
      <c r="D61" s="11"/>
      <c r="E61" s="6"/>
      <c r="F61" s="10"/>
      <c r="G61" s="8"/>
      <c r="H61" s="9"/>
      <c r="I61" s="8"/>
      <c r="J61" s="1" t="e">
        <f>1-VLOOKUP(H61,'Modell-Kalibrierung'!$B$3:$C$8,2,0)</f>
        <v>#N/A</v>
      </c>
      <c r="K61" s="93">
        <f>IF(ISNA(J61),0,VLOOKUP(G61,'Modell-Kalibrierung'!$B$16:$C$22,2,FALSE)*VLOOKUP(H61,'Modell-Kalibrierung'!$B$3:$C$8,2,0)+VLOOKUP(I61,'Modell-Kalibrierung'!$B$16:$C$22,2,0)*'STEP-Analyse Brasilien'!J61)</f>
        <v>0</v>
      </c>
      <c r="L61" s="6"/>
    </row>
    <row r="62" spans="1:12" ht="36" customHeight="1" thickBot="1" x14ac:dyDescent="0.25">
      <c r="A62" s="137"/>
      <c r="B62" s="140"/>
      <c r="C62" s="125" t="str">
        <f>B57</f>
        <v xml:space="preserve">Inflation, Zinsen, Wechselkurse </v>
      </c>
      <c r="D62" s="126"/>
      <c r="E62" s="126"/>
      <c r="F62" s="126"/>
      <c r="G62" s="127"/>
      <c r="H62" s="127"/>
      <c r="I62" s="127"/>
      <c r="J62" s="128"/>
      <c r="K62" s="3">
        <f>SUM(K57:K61)</f>
        <v>0</v>
      </c>
      <c r="L62" s="16" t="str">
        <f>IF(K62=0,"0% Anteil am Gesamtprojektrisiko",(K62/$K$123))</f>
        <v>0% Anteil am Gesamtprojektrisiko</v>
      </c>
    </row>
    <row r="63" spans="1:12" ht="20.25" x14ac:dyDescent="0.2">
      <c r="A63" s="137"/>
      <c r="B63" s="141" t="s">
        <v>28</v>
      </c>
      <c r="C63" s="7"/>
      <c r="D63" s="7"/>
      <c r="E63" s="6"/>
      <c r="F63" s="6"/>
      <c r="G63" s="8"/>
      <c r="H63" s="9"/>
      <c r="I63" s="8"/>
      <c r="J63" s="1" t="e">
        <f>1-VLOOKUP(H63,'Modell-Kalibrierung'!$B$3:$C$8,2,0)</f>
        <v>#N/A</v>
      </c>
      <c r="K63" s="93">
        <f>IF(ISNA(J63),0,VLOOKUP(G63,'Modell-Kalibrierung'!$B$16:$C$22,2,FALSE)*VLOOKUP(H63,'Modell-Kalibrierung'!$B$3:$C$8,2,0)+VLOOKUP(I63,'Modell-Kalibrierung'!$B$16:$C$22,2,0)*'STEP-Analyse Brasilien'!J63)</f>
        <v>0</v>
      </c>
      <c r="L63" s="6"/>
    </row>
    <row r="64" spans="1:12" ht="20.25" x14ac:dyDescent="0.2">
      <c r="A64" s="137"/>
      <c r="B64" s="139"/>
      <c r="C64" s="11"/>
      <c r="D64" s="11"/>
      <c r="E64" s="6"/>
      <c r="F64" s="10"/>
      <c r="G64" s="8"/>
      <c r="H64" s="9"/>
      <c r="I64" s="8"/>
      <c r="J64" s="1" t="e">
        <f>1-VLOOKUP(H64,'Modell-Kalibrierung'!$B$3:$C$8,2,0)</f>
        <v>#N/A</v>
      </c>
      <c r="K64" s="93">
        <f>IF(ISNA(J64),0,VLOOKUP(G64,'Modell-Kalibrierung'!$B$16:$C$22,2,FALSE)*VLOOKUP(H64,'Modell-Kalibrierung'!$B$3:$C$8,2,0)+VLOOKUP(I64,'Modell-Kalibrierung'!$B$16:$C$22,2,0)*'STEP-Analyse Brasilien'!J64)</f>
        <v>0</v>
      </c>
      <c r="L64" s="6"/>
    </row>
    <row r="65" spans="1:12" ht="20.25" x14ac:dyDescent="0.2">
      <c r="A65" s="137"/>
      <c r="B65" s="139"/>
      <c r="C65" s="11"/>
      <c r="D65" s="11"/>
      <c r="E65" s="6"/>
      <c r="F65" s="10"/>
      <c r="G65" s="8"/>
      <c r="H65" s="9"/>
      <c r="I65" s="8"/>
      <c r="J65" s="1" t="e">
        <f>1-VLOOKUP(H65,'Modell-Kalibrierung'!$B$3:$C$8,2,0)</f>
        <v>#N/A</v>
      </c>
      <c r="K65" s="93">
        <f>IF(ISNA(J65),0,VLOOKUP(G65,'Modell-Kalibrierung'!$B$16:$C$22,2,FALSE)*VLOOKUP(H65,'Modell-Kalibrierung'!$B$3:$C$8,2,0)+VLOOKUP(I65,'Modell-Kalibrierung'!$B$16:$C$22,2,0)*'STEP-Analyse Brasilien'!J65)</f>
        <v>0</v>
      </c>
      <c r="L65" s="6"/>
    </row>
    <row r="66" spans="1:12" ht="20.25" x14ac:dyDescent="0.2">
      <c r="A66" s="137"/>
      <c r="B66" s="139"/>
      <c r="C66" s="11"/>
      <c r="D66" s="11"/>
      <c r="E66" s="6"/>
      <c r="F66" s="10"/>
      <c r="G66" s="8"/>
      <c r="H66" s="9"/>
      <c r="I66" s="8"/>
      <c r="J66" s="1" t="e">
        <f>1-VLOOKUP(H66,'Modell-Kalibrierung'!$B$3:$C$8,2,0)</f>
        <v>#N/A</v>
      </c>
      <c r="K66" s="93">
        <f>IF(ISNA(J66),0,VLOOKUP(G66,'Modell-Kalibrierung'!$B$16:$C$22,2,FALSE)*VLOOKUP(H66,'Modell-Kalibrierung'!$B$3:$C$8,2,0)+VLOOKUP(I66,'Modell-Kalibrierung'!$B$16:$C$22,2,0)*'STEP-Analyse Brasilien'!J66)</f>
        <v>0</v>
      </c>
      <c r="L66" s="6"/>
    </row>
    <row r="67" spans="1:12" ht="21" thickBot="1" x14ac:dyDescent="0.25">
      <c r="A67" s="137"/>
      <c r="B67" s="139"/>
      <c r="C67" s="11"/>
      <c r="D67" s="11"/>
      <c r="E67" s="6"/>
      <c r="F67" s="10"/>
      <c r="G67" s="8"/>
      <c r="H67" s="9"/>
      <c r="I67" s="8"/>
      <c r="J67" s="1" t="e">
        <f>1-VLOOKUP(H67,'Modell-Kalibrierung'!$B$3:$C$8,2,0)</f>
        <v>#N/A</v>
      </c>
      <c r="K67" s="93">
        <f>IF(ISNA(J67),0,VLOOKUP(G67,'Modell-Kalibrierung'!$B$16:$C$22,2,FALSE)*VLOOKUP(H67,'Modell-Kalibrierung'!$B$3:$C$8,2,0)+VLOOKUP(I67,'Modell-Kalibrierung'!$B$16:$C$22,2,0)*'STEP-Analyse Brasilien'!J67)</f>
        <v>0</v>
      </c>
      <c r="L67" s="6"/>
    </row>
    <row r="68" spans="1:12" ht="36" customHeight="1" thickBot="1" x14ac:dyDescent="0.25">
      <c r="A68" s="137"/>
      <c r="B68" s="140"/>
      <c r="C68" s="125" t="str">
        <f>B63</f>
        <v xml:space="preserve">Arbeitsmarkt (Quantität/ Qualität ...) </v>
      </c>
      <c r="D68" s="126"/>
      <c r="E68" s="126"/>
      <c r="F68" s="126"/>
      <c r="G68" s="127"/>
      <c r="H68" s="127"/>
      <c r="I68" s="127"/>
      <c r="J68" s="128"/>
      <c r="K68" s="3">
        <f>SUM(K63:K67)</f>
        <v>0</v>
      </c>
      <c r="L68" s="16" t="str">
        <f>IF(K68=0,"0% Anteil am Gesamtprojektrisiko",(K68/$K$123))</f>
        <v>0% Anteil am Gesamtprojektrisiko</v>
      </c>
    </row>
    <row r="69" spans="1:12" ht="20.25" x14ac:dyDescent="0.2">
      <c r="A69" s="137"/>
      <c r="B69" s="141" t="s">
        <v>29</v>
      </c>
      <c r="C69" s="7"/>
      <c r="D69" s="7"/>
      <c r="E69" s="6"/>
      <c r="F69" s="6"/>
      <c r="G69" s="8"/>
      <c r="H69" s="9"/>
      <c r="I69" s="8"/>
      <c r="J69" s="1" t="e">
        <f>1-VLOOKUP(H69,'Modell-Kalibrierung'!$B$3:$C$8,2,0)</f>
        <v>#N/A</v>
      </c>
      <c r="K69" s="93">
        <f>IF(ISNA(J69),0,VLOOKUP(G69,'Modell-Kalibrierung'!$B$16:$C$22,2,FALSE)*VLOOKUP(H69,'Modell-Kalibrierung'!$B$3:$C$8,2,0)+VLOOKUP(I69,'Modell-Kalibrierung'!$B$16:$C$22,2,0)*'STEP-Analyse Brasilien'!J69)</f>
        <v>0</v>
      </c>
      <c r="L69" s="6"/>
    </row>
    <row r="70" spans="1:12" ht="20.25" x14ac:dyDescent="0.2">
      <c r="A70" s="137"/>
      <c r="B70" s="139"/>
      <c r="C70" s="11"/>
      <c r="D70" s="11"/>
      <c r="E70" s="6"/>
      <c r="F70" s="10"/>
      <c r="G70" s="8"/>
      <c r="H70" s="9"/>
      <c r="I70" s="8"/>
      <c r="J70" s="1" t="e">
        <f>1-VLOOKUP(H70,'Modell-Kalibrierung'!$B$3:$C$8,2,0)</f>
        <v>#N/A</v>
      </c>
      <c r="K70" s="93">
        <f>IF(ISNA(J70),0,VLOOKUP(G70,'Modell-Kalibrierung'!$B$16:$C$22,2,FALSE)*VLOOKUP(H70,'Modell-Kalibrierung'!$B$3:$C$8,2,0)+VLOOKUP(I70,'Modell-Kalibrierung'!$B$16:$C$22,2,0)*'STEP-Analyse Brasilien'!J70)</f>
        <v>0</v>
      </c>
      <c r="L70" s="6"/>
    </row>
    <row r="71" spans="1:12" ht="20.25" x14ac:dyDescent="0.2">
      <c r="A71" s="137"/>
      <c r="B71" s="139"/>
      <c r="C71" s="11"/>
      <c r="D71" s="11"/>
      <c r="E71" s="6"/>
      <c r="F71" s="10"/>
      <c r="G71" s="8"/>
      <c r="H71" s="9"/>
      <c r="I71" s="8"/>
      <c r="J71" s="1" t="e">
        <f>1-VLOOKUP(H71,'Modell-Kalibrierung'!$B$3:$C$8,2,0)</f>
        <v>#N/A</v>
      </c>
      <c r="K71" s="93">
        <f>IF(ISNA(J71),0,VLOOKUP(G71,'Modell-Kalibrierung'!$B$16:$C$22,2,FALSE)*VLOOKUP(H71,'Modell-Kalibrierung'!$B$3:$C$8,2,0)+VLOOKUP(I71,'Modell-Kalibrierung'!$B$16:$C$22,2,0)*'STEP-Analyse Brasilien'!J71)</f>
        <v>0</v>
      </c>
      <c r="L71" s="6"/>
    </row>
    <row r="72" spans="1:12" ht="20.25" x14ac:dyDescent="0.2">
      <c r="A72" s="137"/>
      <c r="B72" s="139"/>
      <c r="C72" s="11"/>
      <c r="D72" s="11"/>
      <c r="E72" s="6"/>
      <c r="F72" s="10"/>
      <c r="G72" s="8"/>
      <c r="H72" s="9"/>
      <c r="I72" s="8"/>
      <c r="J72" s="1" t="e">
        <f>1-VLOOKUP(H72,'Modell-Kalibrierung'!$B$3:$C$8,2,0)</f>
        <v>#N/A</v>
      </c>
      <c r="K72" s="93">
        <f>IF(ISNA(J72),0,VLOOKUP(G72,'Modell-Kalibrierung'!$B$16:$C$22,2,FALSE)*VLOOKUP(H72,'Modell-Kalibrierung'!$B$3:$C$8,2,0)+VLOOKUP(I72,'Modell-Kalibrierung'!$B$16:$C$22,2,0)*'STEP-Analyse Brasilien'!J72)</f>
        <v>0</v>
      </c>
      <c r="L72" s="6"/>
    </row>
    <row r="73" spans="1:12" ht="21" thickBot="1" x14ac:dyDescent="0.25">
      <c r="A73" s="137"/>
      <c r="B73" s="139"/>
      <c r="C73" s="11"/>
      <c r="D73" s="11"/>
      <c r="E73" s="6"/>
      <c r="F73" s="10"/>
      <c r="G73" s="8"/>
      <c r="H73" s="9"/>
      <c r="I73" s="8"/>
      <c r="J73" s="1" t="e">
        <f>1-VLOOKUP(H73,'Modell-Kalibrierung'!$B$3:$C$8,2,0)</f>
        <v>#N/A</v>
      </c>
      <c r="K73" s="93">
        <f>IF(ISNA(J73),0,VLOOKUP(G73,'Modell-Kalibrierung'!$B$16:$C$22,2,FALSE)*VLOOKUP(H73,'Modell-Kalibrierung'!$B$3:$C$8,2,0)+VLOOKUP(I73,'Modell-Kalibrierung'!$B$16:$C$22,2,0)*'STEP-Analyse Brasilien'!J73)</f>
        <v>0</v>
      </c>
      <c r="L73" s="6"/>
    </row>
    <row r="74" spans="1:12" ht="36" customHeight="1" thickBot="1" x14ac:dyDescent="0.25">
      <c r="A74" s="137"/>
      <c r="B74" s="139"/>
      <c r="C74" s="125" t="str">
        <f>B69</f>
        <v xml:space="preserve">Globalisierung/ Internationalisierung </v>
      </c>
      <c r="D74" s="126"/>
      <c r="E74" s="126"/>
      <c r="F74" s="126"/>
      <c r="G74" s="127"/>
      <c r="H74" s="127"/>
      <c r="I74" s="127"/>
      <c r="J74" s="128"/>
      <c r="K74" s="3">
        <f>SUM(K69:K73)</f>
        <v>0</v>
      </c>
      <c r="L74" s="16" t="str">
        <f>IF(K74=0,"0% Anteil am Gesamtprojektrisiko",(K74/$K$123))</f>
        <v>0% Anteil am Gesamtprojektrisiko</v>
      </c>
    </row>
    <row r="75" spans="1:12" ht="20.25" x14ac:dyDescent="0.2">
      <c r="A75" s="137"/>
      <c r="B75" s="141" t="s">
        <v>30</v>
      </c>
      <c r="C75" s="11"/>
      <c r="D75" s="11"/>
      <c r="E75" s="10"/>
      <c r="F75" s="10"/>
      <c r="G75" s="8"/>
      <c r="H75" s="9"/>
      <c r="I75" s="8"/>
      <c r="J75" s="5" t="e">
        <f>1-VLOOKUP(H75,'Modell-Kalibrierung'!$B$3:$C$8,2,0)</f>
        <v>#N/A</v>
      </c>
      <c r="K75" s="93">
        <f>IF(ISNA(J75),0,VLOOKUP(G75,'Modell-Kalibrierung'!$B$16:$C$22,2,FALSE)*VLOOKUP(H75,'Modell-Kalibrierung'!$B$3:$C$8,2,0)+VLOOKUP(I75,'Modell-Kalibrierung'!$B$16:$C$22,2,0)*'STEP-Analyse Brasilien'!J75)</f>
        <v>0</v>
      </c>
      <c r="L75" s="10"/>
    </row>
    <row r="76" spans="1:12" ht="20.25" x14ac:dyDescent="0.2">
      <c r="A76" s="137"/>
      <c r="B76" s="139"/>
      <c r="C76" s="11"/>
      <c r="D76" s="11"/>
      <c r="E76" s="6"/>
      <c r="F76" s="10"/>
      <c r="G76" s="8"/>
      <c r="H76" s="9"/>
      <c r="I76" s="8"/>
      <c r="J76" s="1" t="e">
        <f>1-VLOOKUP(H76,'Modell-Kalibrierung'!$B$3:$C$8,2,0)</f>
        <v>#N/A</v>
      </c>
      <c r="K76" s="93">
        <f>IF(ISNA(J76),0,VLOOKUP(G76,'Modell-Kalibrierung'!$B$16:$C$22,2,FALSE)*VLOOKUP(H76,'Modell-Kalibrierung'!$B$3:$C$8,2,0)+VLOOKUP(I76,'Modell-Kalibrierung'!$B$16:$C$22,2,0)*'STEP-Analyse Brasilien'!J76)</f>
        <v>0</v>
      </c>
      <c r="L76" s="6"/>
    </row>
    <row r="77" spans="1:12" ht="20.25" x14ac:dyDescent="0.2">
      <c r="A77" s="137"/>
      <c r="B77" s="139"/>
      <c r="C77" s="11"/>
      <c r="D77" s="11"/>
      <c r="E77" s="6"/>
      <c r="F77" s="10"/>
      <c r="G77" s="8"/>
      <c r="H77" s="9"/>
      <c r="I77" s="8"/>
      <c r="J77" s="1" t="e">
        <f>1-VLOOKUP(H77,'Modell-Kalibrierung'!$B$3:$C$8,2,0)</f>
        <v>#N/A</v>
      </c>
      <c r="K77" s="93">
        <f>IF(ISNA(J77),0,VLOOKUP(G77,'Modell-Kalibrierung'!$B$16:$C$22,2,FALSE)*VLOOKUP(H77,'Modell-Kalibrierung'!$B$3:$C$8,2,0)+VLOOKUP(I77,'Modell-Kalibrierung'!$B$16:$C$22,2,0)*'STEP-Analyse Brasilien'!J77)</f>
        <v>0</v>
      </c>
      <c r="L77" s="6"/>
    </row>
    <row r="78" spans="1:12" ht="20.25" x14ac:dyDescent="0.2">
      <c r="A78" s="137"/>
      <c r="B78" s="139"/>
      <c r="C78" s="11"/>
      <c r="D78" s="11"/>
      <c r="E78" s="6"/>
      <c r="F78" s="10"/>
      <c r="G78" s="8"/>
      <c r="H78" s="9"/>
      <c r="I78" s="8"/>
      <c r="J78" s="1" t="e">
        <f>1-VLOOKUP(H78,'Modell-Kalibrierung'!$B$3:$C$8,2,0)</f>
        <v>#N/A</v>
      </c>
      <c r="K78" s="93">
        <f>IF(ISNA(J78),0,VLOOKUP(G78,'Modell-Kalibrierung'!$B$16:$C$22,2,FALSE)*VLOOKUP(H78,'Modell-Kalibrierung'!$B$3:$C$8,2,0)+VLOOKUP(I78,'Modell-Kalibrierung'!$B$16:$C$22,2,0)*'STEP-Analyse Brasilien'!J78)</f>
        <v>0</v>
      </c>
      <c r="L78" s="6"/>
    </row>
    <row r="79" spans="1:12" ht="21" thickBot="1" x14ac:dyDescent="0.25">
      <c r="A79" s="137"/>
      <c r="B79" s="139"/>
      <c r="C79" s="11"/>
      <c r="D79" s="11"/>
      <c r="E79" s="6"/>
      <c r="F79" s="10"/>
      <c r="G79" s="8"/>
      <c r="H79" s="9"/>
      <c r="I79" s="8"/>
      <c r="J79" s="1" t="e">
        <f>1-VLOOKUP(H79,'Modell-Kalibrierung'!$B$3:$C$8,2,0)</f>
        <v>#N/A</v>
      </c>
      <c r="K79" s="93">
        <f>IF(ISNA(J79),0,VLOOKUP(G79,'Modell-Kalibrierung'!$B$16:$C$22,2,FALSE)*VLOOKUP(H79,'Modell-Kalibrierung'!$B$3:$C$8,2,0)+VLOOKUP(I79,'Modell-Kalibrierung'!$B$16:$C$22,2,0)*'STEP-Analyse Brasilien'!J79)</f>
        <v>0</v>
      </c>
      <c r="L79" s="6"/>
    </row>
    <row r="80" spans="1:12" ht="36" customHeight="1" thickBot="1" x14ac:dyDescent="0.25">
      <c r="A80" s="138"/>
      <c r="B80" s="150"/>
      <c r="C80" s="132" t="str">
        <f>B75</f>
        <v xml:space="preserve">Ressourcenverfügbarkeit </v>
      </c>
      <c r="D80" s="133"/>
      <c r="E80" s="133"/>
      <c r="F80" s="133"/>
      <c r="G80" s="134"/>
      <c r="H80" s="134"/>
      <c r="I80" s="134"/>
      <c r="J80" s="135"/>
      <c r="K80" s="3">
        <f>SUM(K75:K79)</f>
        <v>0</v>
      </c>
      <c r="L80" s="16" t="str">
        <f>IF(K80=0,"0% Anteil am Gesamtprojektrisiko",(K80/$K$123))</f>
        <v>0% Anteil am Gesamtprojektrisiko</v>
      </c>
    </row>
    <row r="81" spans="1:12" ht="20.25" x14ac:dyDescent="0.2">
      <c r="A81" s="144" t="s">
        <v>4</v>
      </c>
      <c r="B81" s="139" t="s">
        <v>31</v>
      </c>
      <c r="C81" s="6"/>
      <c r="D81" s="7"/>
      <c r="E81" s="6"/>
      <c r="F81" s="6"/>
      <c r="G81" s="9"/>
      <c r="H81" s="9"/>
      <c r="I81" s="9"/>
      <c r="J81" s="1" t="e">
        <f>1-VLOOKUP(H81,'Modell-Kalibrierung'!$B$3:$C$8,2,0)</f>
        <v>#N/A</v>
      </c>
      <c r="K81" s="93">
        <f>IF(ISNA(J81),0,VLOOKUP(G81,'Modell-Kalibrierung'!$B$16:$C$22,2,FALSE)*VLOOKUP(H81,'Modell-Kalibrierung'!$B$3:$C$8,2,0)+VLOOKUP(I81,'Modell-Kalibrierung'!$B$16:$C$22,2,0)*'STEP-Analyse Brasilien'!J81)</f>
        <v>0</v>
      </c>
      <c r="L81" s="6"/>
    </row>
    <row r="82" spans="1:12" ht="20.25" x14ac:dyDescent="0.2">
      <c r="A82" s="145"/>
      <c r="B82" s="139"/>
      <c r="C82" s="10"/>
      <c r="D82" s="11"/>
      <c r="E82" s="6"/>
      <c r="F82" s="10"/>
      <c r="G82" s="8"/>
      <c r="H82" s="9"/>
      <c r="I82" s="8"/>
      <c r="J82" s="1" t="e">
        <f>1-VLOOKUP(H82,'Modell-Kalibrierung'!$B$3:$C$8,2,0)</f>
        <v>#N/A</v>
      </c>
      <c r="K82" s="93">
        <f>IF(ISNA(J82),0,VLOOKUP(G82,'Modell-Kalibrierung'!$B$16:$C$22,2,FALSE)*VLOOKUP(H82,'Modell-Kalibrierung'!$B$3:$C$8,2,0)+VLOOKUP(I82,'Modell-Kalibrierung'!$B$16:$C$22,2,0)*'STEP-Analyse Brasilien'!J82)</f>
        <v>0</v>
      </c>
      <c r="L82" s="6"/>
    </row>
    <row r="83" spans="1:12" ht="20.25" x14ac:dyDescent="0.2">
      <c r="A83" s="145"/>
      <c r="B83" s="139"/>
      <c r="C83" s="10"/>
      <c r="D83" s="11"/>
      <c r="E83" s="6"/>
      <c r="F83" s="10"/>
      <c r="G83" s="8"/>
      <c r="H83" s="9"/>
      <c r="I83" s="8"/>
      <c r="J83" s="1" t="e">
        <f>1-VLOOKUP(H83,'Modell-Kalibrierung'!$B$3:$C$8,2,0)</f>
        <v>#N/A</v>
      </c>
      <c r="K83" s="93">
        <f>IF(ISNA(J83),0,VLOOKUP(G83,'Modell-Kalibrierung'!$B$16:$C$22,2,FALSE)*VLOOKUP(H83,'Modell-Kalibrierung'!$B$3:$C$8,2,0)+VLOOKUP(I83,'Modell-Kalibrierung'!$B$16:$C$22,2,0)*'STEP-Analyse Brasilien'!J83)</f>
        <v>0</v>
      </c>
      <c r="L83" s="6"/>
    </row>
    <row r="84" spans="1:12" ht="20.25" x14ac:dyDescent="0.2">
      <c r="A84" s="145"/>
      <c r="B84" s="139"/>
      <c r="C84" s="10"/>
      <c r="D84" s="11"/>
      <c r="E84" s="6"/>
      <c r="F84" s="10"/>
      <c r="G84" s="8"/>
      <c r="H84" s="9"/>
      <c r="I84" s="8"/>
      <c r="J84" s="1" t="e">
        <f>1-VLOOKUP(H84,'Modell-Kalibrierung'!$B$3:$C$8,2,0)</f>
        <v>#N/A</v>
      </c>
      <c r="K84" s="93">
        <f>IF(ISNA(J84),0,VLOOKUP(G84,'Modell-Kalibrierung'!$B$16:$C$22,2,FALSE)*VLOOKUP(H84,'Modell-Kalibrierung'!$B$3:$C$8,2,0)+VLOOKUP(I84,'Modell-Kalibrierung'!$B$16:$C$22,2,0)*'STEP-Analyse Brasilien'!J84)</f>
        <v>0</v>
      </c>
      <c r="L84" s="6"/>
    </row>
    <row r="85" spans="1:12" ht="21" thickBot="1" x14ac:dyDescent="0.25">
      <c r="A85" s="145"/>
      <c r="B85" s="139"/>
      <c r="C85" s="10"/>
      <c r="D85" s="11"/>
      <c r="E85" s="6"/>
      <c r="F85" s="10"/>
      <c r="G85" s="8"/>
      <c r="H85" s="9"/>
      <c r="I85" s="8"/>
      <c r="J85" s="1" t="e">
        <f>1-VLOOKUP(H85,'Modell-Kalibrierung'!$B$3:$C$8,2,0)</f>
        <v>#N/A</v>
      </c>
      <c r="K85" s="93">
        <f>IF(ISNA(J85),0,VLOOKUP(G85,'Modell-Kalibrierung'!$B$16:$C$22,2,FALSE)*VLOOKUP(H85,'Modell-Kalibrierung'!$B$3:$C$8,2,0)+VLOOKUP(I85,'Modell-Kalibrierung'!$B$16:$C$22,2,0)*'STEP-Analyse Brasilien'!J85)</f>
        <v>0</v>
      </c>
      <c r="L85" s="6"/>
    </row>
    <row r="86" spans="1:12" ht="36" customHeight="1" thickBot="1" x14ac:dyDescent="0.25">
      <c r="A86" s="145"/>
      <c r="B86" s="140"/>
      <c r="C86" s="125" t="str">
        <f>B81</f>
        <v xml:space="preserve">Werte </v>
      </c>
      <c r="D86" s="126"/>
      <c r="E86" s="126"/>
      <c r="F86" s="126"/>
      <c r="G86" s="127"/>
      <c r="H86" s="127"/>
      <c r="I86" s="127"/>
      <c r="J86" s="128"/>
      <c r="K86" s="3">
        <f>SUM(K81:K85)</f>
        <v>0</v>
      </c>
      <c r="L86" s="16" t="str">
        <f>IF(K86=0,"0% Anteil am Gesamtprojektrisiko",(K86/$K$123))</f>
        <v>0% Anteil am Gesamtprojektrisiko</v>
      </c>
    </row>
    <row r="87" spans="1:12" ht="20.25" x14ac:dyDescent="0.2">
      <c r="A87" s="146"/>
      <c r="B87" s="141" t="s">
        <v>8</v>
      </c>
      <c r="C87" s="7"/>
      <c r="D87" s="7"/>
      <c r="E87" s="6"/>
      <c r="F87" s="6"/>
      <c r="G87" s="8"/>
      <c r="H87" s="9"/>
      <c r="I87" s="8"/>
      <c r="J87" s="1" t="e">
        <f>1-VLOOKUP(H87,'Modell-Kalibrierung'!$B$3:$C$8,2,0)</f>
        <v>#N/A</v>
      </c>
      <c r="K87" s="93">
        <f>IF(ISNA(J87),0,VLOOKUP(G87,'Modell-Kalibrierung'!$B$16:$C$22,2,FALSE)*VLOOKUP(H87,'Modell-Kalibrierung'!$B$3:$C$8,2,0)+VLOOKUP(I87,'Modell-Kalibrierung'!$B$16:$C$22,2,0)*'STEP-Analyse Brasilien'!J87)</f>
        <v>0</v>
      </c>
      <c r="L87" s="6"/>
    </row>
    <row r="88" spans="1:12" ht="20.25" x14ac:dyDescent="0.2">
      <c r="A88" s="146"/>
      <c r="B88" s="139"/>
      <c r="C88" s="11"/>
      <c r="D88" s="11"/>
      <c r="E88" s="6"/>
      <c r="F88" s="10"/>
      <c r="G88" s="8"/>
      <c r="H88" s="9"/>
      <c r="I88" s="8"/>
      <c r="J88" s="1" t="e">
        <f>1-VLOOKUP(H88,'Modell-Kalibrierung'!$B$3:$C$8,2,0)</f>
        <v>#N/A</v>
      </c>
      <c r="K88" s="93">
        <f>IF(ISNA(J88),0,VLOOKUP(G88,'Modell-Kalibrierung'!$B$16:$C$22,2,FALSE)*VLOOKUP(H88,'Modell-Kalibrierung'!$B$3:$C$8,2,0)+VLOOKUP(I88,'Modell-Kalibrierung'!$B$16:$C$22,2,0)*'STEP-Analyse Brasilien'!J88)</f>
        <v>0</v>
      </c>
      <c r="L88" s="6"/>
    </row>
    <row r="89" spans="1:12" ht="20.25" x14ac:dyDescent="0.2">
      <c r="A89" s="146"/>
      <c r="B89" s="139"/>
      <c r="C89" s="11"/>
      <c r="D89" s="11"/>
      <c r="E89" s="6"/>
      <c r="F89" s="10"/>
      <c r="G89" s="8"/>
      <c r="H89" s="9"/>
      <c r="I89" s="8"/>
      <c r="J89" s="1" t="e">
        <f>1-VLOOKUP(H89,'Modell-Kalibrierung'!$B$3:$C$8,2,0)</f>
        <v>#N/A</v>
      </c>
      <c r="K89" s="93">
        <f>IF(ISNA(J89),0,VLOOKUP(G89,'Modell-Kalibrierung'!$B$16:$C$22,2,FALSE)*VLOOKUP(H89,'Modell-Kalibrierung'!$B$3:$C$8,2,0)+VLOOKUP(I89,'Modell-Kalibrierung'!$B$16:$C$22,2,0)*'STEP-Analyse Brasilien'!J89)</f>
        <v>0</v>
      </c>
      <c r="L89" s="6"/>
    </row>
    <row r="90" spans="1:12" ht="20.25" x14ac:dyDescent="0.2">
      <c r="A90" s="146"/>
      <c r="B90" s="139"/>
      <c r="C90" s="11"/>
      <c r="D90" s="11"/>
      <c r="E90" s="6"/>
      <c r="F90" s="10"/>
      <c r="G90" s="8"/>
      <c r="H90" s="9"/>
      <c r="I90" s="8"/>
      <c r="J90" s="1" t="e">
        <f>1-VLOOKUP(H90,'Modell-Kalibrierung'!$B$3:$C$8,2,0)</f>
        <v>#N/A</v>
      </c>
      <c r="K90" s="93">
        <f>IF(ISNA(J90),0,VLOOKUP(G90,'Modell-Kalibrierung'!$B$16:$C$22,2,FALSE)*VLOOKUP(H90,'Modell-Kalibrierung'!$B$3:$C$8,2,0)+VLOOKUP(I90,'Modell-Kalibrierung'!$B$16:$C$22,2,0)*'STEP-Analyse Brasilien'!J90)</f>
        <v>0</v>
      </c>
      <c r="L90" s="6"/>
    </row>
    <row r="91" spans="1:12" ht="21" thickBot="1" x14ac:dyDescent="0.25">
      <c r="A91" s="146"/>
      <c r="B91" s="139"/>
      <c r="C91" s="11"/>
      <c r="D91" s="11"/>
      <c r="E91" s="6"/>
      <c r="F91" s="10"/>
      <c r="G91" s="8"/>
      <c r="H91" s="9"/>
      <c r="I91" s="8"/>
      <c r="J91" s="1" t="e">
        <f>1-VLOOKUP(H91,'Modell-Kalibrierung'!$B$3:$C$8,2,0)</f>
        <v>#N/A</v>
      </c>
      <c r="K91" s="93">
        <f>IF(ISNA(J91),0,VLOOKUP(G91,'Modell-Kalibrierung'!$B$16:$C$22,2,FALSE)*VLOOKUP(H91,'Modell-Kalibrierung'!$B$3:$C$8,2,0)+VLOOKUP(I91,'Modell-Kalibrierung'!$B$16:$C$22,2,0)*'STEP-Analyse Brasilien'!J91)</f>
        <v>0</v>
      </c>
      <c r="L91" s="6"/>
    </row>
    <row r="92" spans="1:12" ht="36" customHeight="1" thickBot="1" x14ac:dyDescent="0.25">
      <c r="A92" s="146"/>
      <c r="B92" s="139"/>
      <c r="C92" s="125" t="str">
        <f>B87</f>
        <v xml:space="preserve">Lebensstil/ Mentalitäten </v>
      </c>
      <c r="D92" s="126"/>
      <c r="E92" s="126"/>
      <c r="F92" s="126"/>
      <c r="G92" s="127"/>
      <c r="H92" s="127"/>
      <c r="I92" s="127"/>
      <c r="J92" s="128"/>
      <c r="K92" s="3">
        <f>SUM(K87:K91)</f>
        <v>0</v>
      </c>
      <c r="L92" s="16" t="str">
        <f>IF(K92=0,"0% Anteil am Gesamtprojektrisiko",(K92/$K$123))</f>
        <v>0% Anteil am Gesamtprojektrisiko</v>
      </c>
    </row>
    <row r="93" spans="1:12" ht="20.25" x14ac:dyDescent="0.2">
      <c r="A93" s="146"/>
      <c r="B93" s="141" t="s">
        <v>36</v>
      </c>
      <c r="C93" s="11"/>
      <c r="D93" s="11"/>
      <c r="E93" s="10"/>
      <c r="F93" s="10"/>
      <c r="G93" s="8"/>
      <c r="H93" s="9"/>
      <c r="I93" s="8"/>
      <c r="J93" s="5" t="e">
        <f>1-VLOOKUP(H93,'Modell-Kalibrierung'!$B$3:$C$8,2,0)</f>
        <v>#N/A</v>
      </c>
      <c r="K93" s="93">
        <f>IF(ISNA(J93),0,VLOOKUP(G93,'Modell-Kalibrierung'!$B$16:$C$22,2,FALSE)*VLOOKUP(H93,'Modell-Kalibrierung'!$B$3:$C$8,2,0)+VLOOKUP(I93,'Modell-Kalibrierung'!$B$16:$C$22,2,0)*'STEP-Analyse Brasilien'!J93)</f>
        <v>0</v>
      </c>
      <c r="L93" s="10"/>
    </row>
    <row r="94" spans="1:12" ht="20.25" x14ac:dyDescent="0.2">
      <c r="A94" s="146"/>
      <c r="B94" s="139"/>
      <c r="C94" s="11"/>
      <c r="D94" s="11"/>
      <c r="E94" s="6"/>
      <c r="F94" s="10"/>
      <c r="G94" s="8"/>
      <c r="H94" s="9"/>
      <c r="I94" s="8"/>
      <c r="J94" s="1" t="e">
        <f>1-VLOOKUP(H94,'Modell-Kalibrierung'!$B$3:$C$8,2,0)</f>
        <v>#N/A</v>
      </c>
      <c r="K94" s="93">
        <f>IF(ISNA(J94),0,VLOOKUP(G94,'Modell-Kalibrierung'!$B$16:$C$22,2,FALSE)*VLOOKUP(H94,'Modell-Kalibrierung'!$B$3:$C$8,2,0)+VLOOKUP(I94,'Modell-Kalibrierung'!$B$16:$C$22,2,0)*'STEP-Analyse Brasilien'!J94)</f>
        <v>0</v>
      </c>
      <c r="L94" s="6"/>
    </row>
    <row r="95" spans="1:12" ht="20.25" x14ac:dyDescent="0.2">
      <c r="A95" s="146"/>
      <c r="B95" s="139"/>
      <c r="C95" s="11"/>
      <c r="D95" s="11"/>
      <c r="E95" s="6"/>
      <c r="F95" s="10"/>
      <c r="G95" s="8"/>
      <c r="H95" s="9"/>
      <c r="I95" s="8"/>
      <c r="J95" s="1" t="e">
        <f>1-VLOOKUP(H95,'Modell-Kalibrierung'!$B$3:$C$8,2,0)</f>
        <v>#N/A</v>
      </c>
      <c r="K95" s="93">
        <f>IF(ISNA(J95),0,VLOOKUP(G95,'Modell-Kalibrierung'!$B$16:$C$22,2,FALSE)*VLOOKUP(H95,'Modell-Kalibrierung'!$B$3:$C$8,2,0)+VLOOKUP(I95,'Modell-Kalibrierung'!$B$16:$C$22,2,0)*'STEP-Analyse Brasilien'!J95)</f>
        <v>0</v>
      </c>
      <c r="L95" s="6"/>
    </row>
    <row r="96" spans="1:12" ht="20.25" x14ac:dyDescent="0.2">
      <c r="A96" s="146"/>
      <c r="B96" s="139"/>
      <c r="C96" s="11"/>
      <c r="D96" s="11"/>
      <c r="E96" s="6"/>
      <c r="F96" s="10"/>
      <c r="G96" s="8"/>
      <c r="H96" s="9"/>
      <c r="I96" s="8"/>
      <c r="J96" s="1" t="e">
        <f>1-VLOOKUP(H96,'Modell-Kalibrierung'!$B$3:$C$8,2,0)</f>
        <v>#N/A</v>
      </c>
      <c r="K96" s="93">
        <f>IF(ISNA(J96),0,VLOOKUP(G96,'Modell-Kalibrierung'!$B$16:$C$22,2,FALSE)*VLOOKUP(H96,'Modell-Kalibrierung'!$B$3:$C$8,2,0)+VLOOKUP(I96,'Modell-Kalibrierung'!$B$16:$C$22,2,0)*'STEP-Analyse Brasilien'!J96)</f>
        <v>0</v>
      </c>
      <c r="L96" s="6"/>
    </row>
    <row r="97" spans="1:12" ht="21" thickBot="1" x14ac:dyDescent="0.25">
      <c r="A97" s="146"/>
      <c r="B97" s="139"/>
      <c r="C97" s="11"/>
      <c r="D97" s="11"/>
      <c r="E97" s="6"/>
      <c r="F97" s="10"/>
      <c r="G97" s="8"/>
      <c r="H97" s="9"/>
      <c r="I97" s="8"/>
      <c r="J97" s="1" t="e">
        <f>1-VLOOKUP(H97,'Modell-Kalibrierung'!$B$3:$C$8,2,0)</f>
        <v>#N/A</v>
      </c>
      <c r="K97" s="93">
        <f>IF(ISNA(J97),0,VLOOKUP(G97,'Modell-Kalibrierung'!$B$16:$C$22,2,FALSE)*VLOOKUP(H97,'Modell-Kalibrierung'!$B$3:$C$8,2,0)+VLOOKUP(I97,'Modell-Kalibrierung'!$B$16:$C$22,2,0)*'STEP-Analyse Brasilien'!J97)</f>
        <v>0</v>
      </c>
      <c r="L97" s="6"/>
    </row>
    <row r="98" spans="1:12" ht="36" customHeight="1" thickBot="1" x14ac:dyDescent="0.25">
      <c r="A98" s="146"/>
      <c r="B98" s="150"/>
      <c r="C98" s="132" t="str">
        <f>B93</f>
        <v>Bildung</v>
      </c>
      <c r="D98" s="133"/>
      <c r="E98" s="133"/>
      <c r="F98" s="133"/>
      <c r="G98" s="134"/>
      <c r="H98" s="134"/>
      <c r="I98" s="134"/>
      <c r="J98" s="135"/>
      <c r="K98" s="3">
        <f>SUM(K93:K97)</f>
        <v>0</v>
      </c>
      <c r="L98" s="16" t="str">
        <f>IF(K98=0,"0% Anteil am Gesamtprojektrisiko",(K98/$K$123))</f>
        <v>0% Anteil am Gesamtprojektrisiko</v>
      </c>
    </row>
    <row r="99" spans="1:12" ht="20.25" x14ac:dyDescent="0.2">
      <c r="A99" s="144" t="s">
        <v>5</v>
      </c>
      <c r="B99" s="148" t="s">
        <v>37</v>
      </c>
      <c r="C99" s="6"/>
      <c r="D99" s="7"/>
      <c r="E99" s="6"/>
      <c r="F99" s="6"/>
      <c r="G99" s="9"/>
      <c r="H99" s="9"/>
      <c r="I99" s="9"/>
      <c r="J99" s="1" t="e">
        <f>1-VLOOKUP(H99,'Modell-Kalibrierung'!$B$3:$C$8,2,0)</f>
        <v>#N/A</v>
      </c>
      <c r="K99" s="93">
        <f>IF(ISNA(J99),0,VLOOKUP(G99,'Modell-Kalibrierung'!$B$16:$C$22,2,FALSE)*VLOOKUP(H99,'Modell-Kalibrierung'!$B$3:$C$8,2,0)+VLOOKUP(I99,'Modell-Kalibrierung'!$B$16:$C$22,2,0)*'STEP-Analyse Brasilien'!J99)</f>
        <v>0</v>
      </c>
      <c r="L99" s="6"/>
    </row>
    <row r="100" spans="1:12" ht="20.25" x14ac:dyDescent="0.2">
      <c r="A100" s="145"/>
      <c r="B100" s="139"/>
      <c r="C100" s="10"/>
      <c r="D100" s="11"/>
      <c r="E100" s="6"/>
      <c r="F100" s="10"/>
      <c r="G100" s="8"/>
      <c r="H100" s="9"/>
      <c r="I100" s="8"/>
      <c r="J100" s="1" t="e">
        <f>1-VLOOKUP(H100,'Modell-Kalibrierung'!$B$3:$C$8,2,0)</f>
        <v>#N/A</v>
      </c>
      <c r="K100" s="93">
        <f>IF(ISNA(J100),0,VLOOKUP(G100,'Modell-Kalibrierung'!$B$16:$C$22,2,FALSE)*VLOOKUP(H100,'Modell-Kalibrierung'!$B$3:$C$8,2,0)+VLOOKUP(I100,'Modell-Kalibrierung'!$B$16:$C$22,2,0)*'STEP-Analyse Brasilien'!J100)</f>
        <v>0</v>
      </c>
      <c r="L100" s="6"/>
    </row>
    <row r="101" spans="1:12" ht="20.25" x14ac:dyDescent="0.2">
      <c r="A101" s="145"/>
      <c r="B101" s="139"/>
      <c r="C101" s="10"/>
      <c r="D101" s="11"/>
      <c r="E101" s="6"/>
      <c r="F101" s="10"/>
      <c r="G101" s="8"/>
      <c r="H101" s="9"/>
      <c r="I101" s="8"/>
      <c r="J101" s="1" t="e">
        <f>1-VLOOKUP(H101,'Modell-Kalibrierung'!$B$3:$C$8,2,0)</f>
        <v>#N/A</v>
      </c>
      <c r="K101" s="93">
        <f>IF(ISNA(J101),0,VLOOKUP(G101,'Modell-Kalibrierung'!$B$16:$C$22,2,FALSE)*VLOOKUP(H101,'Modell-Kalibrierung'!$B$3:$C$8,2,0)+VLOOKUP(I101,'Modell-Kalibrierung'!$B$16:$C$22,2,0)*'STEP-Analyse Brasilien'!J101)</f>
        <v>0</v>
      </c>
      <c r="L101" s="6"/>
    </row>
    <row r="102" spans="1:12" ht="20.25" x14ac:dyDescent="0.2">
      <c r="A102" s="145"/>
      <c r="B102" s="139"/>
      <c r="C102" s="10"/>
      <c r="D102" s="11"/>
      <c r="E102" s="6"/>
      <c r="F102" s="10"/>
      <c r="G102" s="8"/>
      <c r="H102" s="9"/>
      <c r="I102" s="8"/>
      <c r="J102" s="1" t="e">
        <f>1-VLOOKUP(H102,'Modell-Kalibrierung'!$B$3:$C$8,2,0)</f>
        <v>#N/A</v>
      </c>
      <c r="K102" s="93">
        <f>IF(ISNA(J102),0,VLOOKUP(G102,'Modell-Kalibrierung'!$B$16:$C$22,2,FALSE)*VLOOKUP(H102,'Modell-Kalibrierung'!$B$3:$C$8,2,0)+VLOOKUP(I102,'Modell-Kalibrierung'!$B$16:$C$22,2,0)*'STEP-Analyse Brasilien'!J102)</f>
        <v>0</v>
      </c>
      <c r="L102" s="6"/>
    </row>
    <row r="103" spans="1:12" ht="21" thickBot="1" x14ac:dyDescent="0.25">
      <c r="A103" s="145"/>
      <c r="B103" s="139"/>
      <c r="C103" s="10"/>
      <c r="D103" s="11"/>
      <c r="E103" s="6"/>
      <c r="F103" s="10"/>
      <c r="G103" s="8"/>
      <c r="H103" s="9"/>
      <c r="I103" s="8"/>
      <c r="J103" s="1" t="e">
        <f>1-VLOOKUP(H103,'Modell-Kalibrierung'!$B$3:$C$8,2,0)</f>
        <v>#N/A</v>
      </c>
      <c r="K103" s="93">
        <f>IF(ISNA(J103),0,VLOOKUP(G103,'Modell-Kalibrierung'!$B$16:$C$22,2,FALSE)*VLOOKUP(H103,'Modell-Kalibrierung'!$B$3:$C$8,2,0)+VLOOKUP(I103,'Modell-Kalibrierung'!$B$16:$C$22,2,0)*'STEP-Analyse Brasilien'!J103)</f>
        <v>0</v>
      </c>
      <c r="L103" s="6"/>
    </row>
    <row r="104" spans="1:12" ht="36" customHeight="1" thickBot="1" x14ac:dyDescent="0.25">
      <c r="A104" s="145"/>
      <c r="B104" s="140"/>
      <c r="C104" s="125" t="str">
        <f>B99</f>
        <v xml:space="preserve">Forschung </v>
      </c>
      <c r="D104" s="126"/>
      <c r="E104" s="126"/>
      <c r="F104" s="126"/>
      <c r="G104" s="127"/>
      <c r="H104" s="127"/>
      <c r="I104" s="127"/>
      <c r="J104" s="128"/>
      <c r="K104" s="3">
        <f>SUM(K99:K103)</f>
        <v>0</v>
      </c>
      <c r="L104" s="16" t="str">
        <f>IF(K104=0,"0% Anteil am Gesamtprojektrisiko",(K104/$K$123))</f>
        <v>0% Anteil am Gesamtprojektrisiko</v>
      </c>
    </row>
    <row r="105" spans="1:12" ht="20.25" x14ac:dyDescent="0.2">
      <c r="A105" s="146"/>
      <c r="B105" s="141" t="s">
        <v>38</v>
      </c>
      <c r="C105" s="6"/>
      <c r="D105" s="7"/>
      <c r="E105" s="6"/>
      <c r="F105" s="6"/>
      <c r="G105" s="8"/>
      <c r="H105" s="9"/>
      <c r="I105" s="8"/>
      <c r="J105" s="1" t="e">
        <f>1-VLOOKUP(H105,'Modell-Kalibrierung'!$B$3:$C$8,2,0)</f>
        <v>#N/A</v>
      </c>
      <c r="K105" s="93">
        <f>IF(ISNA(J105),0,VLOOKUP(G105,'Modell-Kalibrierung'!$B$16:$C$22,2,FALSE)*VLOOKUP(H105,'Modell-Kalibrierung'!$B$3:$C$8,2,0)+VLOOKUP(I105,'Modell-Kalibrierung'!$B$16:$C$22,2,0)*'STEP-Analyse Brasilien'!J105)</f>
        <v>0</v>
      </c>
      <c r="L105" s="6"/>
    </row>
    <row r="106" spans="1:12" ht="20.25" x14ac:dyDescent="0.2">
      <c r="A106" s="146"/>
      <c r="B106" s="139"/>
      <c r="C106" s="10"/>
      <c r="D106" s="11"/>
      <c r="E106" s="6"/>
      <c r="F106" s="10"/>
      <c r="G106" s="8"/>
      <c r="H106" s="9"/>
      <c r="I106" s="8"/>
      <c r="J106" s="1" t="e">
        <f>1-VLOOKUP(H106,'Modell-Kalibrierung'!$B$3:$C$8,2,0)</f>
        <v>#N/A</v>
      </c>
      <c r="K106" s="93">
        <f>IF(ISNA(J106),0,VLOOKUP(G106,'Modell-Kalibrierung'!$B$16:$C$22,2,FALSE)*VLOOKUP(H106,'Modell-Kalibrierung'!$B$3:$C$8,2,0)+VLOOKUP(I106,'Modell-Kalibrierung'!$B$16:$C$22,2,0)*'STEP-Analyse Brasilien'!J106)</f>
        <v>0</v>
      </c>
      <c r="L106" s="6"/>
    </row>
    <row r="107" spans="1:12" ht="20.25" x14ac:dyDescent="0.2">
      <c r="A107" s="146"/>
      <c r="B107" s="139"/>
      <c r="C107" s="10"/>
      <c r="D107" s="11"/>
      <c r="E107" s="6"/>
      <c r="F107" s="10"/>
      <c r="G107" s="8"/>
      <c r="H107" s="9"/>
      <c r="I107" s="8"/>
      <c r="J107" s="1" t="e">
        <f>1-VLOOKUP(H107,'Modell-Kalibrierung'!$B$3:$C$8,2,0)</f>
        <v>#N/A</v>
      </c>
      <c r="K107" s="93">
        <f>IF(ISNA(J107),0,VLOOKUP(G107,'Modell-Kalibrierung'!$B$16:$C$22,2,FALSE)*VLOOKUP(H107,'Modell-Kalibrierung'!$B$3:$C$8,2,0)+VLOOKUP(I107,'Modell-Kalibrierung'!$B$16:$C$22,2,0)*'STEP-Analyse Brasilien'!J107)</f>
        <v>0</v>
      </c>
      <c r="L107" s="6"/>
    </row>
    <row r="108" spans="1:12" ht="20.25" x14ac:dyDescent="0.2">
      <c r="A108" s="146"/>
      <c r="B108" s="139"/>
      <c r="C108" s="10"/>
      <c r="D108" s="11"/>
      <c r="E108" s="6"/>
      <c r="F108" s="10"/>
      <c r="G108" s="8"/>
      <c r="H108" s="9"/>
      <c r="I108" s="8"/>
      <c r="J108" s="1" t="e">
        <f>1-VLOOKUP(H108,'Modell-Kalibrierung'!$B$3:$C$8,2,0)</f>
        <v>#N/A</v>
      </c>
      <c r="K108" s="93">
        <f>IF(ISNA(J108),0,VLOOKUP(G108,'Modell-Kalibrierung'!$B$16:$C$22,2,FALSE)*VLOOKUP(H108,'Modell-Kalibrierung'!$B$3:$C$8,2,0)+VLOOKUP(I108,'Modell-Kalibrierung'!$B$16:$C$22,2,0)*'STEP-Analyse Brasilien'!J108)</f>
        <v>0</v>
      </c>
      <c r="L108" s="6"/>
    </row>
    <row r="109" spans="1:12" ht="21" thickBot="1" x14ac:dyDescent="0.25">
      <c r="A109" s="146"/>
      <c r="B109" s="139"/>
      <c r="C109" s="10"/>
      <c r="D109" s="11"/>
      <c r="E109" s="6"/>
      <c r="F109" s="10"/>
      <c r="G109" s="8"/>
      <c r="H109" s="9"/>
      <c r="I109" s="8"/>
      <c r="J109" s="1" t="e">
        <f>1-VLOOKUP(H109,'Modell-Kalibrierung'!$B$3:$C$8,2,0)</f>
        <v>#N/A</v>
      </c>
      <c r="K109" s="93">
        <f>IF(ISNA(J109),0,VLOOKUP(G109,'Modell-Kalibrierung'!$B$16:$C$22,2,FALSE)*VLOOKUP(H109,'Modell-Kalibrierung'!$B$3:$C$8,2,0)+VLOOKUP(I109,'Modell-Kalibrierung'!$B$16:$C$22,2,0)*'STEP-Analyse Brasilien'!J109)</f>
        <v>0</v>
      </c>
      <c r="L109" s="6"/>
    </row>
    <row r="110" spans="1:12" ht="36" customHeight="1" thickBot="1" x14ac:dyDescent="0.25">
      <c r="A110" s="146"/>
      <c r="B110" s="140"/>
      <c r="C110" s="125" t="str">
        <f>B105</f>
        <v xml:space="preserve">neue Technologien und Produkte </v>
      </c>
      <c r="D110" s="126"/>
      <c r="E110" s="126"/>
      <c r="F110" s="126"/>
      <c r="G110" s="127"/>
      <c r="H110" s="127"/>
      <c r="I110" s="127"/>
      <c r="J110" s="128"/>
      <c r="K110" s="3">
        <f>SUM(K105:K109)</f>
        <v>0</v>
      </c>
      <c r="L110" s="16" t="str">
        <f>IF(K110=0,"0% Anteil am Gesamtprojektrisiko",(K110/$K$123))</f>
        <v>0% Anteil am Gesamtprojektrisiko</v>
      </c>
    </row>
    <row r="111" spans="1:12" ht="20.25" x14ac:dyDescent="0.2">
      <c r="A111" s="146"/>
      <c r="B111" s="141" t="s">
        <v>39</v>
      </c>
      <c r="C111" s="6"/>
      <c r="D111" s="7"/>
      <c r="E111" s="6"/>
      <c r="F111" s="6"/>
      <c r="G111" s="8"/>
      <c r="H111" s="9"/>
      <c r="I111" s="8"/>
      <c r="J111" s="1" t="e">
        <f>1-VLOOKUP(H111,'Modell-Kalibrierung'!$B$3:$C$8,2,0)</f>
        <v>#N/A</v>
      </c>
      <c r="K111" s="93">
        <f>IF(ISNA(J111),0,VLOOKUP(G111,'Modell-Kalibrierung'!$B$16:$C$22,2,FALSE)*VLOOKUP(H111,'Modell-Kalibrierung'!$B$3:$C$8,2,0)+VLOOKUP(I111,'Modell-Kalibrierung'!$B$16:$C$22,2,0)*'STEP-Analyse Brasilien'!J111)</f>
        <v>0</v>
      </c>
      <c r="L111" s="6"/>
    </row>
    <row r="112" spans="1:12" ht="20.25" x14ac:dyDescent="0.2">
      <c r="A112" s="147"/>
      <c r="B112" s="139"/>
      <c r="C112" s="10"/>
      <c r="D112" s="11"/>
      <c r="E112" s="6"/>
      <c r="F112" s="10"/>
      <c r="G112" s="8"/>
      <c r="H112" s="9"/>
      <c r="I112" s="8"/>
      <c r="J112" s="1" t="e">
        <f>1-VLOOKUP(H112,'Modell-Kalibrierung'!$B$3:$C$8,2,0)</f>
        <v>#N/A</v>
      </c>
      <c r="K112" s="93">
        <f>IF(ISNA(J112),0,VLOOKUP(G112,'Modell-Kalibrierung'!$B$16:$C$22,2,FALSE)*VLOOKUP(H112,'Modell-Kalibrierung'!$B$3:$C$8,2,0)+VLOOKUP(I112,'Modell-Kalibrierung'!$B$16:$C$22,2,0)*'STEP-Analyse Brasilien'!J112)</f>
        <v>0</v>
      </c>
      <c r="L112" s="6"/>
    </row>
    <row r="113" spans="1:12" ht="20.25" x14ac:dyDescent="0.2">
      <c r="A113" s="147"/>
      <c r="B113" s="139"/>
      <c r="C113" s="10"/>
      <c r="D113" s="11"/>
      <c r="E113" s="6"/>
      <c r="F113" s="10"/>
      <c r="G113" s="8"/>
      <c r="H113" s="9"/>
      <c r="I113" s="8"/>
      <c r="J113" s="1" t="e">
        <f>1-VLOOKUP(H113,'Modell-Kalibrierung'!$B$3:$C$8,2,0)</f>
        <v>#N/A</v>
      </c>
      <c r="K113" s="93">
        <f>IF(ISNA(J113),0,VLOOKUP(G113,'Modell-Kalibrierung'!$B$16:$C$22,2,FALSE)*VLOOKUP(H113,'Modell-Kalibrierung'!$B$3:$C$8,2,0)+VLOOKUP(I113,'Modell-Kalibrierung'!$B$16:$C$22,2,0)*'STEP-Analyse Brasilien'!J113)</f>
        <v>0</v>
      </c>
      <c r="L113" s="6"/>
    </row>
    <row r="114" spans="1:12" ht="20.25" x14ac:dyDescent="0.2">
      <c r="A114" s="147"/>
      <c r="B114" s="139"/>
      <c r="C114" s="10"/>
      <c r="D114" s="11"/>
      <c r="E114" s="6"/>
      <c r="F114" s="10"/>
      <c r="G114" s="8"/>
      <c r="H114" s="9"/>
      <c r="I114" s="8"/>
      <c r="J114" s="1" t="e">
        <f>1-VLOOKUP(H114,'Modell-Kalibrierung'!$B$3:$C$8,2,0)</f>
        <v>#N/A</v>
      </c>
      <c r="K114" s="93">
        <f>IF(ISNA(J114),0,VLOOKUP(G114,'Modell-Kalibrierung'!$B$16:$C$22,2,FALSE)*VLOOKUP(H114,'Modell-Kalibrierung'!$B$3:$C$8,2,0)+VLOOKUP(I114,'Modell-Kalibrierung'!$B$16:$C$22,2,0)*'STEP-Analyse Brasilien'!J114)</f>
        <v>0</v>
      </c>
      <c r="L114" s="6"/>
    </row>
    <row r="115" spans="1:12" ht="21" thickBot="1" x14ac:dyDescent="0.25">
      <c r="A115" s="147"/>
      <c r="B115" s="139"/>
      <c r="C115" s="10"/>
      <c r="D115" s="11"/>
      <c r="E115" s="6"/>
      <c r="F115" s="10"/>
      <c r="G115" s="8"/>
      <c r="H115" s="9"/>
      <c r="I115" s="8"/>
      <c r="J115" s="1" t="e">
        <f>1-VLOOKUP(H115,'Modell-Kalibrierung'!$B$3:$C$8,2,0)</f>
        <v>#N/A</v>
      </c>
      <c r="K115" s="93">
        <f>IF(ISNA(J115),0,VLOOKUP(G115,'Modell-Kalibrierung'!$B$16:$C$22,2,FALSE)*VLOOKUP(H115,'Modell-Kalibrierung'!$B$3:$C$8,2,0)+VLOOKUP(I115,'Modell-Kalibrierung'!$B$16:$C$22,2,0)*'STEP-Analyse Brasilien'!J115)</f>
        <v>0</v>
      </c>
      <c r="L115" s="6"/>
    </row>
    <row r="116" spans="1:12" ht="36" customHeight="1" thickBot="1" x14ac:dyDescent="0.25">
      <c r="A116" s="147"/>
      <c r="B116" s="140"/>
      <c r="C116" s="125" t="str">
        <f>B111</f>
        <v>neue Prozesse</v>
      </c>
      <c r="D116" s="126"/>
      <c r="E116" s="126"/>
      <c r="F116" s="126"/>
      <c r="G116" s="127"/>
      <c r="H116" s="127"/>
      <c r="I116" s="127"/>
      <c r="J116" s="128"/>
      <c r="K116" s="3">
        <f>SUM(K111:K115)</f>
        <v>0</v>
      </c>
      <c r="L116" s="16" t="str">
        <f>IF(K116=0,"0% Anteil am Gesamtprojektrisiko",(K116/$K$123))</f>
        <v>0% Anteil am Gesamtprojektrisiko</v>
      </c>
    </row>
    <row r="117" spans="1:12" ht="20.25" x14ac:dyDescent="0.2">
      <c r="A117" s="147"/>
      <c r="B117" s="141" t="s">
        <v>64</v>
      </c>
      <c r="C117" s="6"/>
      <c r="D117" s="7"/>
      <c r="E117" s="6"/>
      <c r="F117" s="6"/>
      <c r="G117" s="8"/>
      <c r="H117" s="9"/>
      <c r="I117" s="8"/>
      <c r="J117" s="1" t="e">
        <f>1-VLOOKUP(H117,'Modell-Kalibrierung'!$B$3:$C$8,2,0)</f>
        <v>#N/A</v>
      </c>
      <c r="K117" s="93">
        <f>IF(ISNA(J117),0,VLOOKUP(G117,'Modell-Kalibrierung'!$B$16:$C$22,2,FALSE)*VLOOKUP(H117,'Modell-Kalibrierung'!$B$3:$C$8,2,0)+VLOOKUP(I117,'Modell-Kalibrierung'!$B$16:$C$22,2,0)*'STEP-Analyse Brasilien'!J117)</f>
        <v>0</v>
      </c>
      <c r="L117" s="6"/>
    </row>
    <row r="118" spans="1:12" ht="20.25" x14ac:dyDescent="0.2">
      <c r="A118" s="147"/>
      <c r="B118" s="139"/>
      <c r="C118" s="10"/>
      <c r="D118" s="11"/>
      <c r="E118" s="6"/>
      <c r="F118" s="10"/>
      <c r="G118" s="8"/>
      <c r="H118" s="9"/>
      <c r="I118" s="8"/>
      <c r="J118" s="1" t="e">
        <f>1-VLOOKUP(H118,'Modell-Kalibrierung'!$B$3:$C$8,2,0)</f>
        <v>#N/A</v>
      </c>
      <c r="K118" s="93">
        <f>IF(ISNA(J118),0,VLOOKUP(G118,'Modell-Kalibrierung'!$B$16:$C$22,2,FALSE)*VLOOKUP(H118,'Modell-Kalibrierung'!$B$3:$C$8,2,0)+VLOOKUP(I118,'Modell-Kalibrierung'!$B$16:$C$22,2,0)*'STEP-Analyse Brasilien'!J118)</f>
        <v>0</v>
      </c>
      <c r="L118" s="6"/>
    </row>
    <row r="119" spans="1:12" ht="20.25" x14ac:dyDescent="0.2">
      <c r="A119" s="147"/>
      <c r="B119" s="139"/>
      <c r="C119" s="10"/>
      <c r="D119" s="11"/>
      <c r="E119" s="6"/>
      <c r="F119" s="10"/>
      <c r="G119" s="8"/>
      <c r="H119" s="9"/>
      <c r="I119" s="8"/>
      <c r="J119" s="1" t="e">
        <f>1-VLOOKUP(H119,'Modell-Kalibrierung'!$B$3:$C$8,2,0)</f>
        <v>#N/A</v>
      </c>
      <c r="K119" s="93">
        <f>IF(ISNA(J119),0,VLOOKUP(G119,'Modell-Kalibrierung'!$B$16:$C$22,2,FALSE)*VLOOKUP(H119,'Modell-Kalibrierung'!$B$3:$C$8,2,0)+VLOOKUP(I119,'Modell-Kalibrierung'!$B$16:$C$22,2,0)*'STEP-Analyse Brasilien'!J119)</f>
        <v>0</v>
      </c>
      <c r="L119" s="6"/>
    </row>
    <row r="120" spans="1:12" ht="20.25" x14ac:dyDescent="0.2">
      <c r="A120" s="147"/>
      <c r="B120" s="139"/>
      <c r="C120" s="10"/>
      <c r="D120" s="11"/>
      <c r="E120" s="6"/>
      <c r="F120" s="10"/>
      <c r="G120" s="8"/>
      <c r="H120" s="9"/>
      <c r="I120" s="8"/>
      <c r="J120" s="1" t="e">
        <f>1-VLOOKUP(H120,'Modell-Kalibrierung'!$B$3:$C$8,2,0)</f>
        <v>#N/A</v>
      </c>
      <c r="K120" s="93">
        <f>IF(ISNA(J120),0,VLOOKUP(G120,'Modell-Kalibrierung'!$B$16:$C$22,2,FALSE)*VLOOKUP(H120,'Modell-Kalibrierung'!$B$3:$C$8,2,0)+VLOOKUP(I120,'Modell-Kalibrierung'!$B$16:$C$22,2,0)*'STEP-Analyse Brasilien'!J120)</f>
        <v>0</v>
      </c>
      <c r="L120" s="6"/>
    </row>
    <row r="121" spans="1:12" ht="21" thickBot="1" x14ac:dyDescent="0.25">
      <c r="A121" s="147"/>
      <c r="B121" s="139"/>
      <c r="C121" s="10"/>
      <c r="D121" s="11"/>
      <c r="E121" s="6"/>
      <c r="F121" s="10"/>
      <c r="G121" s="8"/>
      <c r="H121" s="9"/>
      <c r="I121" s="8"/>
      <c r="J121" s="1" t="e">
        <f>1-VLOOKUP(H121,'Modell-Kalibrierung'!$B$3:$C$8,2,0)</f>
        <v>#N/A</v>
      </c>
      <c r="K121" s="93">
        <f>IF(ISNA(J121),0,VLOOKUP(G121,'Modell-Kalibrierung'!$B$16:$C$22,2,FALSE)*VLOOKUP(H121,'Modell-Kalibrierung'!$B$3:$C$8,2,0)+VLOOKUP(I121,'Modell-Kalibrierung'!$B$16:$C$22,2,0)*'STEP-Analyse Brasilien'!J121)</f>
        <v>0</v>
      </c>
      <c r="L121" s="6"/>
    </row>
    <row r="122" spans="1:12" ht="36" customHeight="1" thickBot="1" x14ac:dyDescent="0.25">
      <c r="A122" s="147"/>
      <c r="B122" s="139"/>
      <c r="C122" s="125" t="str">
        <f>B117</f>
        <v>Produktlebenszyklen</v>
      </c>
      <c r="D122" s="126"/>
      <c r="E122" s="126"/>
      <c r="F122" s="126"/>
      <c r="G122" s="127"/>
      <c r="H122" s="127"/>
      <c r="I122" s="127"/>
      <c r="J122" s="128"/>
      <c r="K122" s="4">
        <f>SUM(K117:K121)</f>
        <v>0</v>
      </c>
      <c r="L122" s="16" t="str">
        <f>IF(K122=0,"0% Anteil am Gesamtprojektrisiko",(K122/$K$123))</f>
        <v>0% Anteil am Gesamtprojektrisiko</v>
      </c>
    </row>
    <row r="123" spans="1:12" ht="63.75" customHeight="1" thickBot="1" x14ac:dyDescent="0.25">
      <c r="A123" s="142" t="s">
        <v>32</v>
      </c>
      <c r="B123" s="143"/>
      <c r="C123" s="143"/>
      <c r="D123" s="143"/>
      <c r="E123" s="143"/>
      <c r="F123" s="143"/>
      <c r="G123" s="143"/>
      <c r="H123" s="143"/>
      <c r="I123" s="143"/>
      <c r="J123" s="143"/>
      <c r="K123" s="60">
        <f>M31</f>
        <v>0</v>
      </c>
      <c r="L123" s="15"/>
    </row>
    <row r="124" spans="1:12" x14ac:dyDescent="0.2">
      <c r="A124" s="36"/>
      <c r="B124" s="36"/>
      <c r="C124" s="36"/>
      <c r="D124" s="36"/>
      <c r="E124" s="36"/>
      <c r="F124" s="36"/>
      <c r="G124" s="36"/>
      <c r="H124" s="36"/>
      <c r="I124" s="36"/>
      <c r="J124" s="36"/>
      <c r="K124" s="36"/>
    </row>
    <row r="125" spans="1:12" x14ac:dyDescent="0.2">
      <c r="A125" s="36"/>
      <c r="B125" s="36"/>
      <c r="C125" s="36"/>
      <c r="D125" s="36"/>
      <c r="E125" s="36"/>
      <c r="F125" s="36"/>
      <c r="G125" s="36"/>
      <c r="H125" s="36"/>
      <c r="I125" s="36"/>
      <c r="J125" s="94"/>
      <c r="K125" s="94"/>
      <c r="L125" s="94"/>
    </row>
    <row r="126" spans="1:12" ht="20.25" x14ac:dyDescent="0.2">
      <c r="A126" s="36"/>
      <c r="B126" s="36"/>
      <c r="C126" s="36"/>
      <c r="D126" s="36"/>
      <c r="E126" s="36"/>
      <c r="F126" s="36"/>
      <c r="G126" s="36"/>
      <c r="H126" s="36"/>
      <c r="I126" s="36"/>
      <c r="J126" s="95"/>
      <c r="K126" s="96"/>
      <c r="L126" s="94"/>
    </row>
    <row r="127" spans="1:12" x14ac:dyDescent="0.2">
      <c r="A127" s="36"/>
      <c r="B127" s="36"/>
      <c r="C127" s="36"/>
      <c r="D127" s="36"/>
      <c r="E127" s="36"/>
      <c r="F127" s="36"/>
      <c r="G127" s="36"/>
      <c r="H127" s="36"/>
      <c r="I127" s="36"/>
      <c r="J127" s="94"/>
      <c r="K127" s="94"/>
      <c r="L127" s="94"/>
    </row>
    <row r="128" spans="1:12" x14ac:dyDescent="0.2">
      <c r="A128" s="36"/>
      <c r="B128" s="36"/>
      <c r="C128" s="36"/>
      <c r="D128" s="36"/>
      <c r="E128" s="36"/>
      <c r="F128" s="36"/>
      <c r="G128" s="36"/>
      <c r="H128" s="36"/>
      <c r="I128" s="36"/>
      <c r="J128" s="94"/>
      <c r="K128" s="94"/>
      <c r="L128" s="94"/>
    </row>
    <row r="129" spans="1:36" x14ac:dyDescent="0.2">
      <c r="A129" s="36"/>
      <c r="B129" s="36"/>
      <c r="C129" s="36"/>
      <c r="D129" s="36"/>
      <c r="E129" s="36"/>
      <c r="F129" s="36"/>
      <c r="G129" s="36"/>
      <c r="H129" s="36"/>
      <c r="I129" s="36"/>
      <c r="J129" s="94"/>
      <c r="K129" s="94"/>
      <c r="L129" s="94"/>
    </row>
    <row r="130" spans="1:36" x14ac:dyDescent="0.2">
      <c r="A130" s="36"/>
      <c r="B130" s="36"/>
      <c r="C130" s="36"/>
      <c r="D130" s="36"/>
      <c r="E130" s="36"/>
      <c r="F130" s="36"/>
      <c r="G130" s="36"/>
      <c r="H130" s="36"/>
      <c r="I130" s="36"/>
      <c r="J130" s="94"/>
      <c r="K130" s="94"/>
      <c r="L130" s="94"/>
    </row>
    <row r="131" spans="1:36" x14ac:dyDescent="0.2">
      <c r="A131" s="36"/>
      <c r="B131" s="36"/>
      <c r="C131" s="36"/>
      <c r="D131" s="36"/>
      <c r="E131" s="36"/>
      <c r="F131" s="36"/>
      <c r="G131" s="36"/>
      <c r="H131" s="36"/>
      <c r="I131" s="36"/>
      <c r="J131" s="94"/>
      <c r="K131" s="94"/>
      <c r="L131" s="94"/>
    </row>
    <row r="132" spans="1:36" x14ac:dyDescent="0.2">
      <c r="A132" s="36"/>
      <c r="B132" s="36"/>
      <c r="C132" s="36"/>
      <c r="D132" s="36"/>
      <c r="E132" s="36"/>
      <c r="F132" s="36"/>
      <c r="G132" s="36"/>
      <c r="H132" s="36"/>
      <c r="I132" s="36"/>
      <c r="J132" s="94"/>
      <c r="K132" s="94"/>
      <c r="L132" s="94"/>
      <c r="AF132" s="97"/>
      <c r="AG132" s="97"/>
      <c r="AH132" s="97"/>
      <c r="AI132" s="97"/>
      <c r="AJ132" s="97"/>
    </row>
    <row r="133" spans="1:36" ht="20.25" x14ac:dyDescent="0.2">
      <c r="A133" s="36"/>
      <c r="B133" s="36"/>
      <c r="C133" s="36"/>
      <c r="D133" s="36"/>
      <c r="E133" s="36"/>
      <c r="F133" s="36"/>
      <c r="G133" s="36"/>
      <c r="H133" s="36"/>
      <c r="I133" s="36"/>
      <c r="J133" s="95"/>
      <c r="K133" s="96"/>
      <c r="L133" s="94"/>
    </row>
    <row r="134" spans="1:36" x14ac:dyDescent="0.2">
      <c r="A134" s="36"/>
      <c r="B134" s="36"/>
      <c r="C134" s="36"/>
      <c r="D134" s="36"/>
      <c r="E134" s="36"/>
      <c r="F134" s="36"/>
      <c r="G134" s="36"/>
      <c r="H134" s="36"/>
      <c r="I134" s="36"/>
      <c r="J134" s="94"/>
      <c r="K134" s="94"/>
      <c r="L134" s="94"/>
    </row>
    <row r="135" spans="1:36" x14ac:dyDescent="0.2">
      <c r="A135" s="36"/>
      <c r="B135" s="36"/>
      <c r="C135" s="36"/>
      <c r="D135" s="36"/>
      <c r="E135" s="36"/>
      <c r="F135" s="36"/>
      <c r="G135" s="36"/>
      <c r="H135" s="36"/>
      <c r="I135" s="36"/>
      <c r="J135" s="94"/>
      <c r="K135" s="94"/>
      <c r="L135" s="94"/>
    </row>
    <row r="136" spans="1:36" x14ac:dyDescent="0.2">
      <c r="A136" s="36"/>
      <c r="B136" s="36"/>
      <c r="C136" s="36"/>
      <c r="D136" s="36"/>
      <c r="E136" s="36"/>
      <c r="F136" s="36"/>
      <c r="G136" s="36"/>
      <c r="H136" s="36"/>
      <c r="I136" s="36"/>
      <c r="J136" s="94"/>
      <c r="K136" s="94"/>
      <c r="L136" s="94"/>
    </row>
    <row r="137" spans="1:36" x14ac:dyDescent="0.2">
      <c r="A137" s="36"/>
      <c r="B137" s="36"/>
      <c r="C137" s="36"/>
      <c r="D137" s="36"/>
      <c r="E137" s="36"/>
      <c r="F137" s="36"/>
      <c r="G137" s="36"/>
      <c r="H137" s="36"/>
      <c r="I137" s="36"/>
      <c r="J137" s="94"/>
      <c r="K137" s="94"/>
      <c r="L137" s="94"/>
    </row>
    <row r="138" spans="1:36" x14ac:dyDescent="0.2">
      <c r="A138" s="36"/>
      <c r="B138" s="36"/>
      <c r="C138" s="36"/>
      <c r="D138" s="36"/>
      <c r="E138" s="36"/>
      <c r="F138" s="36"/>
      <c r="G138" s="36"/>
      <c r="H138" s="36"/>
      <c r="I138" s="36"/>
      <c r="J138" s="94"/>
      <c r="K138" s="94"/>
      <c r="L138" s="94"/>
    </row>
    <row r="139" spans="1:36" x14ac:dyDescent="0.2">
      <c r="A139" s="36"/>
      <c r="B139" s="36"/>
      <c r="C139" s="36"/>
      <c r="D139" s="36"/>
      <c r="E139" s="36"/>
      <c r="F139" s="36"/>
      <c r="G139" s="36"/>
      <c r="H139" s="36"/>
      <c r="I139" s="36"/>
      <c r="J139" s="94"/>
      <c r="K139" s="94"/>
      <c r="L139" s="94"/>
    </row>
    <row r="140" spans="1:36" ht="20.25" x14ac:dyDescent="0.2">
      <c r="A140" s="36"/>
      <c r="B140" s="36"/>
      <c r="C140" s="36"/>
      <c r="D140" s="36"/>
      <c r="E140" s="36"/>
      <c r="F140" s="36"/>
      <c r="G140" s="36"/>
      <c r="H140" s="36"/>
      <c r="I140" s="36"/>
      <c r="J140" s="95"/>
      <c r="K140" s="96"/>
      <c r="L140" s="94"/>
    </row>
    <row r="141" spans="1:36" x14ac:dyDescent="0.2">
      <c r="A141" s="36"/>
      <c r="B141" s="36"/>
      <c r="C141" s="36"/>
      <c r="D141" s="36"/>
      <c r="E141" s="36"/>
      <c r="F141" s="36"/>
      <c r="G141" s="36"/>
      <c r="H141" s="36"/>
      <c r="I141" s="36"/>
      <c r="J141" s="94"/>
      <c r="K141" s="94"/>
      <c r="L141" s="94"/>
    </row>
    <row r="142" spans="1:36" x14ac:dyDescent="0.2">
      <c r="A142" s="36"/>
      <c r="B142" s="36"/>
      <c r="C142" s="36"/>
      <c r="D142" s="36"/>
      <c r="E142" s="36"/>
      <c r="F142" s="36"/>
      <c r="G142" s="36"/>
      <c r="H142" s="36"/>
      <c r="I142" s="36"/>
      <c r="J142" s="94"/>
      <c r="K142" s="94"/>
      <c r="L142" s="94"/>
    </row>
    <row r="143" spans="1:36" x14ac:dyDescent="0.2">
      <c r="A143" s="36"/>
      <c r="B143" s="36"/>
      <c r="C143" s="36"/>
      <c r="D143" s="36"/>
      <c r="E143" s="36"/>
      <c r="F143" s="36"/>
      <c r="G143" s="36"/>
      <c r="H143" s="36"/>
      <c r="I143" s="36"/>
      <c r="J143" s="36"/>
      <c r="K143" s="36"/>
      <c r="L143" s="36"/>
    </row>
    <row r="144" spans="1:36" x14ac:dyDescent="0.2">
      <c r="A144" s="36"/>
      <c r="B144" s="36"/>
      <c r="C144" s="36"/>
      <c r="D144" s="36"/>
      <c r="E144" s="36"/>
      <c r="F144" s="36"/>
      <c r="G144" s="36"/>
      <c r="H144" s="36"/>
      <c r="I144" s="36"/>
      <c r="J144" s="36"/>
      <c r="K144" s="36"/>
      <c r="L144" s="36"/>
    </row>
    <row r="145" spans="1:31" x14ac:dyDescent="0.2">
      <c r="A145" s="36"/>
      <c r="B145" s="36"/>
      <c r="C145" s="36"/>
      <c r="D145" s="36"/>
      <c r="E145" s="36"/>
      <c r="F145" s="36"/>
      <c r="G145" s="36"/>
      <c r="H145" s="36"/>
      <c r="I145" s="36"/>
      <c r="J145" s="36"/>
      <c r="K145" s="36"/>
      <c r="L145" s="36"/>
    </row>
    <row r="146" spans="1:31" x14ac:dyDescent="0.2">
      <c r="A146" s="36"/>
      <c r="B146" s="36"/>
      <c r="C146" s="36"/>
      <c r="D146" s="36"/>
      <c r="E146" s="36"/>
      <c r="F146" s="36"/>
      <c r="G146" s="36"/>
      <c r="H146" s="36"/>
      <c r="I146" s="36"/>
      <c r="J146" s="36"/>
      <c r="K146" s="36"/>
      <c r="L146" s="36"/>
    </row>
    <row r="147" spans="1:31" x14ac:dyDescent="0.2">
      <c r="A147" s="36"/>
      <c r="B147" s="36"/>
      <c r="C147" s="36"/>
      <c r="D147" s="36"/>
      <c r="E147" s="36"/>
      <c r="F147" s="36"/>
      <c r="G147" s="36"/>
      <c r="H147" s="36"/>
      <c r="I147" s="36"/>
      <c r="J147" s="36"/>
      <c r="K147" s="36"/>
      <c r="L147" s="36"/>
    </row>
    <row r="148" spans="1:31" x14ac:dyDescent="0.2">
      <c r="A148" s="36"/>
      <c r="B148" s="36"/>
      <c r="C148" s="36"/>
      <c r="D148" s="36"/>
      <c r="E148" s="36"/>
      <c r="F148" s="36"/>
      <c r="G148" s="36"/>
      <c r="H148" s="36"/>
      <c r="I148" s="36"/>
      <c r="J148" s="36"/>
      <c r="K148" s="36"/>
      <c r="L148" s="36"/>
    </row>
    <row r="149" spans="1:31" x14ac:dyDescent="0.2">
      <c r="A149" s="36"/>
      <c r="B149" s="36"/>
      <c r="C149" s="36"/>
      <c r="D149" s="36"/>
      <c r="E149" s="36"/>
      <c r="F149" s="36"/>
      <c r="G149" s="36"/>
      <c r="H149" s="36"/>
      <c r="I149" s="36"/>
      <c r="J149" s="36"/>
      <c r="K149" s="36"/>
      <c r="L149" s="36"/>
    </row>
    <row r="150" spans="1:31" x14ac:dyDescent="0.2">
      <c r="A150" s="36"/>
      <c r="B150" s="36"/>
      <c r="C150" s="36"/>
      <c r="D150" s="36"/>
      <c r="E150" s="36"/>
      <c r="F150" s="36"/>
      <c r="G150" s="36"/>
      <c r="H150" s="36"/>
      <c r="I150" s="36"/>
      <c r="J150" s="36"/>
      <c r="K150" s="36"/>
      <c r="L150" s="36"/>
    </row>
    <row r="151" spans="1:31" x14ac:dyDescent="0.2">
      <c r="A151" s="36"/>
      <c r="B151" s="36"/>
      <c r="C151" s="36"/>
      <c r="D151" s="36"/>
      <c r="E151" s="36"/>
      <c r="F151" s="36"/>
      <c r="G151" s="36"/>
      <c r="H151" s="36"/>
      <c r="I151" s="36"/>
      <c r="J151" s="36"/>
      <c r="K151" s="36"/>
      <c r="L151" s="36"/>
    </row>
    <row r="152" spans="1:31" x14ac:dyDescent="0.2">
      <c r="A152" s="36"/>
      <c r="B152" s="36"/>
      <c r="C152" s="36"/>
      <c r="D152" s="36"/>
      <c r="E152" s="36"/>
      <c r="F152" s="36"/>
      <c r="G152" s="36"/>
      <c r="H152" s="36"/>
      <c r="I152" s="36"/>
      <c r="J152" s="36"/>
      <c r="K152" s="36"/>
      <c r="L152" s="36"/>
    </row>
    <row r="153" spans="1:31" x14ac:dyDescent="0.2">
      <c r="A153" s="36"/>
      <c r="B153" s="36"/>
      <c r="C153" s="36"/>
      <c r="D153" s="36"/>
      <c r="E153" s="36"/>
      <c r="F153" s="36"/>
      <c r="G153" s="36"/>
      <c r="H153" s="36"/>
      <c r="I153" s="36"/>
      <c r="J153" s="36"/>
      <c r="K153" s="36"/>
      <c r="L153" s="36"/>
    </row>
    <row r="154" spans="1:31" x14ac:dyDescent="0.2">
      <c r="A154" s="36"/>
      <c r="B154" s="36"/>
      <c r="C154" s="36"/>
      <c r="D154" s="36"/>
      <c r="E154" s="36"/>
      <c r="F154" s="36"/>
      <c r="G154" s="36"/>
      <c r="H154" s="36"/>
      <c r="I154" s="36"/>
      <c r="J154" s="36"/>
      <c r="K154" s="36"/>
      <c r="L154" s="36"/>
    </row>
    <row r="155" spans="1:31" x14ac:dyDescent="0.2">
      <c r="A155" s="36"/>
      <c r="B155" s="36"/>
      <c r="C155" s="36"/>
      <c r="D155" s="36"/>
      <c r="E155" s="36"/>
      <c r="F155" s="36"/>
      <c r="G155" s="36"/>
      <c r="H155" s="36"/>
      <c r="I155" s="36"/>
      <c r="J155" s="36"/>
      <c r="K155" s="36"/>
      <c r="L155" s="36"/>
    </row>
    <row r="156" spans="1:31" x14ac:dyDescent="0.2">
      <c r="A156" s="36"/>
      <c r="B156" s="36"/>
      <c r="C156" s="36"/>
      <c r="D156" s="36"/>
      <c r="E156" s="36"/>
      <c r="F156" s="36"/>
      <c r="G156" s="36"/>
      <c r="H156" s="36"/>
      <c r="I156" s="36"/>
      <c r="J156" s="36"/>
      <c r="K156" s="36"/>
      <c r="L156" s="36"/>
    </row>
    <row r="157" spans="1:31" x14ac:dyDescent="0.2">
      <c r="A157" s="36"/>
      <c r="B157" s="36"/>
      <c r="C157" s="36"/>
      <c r="D157" s="36"/>
      <c r="E157" s="36"/>
      <c r="F157" s="36"/>
      <c r="G157" s="36"/>
      <c r="H157" s="36"/>
      <c r="I157" s="36"/>
      <c r="J157" s="36"/>
      <c r="K157" s="36"/>
      <c r="L157" s="36"/>
    </row>
    <row r="158" spans="1:31" x14ac:dyDescent="0.2">
      <c r="A158" s="36"/>
      <c r="B158" s="36"/>
      <c r="C158" s="36"/>
      <c r="D158" s="36"/>
      <c r="E158" s="36"/>
      <c r="F158" s="36"/>
      <c r="G158" s="36"/>
      <c r="H158" s="36"/>
      <c r="I158" s="36"/>
      <c r="J158" s="36"/>
      <c r="K158" s="36"/>
      <c r="L158" s="36"/>
    </row>
    <row r="159" spans="1:31" x14ac:dyDescent="0.2">
      <c r="A159" s="36"/>
      <c r="B159" s="36"/>
      <c r="C159" s="36"/>
      <c r="D159" s="36"/>
      <c r="E159" s="36"/>
      <c r="F159" s="36"/>
      <c r="G159" s="36"/>
      <c r="H159" s="36"/>
      <c r="I159" s="36"/>
      <c r="J159" s="36"/>
      <c r="K159" s="36"/>
      <c r="L159" s="36"/>
    </row>
    <row r="160" spans="1:31" x14ac:dyDescent="0.2">
      <c r="A160" s="36"/>
      <c r="B160" s="36"/>
      <c r="C160" s="36"/>
      <c r="D160" s="36"/>
      <c r="E160" s="36"/>
      <c r="F160" s="36"/>
      <c r="G160" s="36"/>
      <c r="H160" s="36"/>
      <c r="I160" s="36"/>
      <c r="J160" s="36"/>
      <c r="K160" s="36"/>
      <c r="L160" s="36"/>
      <c r="P160" s="98"/>
      <c r="Q160" s="98"/>
      <c r="R160" s="98"/>
      <c r="S160" s="98"/>
      <c r="T160" s="98"/>
      <c r="U160" s="98"/>
      <c r="V160" s="98"/>
      <c r="W160" s="98"/>
      <c r="X160" s="98"/>
      <c r="Y160" s="98"/>
      <c r="Z160" s="98"/>
      <c r="AA160" s="98"/>
      <c r="AB160" s="98"/>
      <c r="AC160" s="98"/>
      <c r="AD160" s="98"/>
      <c r="AE160" s="98"/>
    </row>
    <row r="161" spans="1:31" x14ac:dyDescent="0.2">
      <c r="A161" s="36"/>
      <c r="B161" s="36"/>
      <c r="C161" s="36"/>
      <c r="D161" s="36"/>
      <c r="E161" s="36"/>
      <c r="F161" s="36"/>
      <c r="G161" s="36"/>
      <c r="H161" s="36"/>
      <c r="I161" s="36"/>
      <c r="J161" s="36"/>
      <c r="K161" s="36"/>
      <c r="L161" s="36"/>
      <c r="P161" s="98"/>
      <c r="Q161" s="98"/>
      <c r="R161" s="98"/>
      <c r="S161" s="98"/>
      <c r="T161" s="98"/>
      <c r="U161" s="98"/>
      <c r="V161" s="98"/>
      <c r="W161" s="98"/>
      <c r="X161" s="98"/>
      <c r="Y161" s="98"/>
      <c r="Z161" s="98"/>
      <c r="AA161" s="98"/>
      <c r="AB161" s="98"/>
      <c r="AC161" s="98"/>
      <c r="AD161" s="98"/>
      <c r="AE161" s="98"/>
    </row>
    <row r="162" spans="1:31" x14ac:dyDescent="0.2">
      <c r="A162" s="36"/>
      <c r="B162" s="36"/>
      <c r="C162" s="36"/>
      <c r="D162" s="36"/>
      <c r="E162" s="36"/>
      <c r="F162" s="36"/>
      <c r="G162" s="36"/>
      <c r="H162" s="36"/>
      <c r="I162" s="36"/>
      <c r="J162" s="36"/>
      <c r="K162" s="36"/>
      <c r="L162" s="36"/>
      <c r="P162" s="98"/>
      <c r="Q162" s="98"/>
      <c r="R162" s="98"/>
      <c r="S162" s="98"/>
      <c r="T162" s="98"/>
      <c r="U162" s="98"/>
      <c r="V162" s="98"/>
      <c r="W162" s="98"/>
      <c r="X162" s="98"/>
      <c r="Y162" s="98"/>
      <c r="Z162" s="98"/>
      <c r="AA162" s="98"/>
      <c r="AB162" s="98"/>
      <c r="AC162" s="98"/>
      <c r="AD162" s="98"/>
      <c r="AE162" s="98"/>
    </row>
    <row r="163" spans="1:31" x14ac:dyDescent="0.2">
      <c r="A163" s="36"/>
      <c r="B163" s="36"/>
      <c r="C163" s="36"/>
      <c r="D163" s="36"/>
      <c r="E163" s="36"/>
      <c r="F163" s="36"/>
      <c r="G163" s="36"/>
      <c r="H163" s="36"/>
      <c r="I163" s="36"/>
      <c r="J163" s="36"/>
      <c r="K163" s="36"/>
      <c r="L163" s="36"/>
      <c r="P163" s="98"/>
      <c r="Q163" s="98"/>
      <c r="R163" s="98"/>
      <c r="S163" s="98"/>
      <c r="T163" s="98"/>
      <c r="U163" s="98"/>
      <c r="V163" s="98"/>
      <c r="W163" s="98"/>
      <c r="X163" s="98"/>
      <c r="Y163" s="98"/>
      <c r="Z163" s="98"/>
      <c r="AA163" s="98"/>
      <c r="AB163" s="98"/>
      <c r="AC163" s="98"/>
      <c r="AD163" s="98"/>
      <c r="AE163" s="98"/>
    </row>
    <row r="164" spans="1:31" x14ac:dyDescent="0.2">
      <c r="A164" s="36"/>
      <c r="B164" s="36"/>
      <c r="C164" s="36"/>
      <c r="D164" s="36"/>
      <c r="E164" s="36"/>
      <c r="F164" s="36"/>
      <c r="G164" s="36"/>
      <c r="H164" s="36"/>
      <c r="I164" s="36"/>
      <c r="J164" s="36"/>
      <c r="K164" s="36"/>
      <c r="L164" s="36"/>
      <c r="P164" s="98"/>
      <c r="Q164" s="98"/>
      <c r="R164" s="98"/>
      <c r="S164" s="98"/>
      <c r="T164" s="98"/>
      <c r="U164" s="98"/>
      <c r="V164" s="98"/>
      <c r="W164" s="98"/>
      <c r="X164" s="98"/>
      <c r="Y164" s="98"/>
      <c r="Z164" s="98"/>
      <c r="AA164" s="98"/>
      <c r="AB164" s="98"/>
      <c r="AC164" s="98"/>
      <c r="AD164" s="98"/>
      <c r="AE164" s="98"/>
    </row>
    <row r="165" spans="1:31" x14ac:dyDescent="0.2">
      <c r="A165" s="36"/>
      <c r="B165" s="36"/>
      <c r="C165" s="36"/>
      <c r="D165" s="36"/>
      <c r="E165" s="36"/>
      <c r="F165" s="36"/>
      <c r="G165" s="36"/>
      <c r="H165" s="36"/>
      <c r="I165" s="36"/>
      <c r="J165" s="36"/>
      <c r="K165" s="36"/>
      <c r="L165" s="36"/>
    </row>
    <row r="166" spans="1:31" x14ac:dyDescent="0.2">
      <c r="A166" s="36"/>
      <c r="B166" s="36"/>
      <c r="C166" s="36"/>
      <c r="D166" s="36"/>
      <c r="E166" s="36"/>
      <c r="F166" s="36"/>
      <c r="G166" s="36"/>
      <c r="H166" s="36"/>
      <c r="I166" s="36"/>
      <c r="J166" s="36"/>
      <c r="K166" s="36"/>
      <c r="L166" s="36"/>
    </row>
    <row r="167" spans="1:31" x14ac:dyDescent="0.2">
      <c r="A167" s="36"/>
      <c r="B167" s="36"/>
      <c r="C167" s="36"/>
      <c r="D167" s="36"/>
      <c r="E167" s="36"/>
      <c r="F167" s="36"/>
      <c r="G167" s="36"/>
      <c r="H167" s="36"/>
      <c r="I167" s="36"/>
      <c r="J167" s="36"/>
      <c r="K167" s="36"/>
      <c r="L167" s="36"/>
    </row>
    <row r="168" spans="1:31" x14ac:dyDescent="0.2">
      <c r="A168" s="36"/>
      <c r="B168" s="36"/>
      <c r="C168" s="36"/>
      <c r="D168" s="36"/>
      <c r="E168" s="36"/>
      <c r="F168" s="36"/>
      <c r="G168" s="36"/>
      <c r="H168" s="36"/>
      <c r="I168" s="36"/>
      <c r="J168" s="36"/>
      <c r="K168" s="36"/>
      <c r="L168" s="36"/>
    </row>
    <row r="169" spans="1:31" x14ac:dyDescent="0.2">
      <c r="A169" s="36"/>
      <c r="B169" s="36"/>
      <c r="C169" s="36"/>
      <c r="D169" s="36"/>
      <c r="E169" s="36"/>
      <c r="F169" s="36"/>
      <c r="G169" s="36"/>
      <c r="H169" s="36"/>
      <c r="I169" s="36"/>
      <c r="J169" s="36"/>
      <c r="K169" s="36"/>
      <c r="L169" s="36"/>
    </row>
    <row r="170" spans="1:31" x14ac:dyDescent="0.2">
      <c r="A170" s="36"/>
      <c r="B170" s="36"/>
      <c r="C170" s="36"/>
      <c r="D170" s="36"/>
      <c r="E170" s="36"/>
      <c r="F170" s="36"/>
      <c r="G170" s="36"/>
      <c r="H170" s="36"/>
      <c r="I170" s="36"/>
      <c r="J170" s="36"/>
      <c r="K170" s="36"/>
      <c r="L170" s="36"/>
    </row>
    <row r="171" spans="1:31" x14ac:dyDescent="0.2">
      <c r="A171" s="36"/>
      <c r="B171" s="36"/>
      <c r="C171" s="36"/>
      <c r="D171" s="36"/>
      <c r="E171" s="36"/>
      <c r="F171" s="36"/>
      <c r="G171" s="36"/>
      <c r="H171" s="36"/>
      <c r="I171" s="36"/>
      <c r="J171" s="36"/>
      <c r="K171" s="36"/>
      <c r="L171" s="36"/>
    </row>
    <row r="172" spans="1:31" x14ac:dyDescent="0.2">
      <c r="A172" s="36"/>
      <c r="B172" s="36"/>
      <c r="C172" s="36"/>
      <c r="D172" s="36"/>
      <c r="E172" s="36"/>
      <c r="F172" s="36"/>
      <c r="G172" s="36"/>
      <c r="H172" s="36"/>
      <c r="I172" s="36"/>
      <c r="J172" s="36"/>
      <c r="K172" s="36"/>
      <c r="L172" s="36"/>
    </row>
    <row r="173" spans="1:31" x14ac:dyDescent="0.2">
      <c r="A173" s="36"/>
      <c r="B173" s="36"/>
      <c r="C173" s="36"/>
      <c r="D173" s="36"/>
      <c r="E173" s="36"/>
      <c r="F173" s="36"/>
      <c r="G173" s="36"/>
      <c r="H173" s="36"/>
      <c r="I173" s="36"/>
      <c r="J173" s="36"/>
      <c r="K173" s="36"/>
      <c r="L173" s="36"/>
    </row>
    <row r="174" spans="1:31" x14ac:dyDescent="0.2">
      <c r="A174" s="36"/>
      <c r="B174" s="36"/>
      <c r="C174" s="36"/>
      <c r="D174" s="36"/>
      <c r="E174" s="36"/>
      <c r="F174" s="36"/>
      <c r="G174" s="36"/>
      <c r="H174" s="36"/>
      <c r="I174" s="36"/>
      <c r="J174" s="36"/>
      <c r="K174" s="36"/>
      <c r="L174" s="36"/>
    </row>
    <row r="175" spans="1:31" x14ac:dyDescent="0.2">
      <c r="A175" s="36"/>
      <c r="B175" s="36"/>
      <c r="C175" s="36"/>
      <c r="D175" s="36"/>
      <c r="E175" s="36"/>
      <c r="F175" s="36"/>
      <c r="G175" s="36"/>
      <c r="H175" s="36"/>
      <c r="I175" s="36"/>
      <c r="J175" s="36"/>
      <c r="K175" s="36"/>
      <c r="L175" s="36"/>
    </row>
    <row r="176" spans="1:31" x14ac:dyDescent="0.2">
      <c r="A176" s="36"/>
      <c r="B176" s="36"/>
      <c r="C176" s="36"/>
      <c r="D176" s="36"/>
      <c r="E176" s="36"/>
      <c r="F176" s="36"/>
      <c r="G176" s="36"/>
      <c r="H176" s="36"/>
      <c r="I176" s="36"/>
      <c r="J176" s="36"/>
      <c r="K176" s="36"/>
      <c r="L176" s="36"/>
    </row>
    <row r="177" spans="1:31" x14ac:dyDescent="0.2">
      <c r="A177" s="36"/>
      <c r="B177" s="36"/>
      <c r="C177" s="36"/>
      <c r="D177" s="36"/>
      <c r="E177" s="36"/>
      <c r="F177" s="36"/>
      <c r="G177" s="36"/>
      <c r="H177" s="36"/>
      <c r="I177" s="36"/>
      <c r="J177" s="36"/>
      <c r="K177" s="36"/>
      <c r="L177" s="36"/>
    </row>
    <row r="178" spans="1:31" s="36" customFormat="1" x14ac:dyDescent="0.2">
      <c r="M178" s="54"/>
      <c r="N178" s="54"/>
      <c r="O178" s="104"/>
      <c r="P178" s="104"/>
      <c r="Q178" s="104"/>
      <c r="R178" s="104"/>
      <c r="S178" s="104"/>
      <c r="T178" s="104"/>
      <c r="U178" s="104"/>
      <c r="V178" s="104"/>
      <c r="W178" s="104"/>
      <c r="X178" s="104"/>
      <c r="Y178" s="104"/>
      <c r="Z178" s="104"/>
      <c r="AA178" s="104"/>
      <c r="AB178" s="104"/>
      <c r="AC178" s="104"/>
      <c r="AD178" s="104"/>
      <c r="AE178" s="104"/>
    </row>
    <row r="179" spans="1:31" s="36" customFormat="1" x14ac:dyDescent="0.2">
      <c r="M179" s="54"/>
      <c r="N179" s="54"/>
      <c r="O179" s="104"/>
      <c r="P179" s="104"/>
      <c r="Q179" s="104"/>
      <c r="R179" s="104"/>
      <c r="S179" s="104"/>
      <c r="T179" s="104"/>
      <c r="U179" s="104"/>
      <c r="V179" s="104"/>
      <c r="W179" s="104"/>
      <c r="X179" s="104"/>
      <c r="Y179" s="104"/>
      <c r="Z179" s="104"/>
      <c r="AA179" s="104"/>
      <c r="AB179" s="104"/>
      <c r="AC179" s="104"/>
      <c r="AD179" s="104"/>
      <c r="AE179" s="104"/>
    </row>
    <row r="180" spans="1:31" s="36" customFormat="1" x14ac:dyDescent="0.2">
      <c r="M180" s="54"/>
      <c r="N180" s="54"/>
      <c r="O180" s="104"/>
      <c r="P180" s="104"/>
      <c r="Q180" s="104"/>
      <c r="R180" s="104"/>
      <c r="S180" s="104"/>
      <c r="T180" s="104"/>
      <c r="U180" s="104"/>
      <c r="V180" s="104"/>
      <c r="W180" s="104"/>
      <c r="X180" s="104"/>
      <c r="Y180" s="104"/>
      <c r="Z180" s="104"/>
      <c r="AA180" s="104"/>
      <c r="AB180" s="104"/>
      <c r="AC180" s="104"/>
      <c r="AD180" s="104"/>
      <c r="AE180" s="104"/>
    </row>
    <row r="181" spans="1:31" s="36" customFormat="1" x14ac:dyDescent="0.2">
      <c r="M181" s="54"/>
      <c r="N181" s="54"/>
      <c r="O181" s="104"/>
      <c r="P181" s="104"/>
      <c r="Q181" s="104"/>
      <c r="R181" s="104"/>
      <c r="S181" s="104"/>
      <c r="T181" s="104"/>
      <c r="U181" s="104"/>
      <c r="V181" s="104"/>
      <c r="W181" s="104"/>
      <c r="X181" s="104"/>
      <c r="Y181" s="104"/>
      <c r="Z181" s="104"/>
      <c r="AA181" s="104"/>
      <c r="AB181" s="104"/>
      <c r="AC181" s="104"/>
      <c r="AD181" s="104"/>
      <c r="AE181" s="104"/>
    </row>
    <row r="182" spans="1:31" s="36" customFormat="1" x14ac:dyDescent="0.2">
      <c r="M182" s="54"/>
      <c r="N182" s="54"/>
      <c r="O182" s="104"/>
      <c r="P182" s="104"/>
      <c r="Q182" s="104"/>
      <c r="R182" s="104"/>
      <c r="S182" s="104"/>
      <c r="T182" s="104"/>
      <c r="U182" s="104"/>
      <c r="V182" s="104"/>
      <c r="W182" s="104"/>
      <c r="X182" s="104"/>
      <c r="Y182" s="104"/>
      <c r="Z182" s="104"/>
      <c r="AA182" s="104"/>
      <c r="AB182" s="104"/>
      <c r="AC182" s="104"/>
      <c r="AD182" s="104"/>
      <c r="AE182" s="104"/>
    </row>
    <row r="183" spans="1:31" s="36" customFormat="1" x14ac:dyDescent="0.2">
      <c r="M183" s="54"/>
      <c r="N183" s="54"/>
      <c r="O183" s="104"/>
      <c r="P183" s="104"/>
      <c r="Q183" s="104"/>
      <c r="R183" s="104"/>
      <c r="S183" s="104"/>
      <c r="T183" s="104"/>
      <c r="U183" s="104"/>
      <c r="V183" s="104"/>
      <c r="W183" s="104"/>
      <c r="X183" s="104"/>
      <c r="Y183" s="104"/>
      <c r="Z183" s="104"/>
      <c r="AA183" s="104"/>
      <c r="AB183" s="104"/>
      <c r="AC183" s="104"/>
      <c r="AD183" s="104"/>
      <c r="AE183" s="104"/>
    </row>
    <row r="184" spans="1:31" s="36" customFormat="1" x14ac:dyDescent="0.2">
      <c r="M184" s="54"/>
      <c r="N184" s="54"/>
      <c r="O184" s="104"/>
      <c r="P184" s="104"/>
      <c r="Q184" s="104"/>
      <c r="R184" s="104"/>
      <c r="S184" s="104"/>
      <c r="T184" s="104"/>
      <c r="U184" s="104"/>
      <c r="V184" s="104"/>
      <c r="W184" s="104"/>
      <c r="X184" s="104"/>
      <c r="Y184" s="104"/>
      <c r="Z184" s="104"/>
      <c r="AA184" s="104"/>
      <c r="AB184" s="104"/>
      <c r="AC184" s="104"/>
      <c r="AD184" s="104"/>
      <c r="AE184" s="104"/>
    </row>
    <row r="185" spans="1:31" s="36" customFormat="1" x14ac:dyDescent="0.2">
      <c r="M185" s="54"/>
      <c r="N185" s="54"/>
      <c r="O185" s="104"/>
      <c r="P185" s="104"/>
      <c r="Q185" s="104"/>
      <c r="R185" s="104"/>
      <c r="S185" s="104"/>
      <c r="T185" s="104"/>
      <c r="U185" s="104"/>
      <c r="V185" s="104"/>
      <c r="W185" s="104"/>
      <c r="X185" s="104"/>
      <c r="Y185" s="104"/>
      <c r="Z185" s="104"/>
      <c r="AA185" s="104"/>
      <c r="AB185" s="104"/>
      <c r="AC185" s="104"/>
      <c r="AD185" s="104"/>
      <c r="AE185" s="104"/>
    </row>
    <row r="186" spans="1:31" s="36" customFormat="1" x14ac:dyDescent="0.2">
      <c r="M186" s="54"/>
      <c r="N186" s="54"/>
      <c r="O186" s="104"/>
      <c r="P186" s="104"/>
      <c r="Q186" s="104"/>
      <c r="R186" s="104"/>
      <c r="S186" s="104"/>
      <c r="T186" s="104"/>
      <c r="U186" s="104"/>
      <c r="V186" s="104"/>
      <c r="W186" s="104"/>
      <c r="X186" s="104"/>
      <c r="Y186" s="104"/>
      <c r="Z186" s="104"/>
      <c r="AA186" s="104"/>
      <c r="AB186" s="104"/>
      <c r="AC186" s="104"/>
      <c r="AD186" s="104"/>
      <c r="AE186" s="104"/>
    </row>
    <row r="187" spans="1:31" s="36" customFormat="1" x14ac:dyDescent="0.2">
      <c r="M187" s="54"/>
      <c r="N187" s="54"/>
      <c r="O187" s="104"/>
      <c r="P187" s="104"/>
      <c r="Q187" s="104"/>
      <c r="R187" s="104"/>
      <c r="S187" s="104"/>
      <c r="T187" s="104"/>
      <c r="U187" s="104"/>
      <c r="V187" s="104"/>
      <c r="W187" s="104"/>
      <c r="X187" s="104"/>
      <c r="Y187" s="104"/>
      <c r="Z187" s="104"/>
      <c r="AA187" s="104"/>
      <c r="AB187" s="104"/>
      <c r="AC187" s="104"/>
      <c r="AD187" s="104"/>
      <c r="AE187" s="104"/>
    </row>
    <row r="188" spans="1:31" s="36" customFormat="1" x14ac:dyDescent="0.2">
      <c r="M188" s="54"/>
      <c r="N188" s="54"/>
      <c r="O188" s="104"/>
      <c r="P188" s="104"/>
      <c r="Q188" s="104"/>
      <c r="R188" s="104"/>
      <c r="S188" s="104"/>
      <c r="T188" s="104"/>
      <c r="U188" s="104"/>
      <c r="V188" s="104"/>
      <c r="W188" s="104"/>
      <c r="X188" s="104"/>
      <c r="Y188" s="104"/>
      <c r="Z188" s="104"/>
      <c r="AA188" s="104"/>
      <c r="AB188" s="104"/>
      <c r="AC188" s="104"/>
      <c r="AD188" s="104"/>
      <c r="AE188" s="104"/>
    </row>
    <row r="189" spans="1:31" s="36" customFormat="1" x14ac:dyDescent="0.2">
      <c r="M189" s="54"/>
      <c r="N189" s="54"/>
      <c r="O189" s="104"/>
      <c r="P189" s="104"/>
      <c r="Q189" s="104"/>
      <c r="R189" s="104"/>
      <c r="S189" s="104"/>
      <c r="T189" s="104"/>
      <c r="U189" s="104"/>
      <c r="V189" s="104"/>
      <c r="W189" s="104"/>
      <c r="X189" s="104"/>
      <c r="Y189" s="104"/>
      <c r="Z189" s="104"/>
      <c r="AA189" s="104"/>
      <c r="AB189" s="104"/>
      <c r="AC189" s="104"/>
      <c r="AD189" s="104"/>
      <c r="AE189" s="104"/>
    </row>
  </sheetData>
  <sheetProtection sheet="1" objects="1" scenarios="1" selectLockedCells="1"/>
  <mergeCells count="36">
    <mergeCell ref="C74:J74"/>
    <mergeCell ref="B75:B80"/>
    <mergeCell ref="B31:L31"/>
    <mergeCell ref="A33:A50"/>
    <mergeCell ref="B33:B38"/>
    <mergeCell ref="C38:J38"/>
    <mergeCell ref="B39:B44"/>
    <mergeCell ref="C44:J44"/>
    <mergeCell ref="B45:B50"/>
    <mergeCell ref="C50:J50"/>
    <mergeCell ref="C80:J80"/>
    <mergeCell ref="A81:A98"/>
    <mergeCell ref="B81:B86"/>
    <mergeCell ref="C86:J86"/>
    <mergeCell ref="B87:B92"/>
    <mergeCell ref="C92:J92"/>
    <mergeCell ref="B93:B98"/>
    <mergeCell ref="C98:J98"/>
    <mergeCell ref="A51:A80"/>
    <mergeCell ref="B51:B56"/>
    <mergeCell ref="C56:J56"/>
    <mergeCell ref="B57:B62"/>
    <mergeCell ref="C62:J62"/>
    <mergeCell ref="B63:B68"/>
    <mergeCell ref="C68:J68"/>
    <mergeCell ref="B69:B74"/>
    <mergeCell ref="A123:J123"/>
    <mergeCell ref="A99:A122"/>
    <mergeCell ref="B99:B104"/>
    <mergeCell ref="C104:J104"/>
    <mergeCell ref="B105:B110"/>
    <mergeCell ref="C110:J110"/>
    <mergeCell ref="B111:B116"/>
    <mergeCell ref="C116:J116"/>
    <mergeCell ref="B117:B122"/>
    <mergeCell ref="C122:J122"/>
  </mergeCells>
  <conditionalFormatting sqref="H42:H43">
    <cfRule type="cellIs" dxfId="2879" priority="696" operator="equal">
      <formula>"sehr hoch"</formula>
    </cfRule>
    <cfRule type="cellIs" dxfId="2878" priority="697" operator="equal">
      <formula>"hoch"</formula>
    </cfRule>
    <cfRule type="cellIs" dxfId="2877" priority="698" operator="equal">
      <formula>"mittel"</formula>
    </cfRule>
    <cfRule type="cellIs" dxfId="2876" priority="699" operator="equal">
      <formula>"gering"</formula>
    </cfRule>
    <cfRule type="cellIs" dxfId="2875" priority="700" operator="equal">
      <formula>"sehr gering"</formula>
    </cfRule>
    <cfRule type="cellIs" dxfId="2874" priority="701" operator="equal">
      <formula>"trifft nicht ein"</formula>
    </cfRule>
  </conditionalFormatting>
  <conditionalFormatting sqref="H39:H41">
    <cfRule type="cellIs" dxfId="2873" priority="690" operator="equal">
      <formula>"sehr hoch"</formula>
    </cfRule>
    <cfRule type="cellIs" dxfId="2872" priority="691" operator="equal">
      <formula>"hoch"</formula>
    </cfRule>
    <cfRule type="cellIs" dxfId="2871" priority="692" operator="equal">
      <formula>"mittel"</formula>
    </cfRule>
    <cfRule type="cellIs" dxfId="2870" priority="693" operator="equal">
      <formula>"gering"</formula>
    </cfRule>
    <cfRule type="cellIs" dxfId="2869" priority="694" operator="equal">
      <formula>"sehr gering"</formula>
    </cfRule>
    <cfRule type="cellIs" dxfId="2868" priority="695" operator="equal">
      <formula>"trifft nicht ein"</formula>
    </cfRule>
  </conditionalFormatting>
  <conditionalFormatting sqref="H66:H67">
    <cfRule type="cellIs" dxfId="2867" priority="684" operator="equal">
      <formula>"sehr hoch"</formula>
    </cfRule>
    <cfRule type="cellIs" dxfId="2866" priority="685" operator="equal">
      <formula>"hoch"</formula>
    </cfRule>
    <cfRule type="cellIs" dxfId="2865" priority="686" operator="equal">
      <formula>"mittel"</formula>
    </cfRule>
    <cfRule type="cellIs" dxfId="2864" priority="687" operator="equal">
      <formula>"gering"</formula>
    </cfRule>
    <cfRule type="cellIs" dxfId="2863" priority="688" operator="equal">
      <formula>"sehr gering"</formula>
    </cfRule>
    <cfRule type="cellIs" dxfId="2862" priority="689" operator="equal">
      <formula>"trifft nicht ein"</formula>
    </cfRule>
  </conditionalFormatting>
  <conditionalFormatting sqref="H63:H65">
    <cfRule type="cellIs" dxfId="2861" priority="678" operator="equal">
      <formula>"sehr hoch"</formula>
    </cfRule>
    <cfRule type="cellIs" dxfId="2860" priority="679" operator="equal">
      <formula>"hoch"</formula>
    </cfRule>
    <cfRule type="cellIs" dxfId="2859" priority="680" operator="equal">
      <formula>"mittel"</formula>
    </cfRule>
    <cfRule type="cellIs" dxfId="2858" priority="681" operator="equal">
      <formula>"gering"</formula>
    </cfRule>
    <cfRule type="cellIs" dxfId="2857" priority="682" operator="equal">
      <formula>"sehr gering"</formula>
    </cfRule>
    <cfRule type="cellIs" dxfId="2856" priority="683" operator="equal">
      <formula>"trifft nicht ein"</formula>
    </cfRule>
  </conditionalFormatting>
  <conditionalFormatting sqref="H72:H73">
    <cfRule type="cellIs" dxfId="2855" priority="672" operator="equal">
      <formula>"sehr hoch"</formula>
    </cfRule>
    <cfRule type="cellIs" dxfId="2854" priority="673" operator="equal">
      <formula>"hoch"</formula>
    </cfRule>
    <cfRule type="cellIs" dxfId="2853" priority="674" operator="equal">
      <formula>"mittel"</formula>
    </cfRule>
    <cfRule type="cellIs" dxfId="2852" priority="675" operator="equal">
      <formula>"gering"</formula>
    </cfRule>
    <cfRule type="cellIs" dxfId="2851" priority="676" operator="equal">
      <formula>"sehr gering"</formula>
    </cfRule>
    <cfRule type="cellIs" dxfId="2850" priority="677" operator="equal">
      <formula>"trifft nicht ein"</formula>
    </cfRule>
  </conditionalFormatting>
  <conditionalFormatting sqref="H69:H71">
    <cfRule type="cellIs" dxfId="2849" priority="666" operator="equal">
      <formula>"sehr hoch"</formula>
    </cfRule>
    <cfRule type="cellIs" dxfId="2848" priority="667" operator="equal">
      <formula>"hoch"</formula>
    </cfRule>
    <cfRule type="cellIs" dxfId="2847" priority="668" operator="equal">
      <formula>"mittel"</formula>
    </cfRule>
    <cfRule type="cellIs" dxfId="2846" priority="669" operator="equal">
      <formula>"gering"</formula>
    </cfRule>
    <cfRule type="cellIs" dxfId="2845" priority="670" operator="equal">
      <formula>"sehr gering"</formula>
    </cfRule>
    <cfRule type="cellIs" dxfId="2844" priority="671" operator="equal">
      <formula>"trifft nicht ein"</formula>
    </cfRule>
  </conditionalFormatting>
  <conditionalFormatting sqref="H78:H79">
    <cfRule type="cellIs" dxfId="2843" priority="660" operator="equal">
      <formula>"sehr hoch"</formula>
    </cfRule>
    <cfRule type="cellIs" dxfId="2842" priority="661" operator="equal">
      <formula>"hoch"</formula>
    </cfRule>
    <cfRule type="cellIs" dxfId="2841" priority="662" operator="equal">
      <formula>"mittel"</formula>
    </cfRule>
    <cfRule type="cellIs" dxfId="2840" priority="663" operator="equal">
      <formula>"gering"</formula>
    </cfRule>
    <cfRule type="cellIs" dxfId="2839" priority="664" operator="equal">
      <formula>"sehr gering"</formula>
    </cfRule>
    <cfRule type="cellIs" dxfId="2838" priority="665" operator="equal">
      <formula>"trifft nicht ein"</formula>
    </cfRule>
  </conditionalFormatting>
  <conditionalFormatting sqref="H75:H77">
    <cfRule type="cellIs" dxfId="2837" priority="654" operator="equal">
      <formula>"sehr hoch"</formula>
    </cfRule>
    <cfRule type="cellIs" dxfId="2836" priority="655" operator="equal">
      <formula>"hoch"</formula>
    </cfRule>
    <cfRule type="cellIs" dxfId="2835" priority="656" operator="equal">
      <formula>"mittel"</formula>
    </cfRule>
    <cfRule type="cellIs" dxfId="2834" priority="657" operator="equal">
      <formula>"gering"</formula>
    </cfRule>
    <cfRule type="cellIs" dxfId="2833" priority="658" operator="equal">
      <formula>"sehr gering"</formula>
    </cfRule>
    <cfRule type="cellIs" dxfId="2832" priority="659" operator="equal">
      <formula>"trifft nicht ein"</formula>
    </cfRule>
  </conditionalFormatting>
  <conditionalFormatting sqref="H84:H85">
    <cfRule type="cellIs" dxfId="2831" priority="648" operator="equal">
      <formula>"sehr hoch"</formula>
    </cfRule>
    <cfRule type="cellIs" dxfId="2830" priority="649" operator="equal">
      <formula>"hoch"</formula>
    </cfRule>
    <cfRule type="cellIs" dxfId="2829" priority="650" operator="equal">
      <formula>"mittel"</formula>
    </cfRule>
    <cfRule type="cellIs" dxfId="2828" priority="651" operator="equal">
      <formula>"gering"</formula>
    </cfRule>
    <cfRule type="cellIs" dxfId="2827" priority="652" operator="equal">
      <formula>"sehr gering"</formula>
    </cfRule>
    <cfRule type="cellIs" dxfId="2826" priority="653" operator="equal">
      <formula>"trifft nicht ein"</formula>
    </cfRule>
  </conditionalFormatting>
  <conditionalFormatting sqref="H81:H83">
    <cfRule type="cellIs" dxfId="2825" priority="642" operator="equal">
      <formula>"sehr hoch"</formula>
    </cfRule>
    <cfRule type="cellIs" dxfId="2824" priority="643" operator="equal">
      <formula>"hoch"</formula>
    </cfRule>
    <cfRule type="cellIs" dxfId="2823" priority="644" operator="equal">
      <formula>"mittel"</formula>
    </cfRule>
    <cfRule type="cellIs" dxfId="2822" priority="645" operator="equal">
      <formula>"gering"</formula>
    </cfRule>
    <cfRule type="cellIs" dxfId="2821" priority="646" operator="equal">
      <formula>"sehr gering"</formula>
    </cfRule>
    <cfRule type="cellIs" dxfId="2820" priority="647" operator="equal">
      <formula>"trifft nicht ein"</formula>
    </cfRule>
  </conditionalFormatting>
  <conditionalFormatting sqref="H90:H91">
    <cfRule type="cellIs" dxfId="2819" priority="636" operator="equal">
      <formula>"sehr hoch"</formula>
    </cfRule>
    <cfRule type="cellIs" dxfId="2818" priority="637" operator="equal">
      <formula>"hoch"</formula>
    </cfRule>
    <cfRule type="cellIs" dxfId="2817" priority="638" operator="equal">
      <formula>"mittel"</formula>
    </cfRule>
    <cfRule type="cellIs" dxfId="2816" priority="639" operator="equal">
      <formula>"gering"</formula>
    </cfRule>
    <cfRule type="cellIs" dxfId="2815" priority="640" operator="equal">
      <formula>"sehr gering"</formula>
    </cfRule>
    <cfRule type="cellIs" dxfId="2814" priority="641" operator="equal">
      <formula>"trifft nicht ein"</formula>
    </cfRule>
  </conditionalFormatting>
  <conditionalFormatting sqref="H87:H89">
    <cfRule type="cellIs" dxfId="2813" priority="630" operator="equal">
      <formula>"sehr hoch"</formula>
    </cfRule>
    <cfRule type="cellIs" dxfId="2812" priority="631" operator="equal">
      <formula>"hoch"</formula>
    </cfRule>
    <cfRule type="cellIs" dxfId="2811" priority="632" operator="equal">
      <formula>"mittel"</formula>
    </cfRule>
    <cfRule type="cellIs" dxfId="2810" priority="633" operator="equal">
      <formula>"gering"</formula>
    </cfRule>
    <cfRule type="cellIs" dxfId="2809" priority="634" operator="equal">
      <formula>"sehr gering"</formula>
    </cfRule>
    <cfRule type="cellIs" dxfId="2808" priority="635" operator="equal">
      <formula>"trifft nicht ein"</formula>
    </cfRule>
  </conditionalFormatting>
  <conditionalFormatting sqref="H96:H97">
    <cfRule type="cellIs" dxfId="2807" priority="624" operator="equal">
      <formula>"sehr hoch"</formula>
    </cfRule>
    <cfRule type="cellIs" dxfId="2806" priority="625" operator="equal">
      <formula>"hoch"</formula>
    </cfRule>
    <cfRule type="cellIs" dxfId="2805" priority="626" operator="equal">
      <formula>"mittel"</formula>
    </cfRule>
    <cfRule type="cellIs" dxfId="2804" priority="627" operator="equal">
      <formula>"gering"</formula>
    </cfRule>
    <cfRule type="cellIs" dxfId="2803" priority="628" operator="equal">
      <formula>"sehr gering"</formula>
    </cfRule>
    <cfRule type="cellIs" dxfId="2802" priority="629" operator="equal">
      <formula>"trifft nicht ein"</formula>
    </cfRule>
  </conditionalFormatting>
  <conditionalFormatting sqref="H93:H95">
    <cfRule type="cellIs" dxfId="2801" priority="618" operator="equal">
      <formula>"sehr hoch"</formula>
    </cfRule>
    <cfRule type="cellIs" dxfId="2800" priority="619" operator="equal">
      <formula>"hoch"</formula>
    </cfRule>
    <cfRule type="cellIs" dxfId="2799" priority="620" operator="equal">
      <formula>"mittel"</formula>
    </cfRule>
    <cfRule type="cellIs" dxfId="2798" priority="621" operator="equal">
      <formula>"gering"</formula>
    </cfRule>
    <cfRule type="cellIs" dxfId="2797" priority="622" operator="equal">
      <formula>"sehr gering"</formula>
    </cfRule>
    <cfRule type="cellIs" dxfId="2796" priority="623" operator="equal">
      <formula>"trifft nicht ein"</formula>
    </cfRule>
  </conditionalFormatting>
  <conditionalFormatting sqref="H102:H103">
    <cfRule type="cellIs" dxfId="2795" priority="612" operator="equal">
      <formula>"sehr hoch"</formula>
    </cfRule>
    <cfRule type="cellIs" dxfId="2794" priority="613" operator="equal">
      <formula>"hoch"</formula>
    </cfRule>
    <cfRule type="cellIs" dxfId="2793" priority="614" operator="equal">
      <formula>"mittel"</formula>
    </cfRule>
    <cfRule type="cellIs" dxfId="2792" priority="615" operator="equal">
      <formula>"gering"</formula>
    </cfRule>
    <cfRule type="cellIs" dxfId="2791" priority="616" operator="equal">
      <formula>"sehr gering"</formula>
    </cfRule>
    <cfRule type="cellIs" dxfId="2790" priority="617" operator="equal">
      <formula>"trifft nicht ein"</formula>
    </cfRule>
  </conditionalFormatting>
  <conditionalFormatting sqref="H99:H101">
    <cfRule type="cellIs" dxfId="2789" priority="606" operator="equal">
      <formula>"sehr hoch"</formula>
    </cfRule>
    <cfRule type="cellIs" dxfId="2788" priority="607" operator="equal">
      <formula>"hoch"</formula>
    </cfRule>
    <cfRule type="cellIs" dxfId="2787" priority="608" operator="equal">
      <formula>"mittel"</formula>
    </cfRule>
    <cfRule type="cellIs" dxfId="2786" priority="609" operator="equal">
      <formula>"gering"</formula>
    </cfRule>
    <cfRule type="cellIs" dxfId="2785" priority="610" operator="equal">
      <formula>"sehr gering"</formula>
    </cfRule>
    <cfRule type="cellIs" dxfId="2784" priority="611" operator="equal">
      <formula>"trifft nicht ein"</formula>
    </cfRule>
  </conditionalFormatting>
  <conditionalFormatting sqref="H108:H109">
    <cfRule type="cellIs" dxfId="2783" priority="600" operator="equal">
      <formula>"sehr hoch"</formula>
    </cfRule>
    <cfRule type="cellIs" dxfId="2782" priority="601" operator="equal">
      <formula>"hoch"</formula>
    </cfRule>
    <cfRule type="cellIs" dxfId="2781" priority="602" operator="equal">
      <formula>"mittel"</formula>
    </cfRule>
    <cfRule type="cellIs" dxfId="2780" priority="603" operator="equal">
      <formula>"gering"</formula>
    </cfRule>
    <cfRule type="cellIs" dxfId="2779" priority="604" operator="equal">
      <formula>"sehr gering"</formula>
    </cfRule>
    <cfRule type="cellIs" dxfId="2778" priority="605" operator="equal">
      <formula>"trifft nicht ein"</formula>
    </cfRule>
  </conditionalFormatting>
  <conditionalFormatting sqref="H105:H107">
    <cfRule type="cellIs" dxfId="2777" priority="594" operator="equal">
      <formula>"sehr hoch"</formula>
    </cfRule>
    <cfRule type="cellIs" dxfId="2776" priority="595" operator="equal">
      <formula>"hoch"</formula>
    </cfRule>
    <cfRule type="cellIs" dxfId="2775" priority="596" operator="equal">
      <formula>"mittel"</formula>
    </cfRule>
    <cfRule type="cellIs" dxfId="2774" priority="597" operator="equal">
      <formula>"gering"</formula>
    </cfRule>
    <cfRule type="cellIs" dxfId="2773" priority="598" operator="equal">
      <formula>"sehr gering"</formula>
    </cfRule>
    <cfRule type="cellIs" dxfId="2772" priority="599" operator="equal">
      <formula>"trifft nicht ein"</formula>
    </cfRule>
  </conditionalFormatting>
  <conditionalFormatting sqref="H114:H115">
    <cfRule type="cellIs" dxfId="2771" priority="588" operator="equal">
      <formula>"sehr hoch"</formula>
    </cfRule>
    <cfRule type="cellIs" dxfId="2770" priority="589" operator="equal">
      <formula>"hoch"</formula>
    </cfRule>
    <cfRule type="cellIs" dxfId="2769" priority="590" operator="equal">
      <formula>"mittel"</formula>
    </cfRule>
    <cfRule type="cellIs" dxfId="2768" priority="591" operator="equal">
      <formula>"gering"</formula>
    </cfRule>
    <cfRule type="cellIs" dxfId="2767" priority="592" operator="equal">
      <formula>"sehr gering"</formula>
    </cfRule>
    <cfRule type="cellIs" dxfId="2766" priority="593" operator="equal">
      <formula>"trifft nicht ein"</formula>
    </cfRule>
  </conditionalFormatting>
  <conditionalFormatting sqref="H111:H113">
    <cfRule type="cellIs" dxfId="2765" priority="582" operator="equal">
      <formula>"sehr hoch"</formula>
    </cfRule>
    <cfRule type="cellIs" dxfId="2764" priority="583" operator="equal">
      <formula>"hoch"</formula>
    </cfRule>
    <cfRule type="cellIs" dxfId="2763" priority="584" operator="equal">
      <formula>"mittel"</formula>
    </cfRule>
    <cfRule type="cellIs" dxfId="2762" priority="585" operator="equal">
      <formula>"gering"</formula>
    </cfRule>
    <cfRule type="cellIs" dxfId="2761" priority="586" operator="equal">
      <formula>"sehr gering"</formula>
    </cfRule>
    <cfRule type="cellIs" dxfId="2760" priority="587" operator="equal">
      <formula>"trifft nicht ein"</formula>
    </cfRule>
  </conditionalFormatting>
  <conditionalFormatting sqref="H120:H121">
    <cfRule type="cellIs" dxfId="2759" priority="576" operator="equal">
      <formula>"sehr hoch"</formula>
    </cfRule>
    <cfRule type="cellIs" dxfId="2758" priority="577" operator="equal">
      <formula>"hoch"</formula>
    </cfRule>
    <cfRule type="cellIs" dxfId="2757" priority="578" operator="equal">
      <formula>"mittel"</formula>
    </cfRule>
    <cfRule type="cellIs" dxfId="2756" priority="579" operator="equal">
      <formula>"gering"</formula>
    </cfRule>
    <cfRule type="cellIs" dxfId="2755" priority="580" operator="equal">
      <formula>"sehr gering"</formula>
    </cfRule>
    <cfRule type="cellIs" dxfId="2754" priority="581" operator="equal">
      <formula>"trifft nicht ein"</formula>
    </cfRule>
  </conditionalFormatting>
  <conditionalFormatting sqref="H117:H119">
    <cfRule type="cellIs" dxfId="2753" priority="570" operator="equal">
      <formula>"sehr hoch"</formula>
    </cfRule>
    <cfRule type="cellIs" dxfId="2752" priority="571" operator="equal">
      <formula>"hoch"</formula>
    </cfRule>
    <cfRule type="cellIs" dxfId="2751" priority="572" operator="equal">
      <formula>"mittel"</formula>
    </cfRule>
    <cfRule type="cellIs" dxfId="2750" priority="573" operator="equal">
      <formula>"gering"</formula>
    </cfRule>
    <cfRule type="cellIs" dxfId="2749" priority="574" operator="equal">
      <formula>"sehr gering"</formula>
    </cfRule>
    <cfRule type="cellIs" dxfId="2748" priority="575" operator="equal">
      <formula>"trifft nicht ein"</formula>
    </cfRule>
  </conditionalFormatting>
  <conditionalFormatting sqref="I42:I43">
    <cfRule type="cellIs" dxfId="2747" priority="564" operator="equal">
      <formula>"führt zum Abbruch"</formula>
    </cfRule>
    <cfRule type="cellIs" dxfId="2746" priority="565" operator="equal">
      <formula>"sehr hoch"</formula>
    </cfRule>
    <cfRule type="cellIs" dxfId="2745" priority="566" operator="equal">
      <formula>"hoch"</formula>
    </cfRule>
    <cfRule type="cellIs" dxfId="2744" priority="567" operator="equal">
      <formula>"mittel"</formula>
    </cfRule>
    <cfRule type="cellIs" dxfId="2743" priority="568" operator="equal">
      <formula>"gering"</formula>
    </cfRule>
    <cfRule type="cellIs" dxfId="2742" priority="569" operator="equal">
      <formula>"sehr gering"</formula>
    </cfRule>
  </conditionalFormatting>
  <conditionalFormatting sqref="I39:I41">
    <cfRule type="cellIs" dxfId="2741" priority="557" operator="equal">
      <formula>"führt zum Abbruch"</formula>
    </cfRule>
    <cfRule type="cellIs" dxfId="2740" priority="558" operator="equal">
      <formula>"sehr hoch"</formula>
    </cfRule>
    <cfRule type="cellIs" dxfId="2739" priority="559" operator="equal">
      <formula>"hoch"</formula>
    </cfRule>
    <cfRule type="cellIs" dxfId="2738" priority="560" operator="equal">
      <formula>"mittel"</formula>
    </cfRule>
    <cfRule type="cellIs" dxfId="2737" priority="561" operator="equal">
      <formula>"gering"</formula>
    </cfRule>
    <cfRule type="cellIs" dxfId="2736" priority="562" operator="equal">
      <formula>"sehr gering"</formula>
    </cfRule>
  </conditionalFormatting>
  <conditionalFormatting sqref="I66:I67">
    <cfRule type="cellIs" dxfId="2735" priority="550" operator="equal">
      <formula>"führt zum Abbruch"</formula>
    </cfRule>
    <cfRule type="cellIs" dxfId="2734" priority="551" operator="equal">
      <formula>"sehr hoch"</formula>
    </cfRule>
    <cfRule type="cellIs" dxfId="2733" priority="552" operator="equal">
      <formula>"hoch"</formula>
    </cfRule>
    <cfRule type="cellIs" dxfId="2732" priority="553" operator="equal">
      <formula>"mittel"</formula>
    </cfRule>
    <cfRule type="cellIs" dxfId="2731" priority="554" operator="equal">
      <formula>"gering"</formula>
    </cfRule>
    <cfRule type="cellIs" dxfId="2730" priority="555" operator="equal">
      <formula>"sehr gering"</formula>
    </cfRule>
  </conditionalFormatting>
  <conditionalFormatting sqref="I63:I65">
    <cfRule type="cellIs" dxfId="2729" priority="543" operator="equal">
      <formula>"führt zum Abbruch"</formula>
    </cfRule>
    <cfRule type="cellIs" dxfId="2728" priority="544" operator="equal">
      <formula>"sehr hoch"</formula>
    </cfRule>
    <cfRule type="cellIs" dxfId="2727" priority="545" operator="equal">
      <formula>"hoch"</formula>
    </cfRule>
    <cfRule type="cellIs" dxfId="2726" priority="546" operator="equal">
      <formula>"mittel"</formula>
    </cfRule>
    <cfRule type="cellIs" dxfId="2725" priority="547" operator="equal">
      <formula>"gering"</formula>
    </cfRule>
    <cfRule type="cellIs" dxfId="2724" priority="548" operator="equal">
      <formula>"sehr gering"</formula>
    </cfRule>
  </conditionalFormatting>
  <conditionalFormatting sqref="I72:I73">
    <cfRule type="cellIs" dxfId="2723" priority="536" operator="equal">
      <formula>"führt zum Abbruch"</formula>
    </cfRule>
    <cfRule type="cellIs" dxfId="2722" priority="537" operator="equal">
      <formula>"sehr hoch"</formula>
    </cfRule>
    <cfRule type="cellIs" dxfId="2721" priority="538" operator="equal">
      <formula>"hoch"</formula>
    </cfRule>
    <cfRule type="cellIs" dxfId="2720" priority="539" operator="equal">
      <formula>"mittel"</formula>
    </cfRule>
    <cfRule type="cellIs" dxfId="2719" priority="540" operator="equal">
      <formula>"gering"</formula>
    </cfRule>
    <cfRule type="cellIs" dxfId="2718" priority="541" operator="equal">
      <formula>"sehr gering"</formula>
    </cfRule>
  </conditionalFormatting>
  <conditionalFormatting sqref="I69:I71">
    <cfRule type="cellIs" dxfId="2717" priority="529" operator="equal">
      <formula>"führt zum Abbruch"</formula>
    </cfRule>
    <cfRule type="cellIs" dxfId="2716" priority="530" operator="equal">
      <formula>"sehr hoch"</formula>
    </cfRule>
    <cfRule type="cellIs" dxfId="2715" priority="531" operator="equal">
      <formula>"hoch"</formula>
    </cfRule>
    <cfRule type="cellIs" dxfId="2714" priority="532" operator="equal">
      <formula>"mittel"</formula>
    </cfRule>
    <cfRule type="cellIs" dxfId="2713" priority="533" operator="equal">
      <formula>"gering"</formula>
    </cfRule>
    <cfRule type="cellIs" dxfId="2712" priority="534" operator="equal">
      <formula>"sehr gering"</formula>
    </cfRule>
  </conditionalFormatting>
  <conditionalFormatting sqref="I78:I79">
    <cfRule type="cellIs" dxfId="2711" priority="522" operator="equal">
      <formula>"führt zum Abbruch"</formula>
    </cfRule>
    <cfRule type="cellIs" dxfId="2710" priority="523" operator="equal">
      <formula>"sehr hoch"</formula>
    </cfRule>
    <cfRule type="cellIs" dxfId="2709" priority="524" operator="equal">
      <formula>"hoch"</formula>
    </cfRule>
    <cfRule type="cellIs" dxfId="2708" priority="525" operator="equal">
      <formula>"mittel"</formula>
    </cfRule>
    <cfRule type="cellIs" dxfId="2707" priority="526" operator="equal">
      <formula>"gering"</formula>
    </cfRule>
    <cfRule type="cellIs" dxfId="2706" priority="527" operator="equal">
      <formula>"sehr gering"</formula>
    </cfRule>
  </conditionalFormatting>
  <conditionalFormatting sqref="I75:I77">
    <cfRule type="cellIs" dxfId="2705" priority="515" operator="equal">
      <formula>"führt zum Abbruch"</formula>
    </cfRule>
    <cfRule type="cellIs" dxfId="2704" priority="516" operator="equal">
      <formula>"sehr hoch"</formula>
    </cfRule>
    <cfRule type="cellIs" dxfId="2703" priority="517" operator="equal">
      <formula>"hoch"</formula>
    </cfRule>
    <cfRule type="cellIs" dxfId="2702" priority="518" operator="equal">
      <formula>"mittel"</formula>
    </cfRule>
    <cfRule type="cellIs" dxfId="2701" priority="519" operator="equal">
      <formula>"gering"</formula>
    </cfRule>
    <cfRule type="cellIs" dxfId="2700" priority="520" operator="equal">
      <formula>"sehr gering"</formula>
    </cfRule>
  </conditionalFormatting>
  <conditionalFormatting sqref="I84:I85">
    <cfRule type="cellIs" dxfId="2699" priority="508" operator="equal">
      <formula>"führt zum Abbruch"</formula>
    </cfRule>
    <cfRule type="cellIs" dxfId="2698" priority="509" operator="equal">
      <formula>"sehr hoch"</formula>
    </cfRule>
    <cfRule type="cellIs" dxfId="2697" priority="510" operator="equal">
      <formula>"hoch"</formula>
    </cfRule>
    <cfRule type="cellIs" dxfId="2696" priority="511" operator="equal">
      <formula>"mittel"</formula>
    </cfRule>
    <cfRule type="cellIs" dxfId="2695" priority="512" operator="equal">
      <formula>"gering"</formula>
    </cfRule>
    <cfRule type="cellIs" dxfId="2694" priority="513" operator="equal">
      <formula>"sehr gering"</formula>
    </cfRule>
  </conditionalFormatting>
  <conditionalFormatting sqref="I81:I83">
    <cfRule type="cellIs" dxfId="2693" priority="501" operator="equal">
      <formula>"führt zum Abbruch"</formula>
    </cfRule>
    <cfRule type="cellIs" dxfId="2692" priority="502" operator="equal">
      <formula>"sehr hoch"</formula>
    </cfRule>
    <cfRule type="cellIs" dxfId="2691" priority="503" operator="equal">
      <formula>"hoch"</formula>
    </cfRule>
    <cfRule type="cellIs" dxfId="2690" priority="504" operator="equal">
      <formula>"mittel"</formula>
    </cfRule>
    <cfRule type="cellIs" dxfId="2689" priority="505" operator="equal">
      <formula>"gering"</formula>
    </cfRule>
    <cfRule type="cellIs" dxfId="2688" priority="506" operator="equal">
      <formula>"sehr gering"</formula>
    </cfRule>
  </conditionalFormatting>
  <conditionalFormatting sqref="I90:I91">
    <cfRule type="cellIs" dxfId="2687" priority="494" operator="equal">
      <formula>"führt zum Abbruch"</formula>
    </cfRule>
    <cfRule type="cellIs" dxfId="2686" priority="495" operator="equal">
      <formula>"sehr hoch"</formula>
    </cfRule>
    <cfRule type="cellIs" dxfId="2685" priority="496" operator="equal">
      <formula>"hoch"</formula>
    </cfRule>
    <cfRule type="cellIs" dxfId="2684" priority="497" operator="equal">
      <formula>"mittel"</formula>
    </cfRule>
    <cfRule type="cellIs" dxfId="2683" priority="498" operator="equal">
      <formula>"gering"</formula>
    </cfRule>
    <cfRule type="cellIs" dxfId="2682" priority="499" operator="equal">
      <formula>"sehr gering"</formula>
    </cfRule>
  </conditionalFormatting>
  <conditionalFormatting sqref="I87:I89">
    <cfRule type="cellIs" dxfId="2681" priority="487" operator="equal">
      <formula>"führt zum Abbruch"</formula>
    </cfRule>
    <cfRule type="cellIs" dxfId="2680" priority="488" operator="equal">
      <formula>"sehr hoch"</formula>
    </cfRule>
    <cfRule type="cellIs" dxfId="2679" priority="489" operator="equal">
      <formula>"hoch"</formula>
    </cfRule>
    <cfRule type="cellIs" dxfId="2678" priority="490" operator="equal">
      <formula>"mittel"</formula>
    </cfRule>
    <cfRule type="cellIs" dxfId="2677" priority="491" operator="equal">
      <formula>"gering"</formula>
    </cfRule>
    <cfRule type="cellIs" dxfId="2676" priority="492" operator="equal">
      <formula>"sehr gering"</formula>
    </cfRule>
  </conditionalFormatting>
  <conditionalFormatting sqref="I96:I97">
    <cfRule type="cellIs" dxfId="2675" priority="480" operator="equal">
      <formula>"führt zum Abbruch"</formula>
    </cfRule>
    <cfRule type="cellIs" dxfId="2674" priority="481" operator="equal">
      <formula>"sehr hoch"</formula>
    </cfRule>
    <cfRule type="cellIs" dxfId="2673" priority="482" operator="equal">
      <formula>"hoch"</formula>
    </cfRule>
    <cfRule type="cellIs" dxfId="2672" priority="483" operator="equal">
      <formula>"mittel"</formula>
    </cfRule>
    <cfRule type="cellIs" dxfId="2671" priority="484" operator="equal">
      <formula>"gering"</formula>
    </cfRule>
    <cfRule type="cellIs" dxfId="2670" priority="485" operator="equal">
      <formula>"sehr gering"</formula>
    </cfRule>
  </conditionalFormatting>
  <conditionalFormatting sqref="I93:I95">
    <cfRule type="cellIs" dxfId="2669" priority="473" operator="equal">
      <formula>"führt zum Abbruch"</formula>
    </cfRule>
    <cfRule type="cellIs" dxfId="2668" priority="474" operator="equal">
      <formula>"sehr hoch"</formula>
    </cfRule>
    <cfRule type="cellIs" dxfId="2667" priority="475" operator="equal">
      <formula>"hoch"</formula>
    </cfRule>
    <cfRule type="cellIs" dxfId="2666" priority="476" operator="equal">
      <formula>"mittel"</formula>
    </cfRule>
    <cfRule type="cellIs" dxfId="2665" priority="477" operator="equal">
      <formula>"gering"</formula>
    </cfRule>
    <cfRule type="cellIs" dxfId="2664" priority="478" operator="equal">
      <formula>"sehr gering"</formula>
    </cfRule>
  </conditionalFormatting>
  <conditionalFormatting sqref="I102:I103">
    <cfRule type="cellIs" dxfId="2663" priority="466" operator="equal">
      <formula>"führt zum Abbruch"</formula>
    </cfRule>
    <cfRule type="cellIs" dxfId="2662" priority="467" operator="equal">
      <formula>"sehr hoch"</formula>
    </cfRule>
    <cfRule type="cellIs" dxfId="2661" priority="468" operator="equal">
      <formula>"hoch"</formula>
    </cfRule>
    <cfRule type="cellIs" dxfId="2660" priority="469" operator="equal">
      <formula>"mittel"</formula>
    </cfRule>
    <cfRule type="cellIs" dxfId="2659" priority="470" operator="equal">
      <formula>"gering"</formula>
    </cfRule>
    <cfRule type="cellIs" dxfId="2658" priority="471" operator="equal">
      <formula>"sehr gering"</formula>
    </cfRule>
  </conditionalFormatting>
  <conditionalFormatting sqref="I99:I101">
    <cfRule type="cellIs" dxfId="2657" priority="459" operator="equal">
      <formula>"führt zum Abbruch"</formula>
    </cfRule>
    <cfRule type="cellIs" dxfId="2656" priority="460" operator="equal">
      <formula>"sehr hoch"</formula>
    </cfRule>
    <cfRule type="cellIs" dxfId="2655" priority="461" operator="equal">
      <formula>"hoch"</formula>
    </cfRule>
    <cfRule type="cellIs" dxfId="2654" priority="462" operator="equal">
      <formula>"mittel"</formula>
    </cfRule>
    <cfRule type="cellIs" dxfId="2653" priority="463" operator="equal">
      <formula>"gering"</formula>
    </cfRule>
    <cfRule type="cellIs" dxfId="2652" priority="464" operator="equal">
      <formula>"sehr gering"</formula>
    </cfRule>
  </conditionalFormatting>
  <conditionalFormatting sqref="I108:I109">
    <cfRule type="cellIs" dxfId="2651" priority="452" operator="equal">
      <formula>"führt zum Abbruch"</formula>
    </cfRule>
    <cfRule type="cellIs" dxfId="2650" priority="453" operator="equal">
      <formula>"sehr hoch"</formula>
    </cfRule>
    <cfRule type="cellIs" dxfId="2649" priority="454" operator="equal">
      <formula>"hoch"</formula>
    </cfRule>
    <cfRule type="cellIs" dxfId="2648" priority="455" operator="equal">
      <formula>"mittel"</formula>
    </cfRule>
    <cfRule type="cellIs" dxfId="2647" priority="456" operator="equal">
      <formula>"gering"</formula>
    </cfRule>
    <cfRule type="cellIs" dxfId="2646" priority="457" operator="equal">
      <formula>"sehr gering"</formula>
    </cfRule>
  </conditionalFormatting>
  <conditionalFormatting sqref="I105:I107">
    <cfRule type="cellIs" dxfId="2645" priority="445" operator="equal">
      <formula>"führt zum Abbruch"</formula>
    </cfRule>
    <cfRule type="cellIs" dxfId="2644" priority="446" operator="equal">
      <formula>"sehr hoch"</formula>
    </cfRule>
    <cfRule type="cellIs" dxfId="2643" priority="447" operator="equal">
      <formula>"hoch"</formula>
    </cfRule>
    <cfRule type="cellIs" dxfId="2642" priority="448" operator="equal">
      <formula>"mittel"</formula>
    </cfRule>
    <cfRule type="cellIs" dxfId="2641" priority="449" operator="equal">
      <formula>"gering"</formula>
    </cfRule>
    <cfRule type="cellIs" dxfId="2640" priority="450" operator="equal">
      <formula>"sehr gering"</formula>
    </cfRule>
  </conditionalFormatting>
  <conditionalFormatting sqref="I114:I115">
    <cfRule type="cellIs" dxfId="2639" priority="438" operator="equal">
      <formula>"führt zum Abbruch"</formula>
    </cfRule>
    <cfRule type="cellIs" dxfId="2638" priority="439" operator="equal">
      <formula>"sehr hoch"</formula>
    </cfRule>
    <cfRule type="cellIs" dxfId="2637" priority="440" operator="equal">
      <formula>"hoch"</formula>
    </cfRule>
    <cfRule type="cellIs" dxfId="2636" priority="441" operator="equal">
      <formula>"mittel"</formula>
    </cfRule>
    <cfRule type="cellIs" dxfId="2635" priority="442" operator="equal">
      <formula>"gering"</formula>
    </cfRule>
    <cfRule type="cellIs" dxfId="2634" priority="443" operator="equal">
      <formula>"sehr gering"</formula>
    </cfRule>
  </conditionalFormatting>
  <conditionalFormatting sqref="I111:I113">
    <cfRule type="cellIs" dxfId="2633" priority="431" operator="equal">
      <formula>"führt zum Abbruch"</formula>
    </cfRule>
    <cfRule type="cellIs" dxfId="2632" priority="432" operator="equal">
      <formula>"sehr hoch"</formula>
    </cfRule>
    <cfRule type="cellIs" dxfId="2631" priority="433" operator="equal">
      <formula>"hoch"</formula>
    </cfRule>
    <cfRule type="cellIs" dxfId="2630" priority="434" operator="equal">
      <formula>"mittel"</formula>
    </cfRule>
    <cfRule type="cellIs" dxfId="2629" priority="435" operator="equal">
      <formula>"gering"</formula>
    </cfRule>
    <cfRule type="cellIs" dxfId="2628" priority="436" operator="equal">
      <formula>"sehr gering"</formula>
    </cfRule>
  </conditionalFormatting>
  <conditionalFormatting sqref="I120:I121">
    <cfRule type="cellIs" dxfId="2627" priority="424" operator="equal">
      <formula>"führt zum Abbruch"</formula>
    </cfRule>
    <cfRule type="cellIs" dxfId="2626" priority="425" operator="equal">
      <formula>"sehr hoch"</formula>
    </cfRule>
    <cfRule type="cellIs" dxfId="2625" priority="426" operator="equal">
      <formula>"hoch"</formula>
    </cfRule>
    <cfRule type="cellIs" dxfId="2624" priority="427" operator="equal">
      <formula>"mittel"</formula>
    </cfRule>
    <cfRule type="cellIs" dxfId="2623" priority="428" operator="equal">
      <formula>"gering"</formula>
    </cfRule>
    <cfRule type="cellIs" dxfId="2622" priority="429" operator="equal">
      <formula>"sehr gering"</formula>
    </cfRule>
  </conditionalFormatting>
  <conditionalFormatting sqref="I117:I119">
    <cfRule type="cellIs" dxfId="2621" priority="417" operator="equal">
      <formula>"führt zum Abbruch"</formula>
    </cfRule>
    <cfRule type="cellIs" dxfId="2620" priority="418" operator="equal">
      <formula>"sehr hoch"</formula>
    </cfRule>
    <cfRule type="cellIs" dxfId="2619" priority="419" operator="equal">
      <formula>"hoch"</formula>
    </cfRule>
    <cfRule type="cellIs" dxfId="2618" priority="420" operator="equal">
      <formula>"mittel"</formula>
    </cfRule>
    <cfRule type="cellIs" dxfId="2617" priority="421" operator="equal">
      <formula>"gering"</formula>
    </cfRule>
    <cfRule type="cellIs" dxfId="2616" priority="422" operator="equal">
      <formula>"sehr gering"</formula>
    </cfRule>
  </conditionalFormatting>
  <conditionalFormatting sqref="G42:G43">
    <cfRule type="cellIs" dxfId="2615" priority="410" operator="equal">
      <formula>"führt zum Abbruch"</formula>
    </cfRule>
    <cfRule type="cellIs" dxfId="2614" priority="411" operator="equal">
      <formula>"sehr hoch"</formula>
    </cfRule>
    <cfRule type="cellIs" dxfId="2613" priority="412" operator="equal">
      <formula>"hoch"</formula>
    </cfRule>
    <cfRule type="cellIs" dxfId="2612" priority="413" operator="equal">
      <formula>"mittel"</formula>
    </cfRule>
    <cfRule type="cellIs" dxfId="2611" priority="414" operator="equal">
      <formula>"gering"</formula>
    </cfRule>
    <cfRule type="cellIs" dxfId="2610" priority="415" operator="equal">
      <formula>"sehr gering"</formula>
    </cfRule>
  </conditionalFormatting>
  <conditionalFormatting sqref="G39:G41">
    <cfRule type="cellIs" dxfId="2609" priority="403" operator="equal">
      <formula>"führt zum Abbruch"</formula>
    </cfRule>
    <cfRule type="cellIs" dxfId="2608" priority="404" operator="equal">
      <formula>"sehr hoch"</formula>
    </cfRule>
    <cfRule type="cellIs" dxfId="2607" priority="405" operator="equal">
      <formula>"hoch"</formula>
    </cfRule>
    <cfRule type="cellIs" dxfId="2606" priority="406" operator="equal">
      <formula>"mittel"</formula>
    </cfRule>
    <cfRule type="cellIs" dxfId="2605" priority="407" operator="equal">
      <formula>"gering"</formula>
    </cfRule>
    <cfRule type="cellIs" dxfId="2604" priority="408" operator="equal">
      <formula>"sehr gering"</formula>
    </cfRule>
  </conditionalFormatting>
  <conditionalFormatting sqref="G66:G67">
    <cfRule type="cellIs" dxfId="2603" priority="396" operator="equal">
      <formula>"führt zum Abbruch"</formula>
    </cfRule>
    <cfRule type="cellIs" dxfId="2602" priority="397" operator="equal">
      <formula>"sehr hoch"</formula>
    </cfRule>
    <cfRule type="cellIs" dxfId="2601" priority="398" operator="equal">
      <formula>"hoch"</formula>
    </cfRule>
    <cfRule type="cellIs" dxfId="2600" priority="399" operator="equal">
      <formula>"mittel"</formula>
    </cfRule>
    <cfRule type="cellIs" dxfId="2599" priority="400" operator="equal">
      <formula>"gering"</formula>
    </cfRule>
    <cfRule type="cellIs" dxfId="2598" priority="401" operator="equal">
      <formula>"sehr gering"</formula>
    </cfRule>
  </conditionalFormatting>
  <conditionalFormatting sqref="G63:G65">
    <cfRule type="cellIs" dxfId="2597" priority="389" operator="equal">
      <formula>"führt zum Abbruch"</formula>
    </cfRule>
    <cfRule type="cellIs" dxfId="2596" priority="390" operator="equal">
      <formula>"sehr hoch"</formula>
    </cfRule>
    <cfRule type="cellIs" dxfId="2595" priority="391" operator="equal">
      <formula>"hoch"</formula>
    </cfRule>
    <cfRule type="cellIs" dxfId="2594" priority="392" operator="equal">
      <formula>"mittel"</formula>
    </cfRule>
    <cfRule type="cellIs" dxfId="2593" priority="393" operator="equal">
      <formula>"gering"</formula>
    </cfRule>
    <cfRule type="cellIs" dxfId="2592" priority="394" operator="equal">
      <formula>"sehr gering"</formula>
    </cfRule>
  </conditionalFormatting>
  <conditionalFormatting sqref="G72:G73">
    <cfRule type="cellIs" dxfId="2591" priority="382" operator="equal">
      <formula>"führt zum Abbruch"</formula>
    </cfRule>
    <cfRule type="cellIs" dxfId="2590" priority="383" operator="equal">
      <formula>"sehr hoch"</formula>
    </cfRule>
    <cfRule type="cellIs" dxfId="2589" priority="384" operator="equal">
      <formula>"hoch"</formula>
    </cfRule>
    <cfRule type="cellIs" dxfId="2588" priority="385" operator="equal">
      <formula>"mittel"</formula>
    </cfRule>
    <cfRule type="cellIs" dxfId="2587" priority="386" operator="equal">
      <formula>"gering"</formula>
    </cfRule>
    <cfRule type="cellIs" dxfId="2586" priority="387" operator="equal">
      <formula>"sehr gering"</formula>
    </cfRule>
  </conditionalFormatting>
  <conditionalFormatting sqref="G69:G71">
    <cfRule type="cellIs" dxfId="2585" priority="375" operator="equal">
      <formula>"führt zum Abbruch"</formula>
    </cfRule>
    <cfRule type="cellIs" dxfId="2584" priority="376" operator="equal">
      <formula>"sehr hoch"</formula>
    </cfRule>
    <cfRule type="cellIs" dxfId="2583" priority="377" operator="equal">
      <formula>"hoch"</formula>
    </cfRule>
    <cfRule type="cellIs" dxfId="2582" priority="378" operator="equal">
      <formula>"mittel"</formula>
    </cfRule>
    <cfRule type="cellIs" dxfId="2581" priority="379" operator="equal">
      <formula>"gering"</formula>
    </cfRule>
    <cfRule type="cellIs" dxfId="2580" priority="380" operator="equal">
      <formula>"sehr gering"</formula>
    </cfRule>
  </conditionalFormatting>
  <conditionalFormatting sqref="G78:G79">
    <cfRule type="cellIs" dxfId="2579" priority="368" operator="equal">
      <formula>"führt zum Abbruch"</formula>
    </cfRule>
    <cfRule type="cellIs" dxfId="2578" priority="369" operator="equal">
      <formula>"sehr hoch"</formula>
    </cfRule>
    <cfRule type="cellIs" dxfId="2577" priority="370" operator="equal">
      <formula>"hoch"</formula>
    </cfRule>
    <cfRule type="cellIs" dxfId="2576" priority="371" operator="equal">
      <formula>"mittel"</formula>
    </cfRule>
    <cfRule type="cellIs" dxfId="2575" priority="372" operator="equal">
      <formula>"gering"</formula>
    </cfRule>
    <cfRule type="cellIs" dxfId="2574" priority="373" operator="equal">
      <formula>"sehr gering"</formula>
    </cfRule>
  </conditionalFormatting>
  <conditionalFormatting sqref="G75:G77">
    <cfRule type="cellIs" dxfId="2573" priority="361" operator="equal">
      <formula>"führt zum Abbruch"</formula>
    </cfRule>
    <cfRule type="cellIs" dxfId="2572" priority="362" operator="equal">
      <formula>"sehr hoch"</formula>
    </cfRule>
    <cfRule type="cellIs" dxfId="2571" priority="363" operator="equal">
      <formula>"hoch"</formula>
    </cfRule>
    <cfRule type="cellIs" dxfId="2570" priority="364" operator="equal">
      <formula>"mittel"</formula>
    </cfRule>
    <cfRule type="cellIs" dxfId="2569" priority="365" operator="equal">
      <formula>"gering"</formula>
    </cfRule>
    <cfRule type="cellIs" dxfId="2568" priority="366" operator="equal">
      <formula>"sehr gering"</formula>
    </cfRule>
  </conditionalFormatting>
  <conditionalFormatting sqref="G84:G85">
    <cfRule type="cellIs" dxfId="2567" priority="354" operator="equal">
      <formula>"führt zum Abbruch"</formula>
    </cfRule>
    <cfRule type="cellIs" dxfId="2566" priority="355" operator="equal">
      <formula>"sehr hoch"</formula>
    </cfRule>
    <cfRule type="cellIs" dxfId="2565" priority="356" operator="equal">
      <formula>"hoch"</formula>
    </cfRule>
    <cfRule type="cellIs" dxfId="2564" priority="357" operator="equal">
      <formula>"mittel"</formula>
    </cfRule>
    <cfRule type="cellIs" dxfId="2563" priority="358" operator="equal">
      <formula>"gering"</formula>
    </cfRule>
    <cfRule type="cellIs" dxfId="2562" priority="359" operator="equal">
      <formula>"sehr gering"</formula>
    </cfRule>
  </conditionalFormatting>
  <conditionalFormatting sqref="G81:G83">
    <cfRule type="cellIs" dxfId="2561" priority="347" operator="equal">
      <formula>"führt zum Abbruch"</formula>
    </cfRule>
    <cfRule type="cellIs" dxfId="2560" priority="348" operator="equal">
      <formula>"sehr hoch"</formula>
    </cfRule>
    <cfRule type="cellIs" dxfId="2559" priority="349" operator="equal">
      <formula>"hoch"</formula>
    </cfRule>
    <cfRule type="cellIs" dxfId="2558" priority="350" operator="equal">
      <formula>"mittel"</formula>
    </cfRule>
    <cfRule type="cellIs" dxfId="2557" priority="351" operator="equal">
      <formula>"gering"</formula>
    </cfRule>
    <cfRule type="cellIs" dxfId="2556" priority="352" operator="equal">
      <formula>"sehr gering"</formula>
    </cfRule>
  </conditionalFormatting>
  <conditionalFormatting sqref="G90:G91">
    <cfRule type="cellIs" dxfId="2555" priority="340" operator="equal">
      <formula>"führt zum Abbruch"</formula>
    </cfRule>
    <cfRule type="cellIs" dxfId="2554" priority="341" operator="equal">
      <formula>"sehr hoch"</formula>
    </cfRule>
    <cfRule type="cellIs" dxfId="2553" priority="342" operator="equal">
      <formula>"hoch"</formula>
    </cfRule>
    <cfRule type="cellIs" dxfId="2552" priority="343" operator="equal">
      <formula>"mittel"</formula>
    </cfRule>
    <cfRule type="cellIs" dxfId="2551" priority="344" operator="equal">
      <formula>"gering"</formula>
    </cfRule>
    <cfRule type="cellIs" dxfId="2550" priority="345" operator="equal">
      <formula>"sehr gering"</formula>
    </cfRule>
  </conditionalFormatting>
  <conditionalFormatting sqref="G87:G89">
    <cfRule type="cellIs" dxfId="2549" priority="333" operator="equal">
      <formula>"führt zum Abbruch"</formula>
    </cfRule>
    <cfRule type="cellIs" dxfId="2548" priority="334" operator="equal">
      <formula>"sehr hoch"</formula>
    </cfRule>
    <cfRule type="cellIs" dxfId="2547" priority="335" operator="equal">
      <formula>"hoch"</formula>
    </cfRule>
    <cfRule type="cellIs" dxfId="2546" priority="336" operator="equal">
      <formula>"mittel"</formula>
    </cfRule>
    <cfRule type="cellIs" dxfId="2545" priority="337" operator="equal">
      <formula>"gering"</formula>
    </cfRule>
    <cfRule type="cellIs" dxfId="2544" priority="338" operator="equal">
      <formula>"sehr gering"</formula>
    </cfRule>
  </conditionalFormatting>
  <conditionalFormatting sqref="G96:G97">
    <cfRule type="cellIs" dxfId="2543" priority="326" operator="equal">
      <formula>"führt zum Abbruch"</formula>
    </cfRule>
    <cfRule type="cellIs" dxfId="2542" priority="327" operator="equal">
      <formula>"sehr hoch"</formula>
    </cfRule>
    <cfRule type="cellIs" dxfId="2541" priority="328" operator="equal">
      <formula>"hoch"</formula>
    </cfRule>
    <cfRule type="cellIs" dxfId="2540" priority="329" operator="equal">
      <formula>"mittel"</formula>
    </cfRule>
    <cfRule type="cellIs" dxfId="2539" priority="330" operator="equal">
      <formula>"gering"</formula>
    </cfRule>
    <cfRule type="cellIs" dxfId="2538" priority="331" operator="equal">
      <formula>"sehr gering"</formula>
    </cfRule>
  </conditionalFormatting>
  <conditionalFormatting sqref="G93:G95">
    <cfRule type="cellIs" dxfId="2537" priority="319" operator="equal">
      <formula>"führt zum Abbruch"</formula>
    </cfRule>
    <cfRule type="cellIs" dxfId="2536" priority="320" operator="equal">
      <formula>"sehr hoch"</formula>
    </cfRule>
    <cfRule type="cellIs" dxfId="2535" priority="321" operator="equal">
      <formula>"hoch"</formula>
    </cfRule>
    <cfRule type="cellIs" dxfId="2534" priority="322" operator="equal">
      <formula>"mittel"</formula>
    </cfRule>
    <cfRule type="cellIs" dxfId="2533" priority="323" operator="equal">
      <formula>"gering"</formula>
    </cfRule>
    <cfRule type="cellIs" dxfId="2532" priority="324" operator="equal">
      <formula>"sehr gering"</formula>
    </cfRule>
  </conditionalFormatting>
  <conditionalFormatting sqref="G102:G103">
    <cfRule type="cellIs" dxfId="2531" priority="312" operator="equal">
      <formula>"führt zum Abbruch"</formula>
    </cfRule>
    <cfRule type="cellIs" dxfId="2530" priority="313" operator="equal">
      <formula>"sehr hoch"</formula>
    </cfRule>
    <cfRule type="cellIs" dxfId="2529" priority="314" operator="equal">
      <formula>"hoch"</formula>
    </cfRule>
    <cfRule type="cellIs" dxfId="2528" priority="315" operator="equal">
      <formula>"mittel"</formula>
    </cfRule>
    <cfRule type="cellIs" dxfId="2527" priority="316" operator="equal">
      <formula>"gering"</formula>
    </cfRule>
    <cfRule type="cellIs" dxfId="2526" priority="317" operator="equal">
      <formula>"sehr gering"</formula>
    </cfRule>
  </conditionalFormatting>
  <conditionalFormatting sqref="G99:G101">
    <cfRule type="cellIs" dxfId="2525" priority="305" operator="equal">
      <formula>"führt zum Abbruch"</formula>
    </cfRule>
    <cfRule type="cellIs" dxfId="2524" priority="306" operator="equal">
      <formula>"sehr hoch"</formula>
    </cfRule>
    <cfRule type="cellIs" dxfId="2523" priority="307" operator="equal">
      <formula>"hoch"</formula>
    </cfRule>
    <cfRule type="cellIs" dxfId="2522" priority="308" operator="equal">
      <formula>"mittel"</formula>
    </cfRule>
    <cfRule type="cellIs" dxfId="2521" priority="309" operator="equal">
      <formula>"gering"</formula>
    </cfRule>
    <cfRule type="cellIs" dxfId="2520" priority="310" operator="equal">
      <formula>"sehr gering"</formula>
    </cfRule>
  </conditionalFormatting>
  <conditionalFormatting sqref="G108:G109">
    <cfRule type="cellIs" dxfId="2519" priority="298" operator="equal">
      <formula>"führt zum Abbruch"</formula>
    </cfRule>
    <cfRule type="cellIs" dxfId="2518" priority="299" operator="equal">
      <formula>"sehr hoch"</formula>
    </cfRule>
    <cfRule type="cellIs" dxfId="2517" priority="300" operator="equal">
      <formula>"hoch"</formula>
    </cfRule>
    <cfRule type="cellIs" dxfId="2516" priority="301" operator="equal">
      <formula>"mittel"</formula>
    </cfRule>
    <cfRule type="cellIs" dxfId="2515" priority="302" operator="equal">
      <formula>"gering"</formula>
    </cfRule>
    <cfRule type="cellIs" dxfId="2514" priority="303" operator="equal">
      <formula>"sehr gering"</formula>
    </cfRule>
  </conditionalFormatting>
  <conditionalFormatting sqref="G105:G107">
    <cfRule type="cellIs" dxfId="2513" priority="291" operator="equal">
      <formula>"führt zum Abbruch"</formula>
    </cfRule>
    <cfRule type="cellIs" dxfId="2512" priority="292" operator="equal">
      <formula>"sehr hoch"</formula>
    </cfRule>
    <cfRule type="cellIs" dxfId="2511" priority="293" operator="equal">
      <formula>"hoch"</formula>
    </cfRule>
    <cfRule type="cellIs" dxfId="2510" priority="294" operator="equal">
      <formula>"mittel"</formula>
    </cfRule>
    <cfRule type="cellIs" dxfId="2509" priority="295" operator="equal">
      <formula>"gering"</formula>
    </cfRule>
    <cfRule type="cellIs" dxfId="2508" priority="296" operator="equal">
      <formula>"sehr gering"</formula>
    </cfRule>
  </conditionalFormatting>
  <conditionalFormatting sqref="G114:G115">
    <cfRule type="cellIs" dxfId="2507" priority="284" operator="equal">
      <formula>"führt zum Abbruch"</formula>
    </cfRule>
    <cfRule type="cellIs" dxfId="2506" priority="285" operator="equal">
      <formula>"sehr hoch"</formula>
    </cfRule>
    <cfRule type="cellIs" dxfId="2505" priority="286" operator="equal">
      <formula>"hoch"</formula>
    </cfRule>
    <cfRule type="cellIs" dxfId="2504" priority="287" operator="equal">
      <formula>"mittel"</formula>
    </cfRule>
    <cfRule type="cellIs" dxfId="2503" priority="288" operator="equal">
      <formula>"gering"</formula>
    </cfRule>
    <cfRule type="cellIs" dxfId="2502" priority="289" operator="equal">
      <formula>"sehr gering"</formula>
    </cfRule>
  </conditionalFormatting>
  <conditionalFormatting sqref="G111:G113">
    <cfRule type="cellIs" dxfId="2501" priority="277" operator="equal">
      <formula>"führt zum Abbruch"</formula>
    </cfRule>
    <cfRule type="cellIs" dxfId="2500" priority="278" operator="equal">
      <formula>"sehr hoch"</formula>
    </cfRule>
    <cfRule type="cellIs" dxfId="2499" priority="279" operator="equal">
      <formula>"hoch"</formula>
    </cfRule>
    <cfRule type="cellIs" dxfId="2498" priority="280" operator="equal">
      <formula>"mittel"</formula>
    </cfRule>
    <cfRule type="cellIs" dxfId="2497" priority="281" operator="equal">
      <formula>"gering"</formula>
    </cfRule>
    <cfRule type="cellIs" dxfId="2496" priority="282" operator="equal">
      <formula>"sehr gering"</formula>
    </cfRule>
  </conditionalFormatting>
  <conditionalFormatting sqref="G120:G121">
    <cfRule type="cellIs" dxfId="2495" priority="270" operator="equal">
      <formula>"führt zum Abbruch"</formula>
    </cfRule>
    <cfRule type="cellIs" dxfId="2494" priority="271" operator="equal">
      <formula>"sehr hoch"</formula>
    </cfRule>
    <cfRule type="cellIs" dxfId="2493" priority="272" operator="equal">
      <formula>"hoch"</formula>
    </cfRule>
    <cfRule type="cellIs" dxfId="2492" priority="273" operator="equal">
      <formula>"mittel"</formula>
    </cfRule>
    <cfRule type="cellIs" dxfId="2491" priority="274" operator="equal">
      <formula>"gering"</formula>
    </cfRule>
    <cfRule type="cellIs" dxfId="2490" priority="275" operator="equal">
      <formula>"sehr gering"</formula>
    </cfRule>
  </conditionalFormatting>
  <conditionalFormatting sqref="G117:G119">
    <cfRule type="cellIs" dxfId="2489" priority="263" operator="equal">
      <formula>"führt zum Abbruch"</formula>
    </cfRule>
    <cfRule type="cellIs" dxfId="2488" priority="264" operator="equal">
      <formula>"sehr hoch"</formula>
    </cfRule>
    <cfRule type="cellIs" dxfId="2487" priority="265" operator="equal">
      <formula>"hoch"</formula>
    </cfRule>
    <cfRule type="cellIs" dxfId="2486" priority="266" operator="equal">
      <formula>"mittel"</formula>
    </cfRule>
    <cfRule type="cellIs" dxfId="2485" priority="267" operator="equal">
      <formula>"gering"</formula>
    </cfRule>
    <cfRule type="cellIs" dxfId="2484" priority="268" operator="equal">
      <formula>"sehr gering"</formula>
    </cfRule>
  </conditionalFormatting>
  <conditionalFormatting sqref="H48:H49">
    <cfRule type="cellIs" dxfId="2483" priority="155" operator="equal">
      <formula>"sehr hoch"</formula>
    </cfRule>
    <cfRule type="cellIs" dxfId="2482" priority="156" operator="equal">
      <formula>"hoch"</formula>
    </cfRule>
    <cfRule type="cellIs" dxfId="2481" priority="157" operator="equal">
      <formula>"mittel"</formula>
    </cfRule>
    <cfRule type="cellIs" dxfId="2480" priority="158" operator="equal">
      <formula>"gering"</formula>
    </cfRule>
    <cfRule type="cellIs" dxfId="2479" priority="159" operator="equal">
      <formula>"sehr gering"</formula>
    </cfRule>
    <cfRule type="cellIs" dxfId="2478" priority="160" operator="equal">
      <formula>"trifft nicht ein"</formula>
    </cfRule>
  </conditionalFormatting>
  <conditionalFormatting sqref="I48:I49">
    <cfRule type="cellIs" dxfId="2477" priority="149" operator="equal">
      <formula>"führt zum Abbruch"</formula>
    </cfRule>
    <cfRule type="cellIs" dxfId="2476" priority="150" operator="equal">
      <formula>"sehr hoch"</formula>
    </cfRule>
    <cfRule type="cellIs" dxfId="2475" priority="151" operator="equal">
      <formula>"hoch"</formula>
    </cfRule>
    <cfRule type="cellIs" dxfId="2474" priority="152" operator="equal">
      <formula>"mittel"</formula>
    </cfRule>
    <cfRule type="cellIs" dxfId="2473" priority="153" operator="equal">
      <formula>"gering"</formula>
    </cfRule>
    <cfRule type="cellIs" dxfId="2472" priority="154" operator="equal">
      <formula>"sehr gering"</formula>
    </cfRule>
  </conditionalFormatting>
  <conditionalFormatting sqref="G48:G49">
    <cfRule type="cellIs" dxfId="2471" priority="142" operator="equal">
      <formula>"führt zum Abbruch"</formula>
    </cfRule>
    <cfRule type="cellIs" dxfId="2470" priority="143" operator="equal">
      <formula>"sehr hoch"</formula>
    </cfRule>
    <cfRule type="cellIs" dxfId="2469" priority="144" operator="equal">
      <formula>"hoch"</formula>
    </cfRule>
    <cfRule type="cellIs" dxfId="2468" priority="145" operator="equal">
      <formula>"mittel"</formula>
    </cfRule>
    <cfRule type="cellIs" dxfId="2467" priority="146" operator="equal">
      <formula>"gering"</formula>
    </cfRule>
    <cfRule type="cellIs" dxfId="2466" priority="147" operator="equal">
      <formula>"sehr gering"</formula>
    </cfRule>
  </conditionalFormatting>
  <conditionalFormatting sqref="H45:H47">
    <cfRule type="cellIs" dxfId="2465" priority="135" operator="equal">
      <formula>"sehr hoch"</formula>
    </cfRule>
    <cfRule type="cellIs" dxfId="2464" priority="136" operator="equal">
      <formula>"hoch"</formula>
    </cfRule>
    <cfRule type="cellIs" dxfId="2463" priority="137" operator="equal">
      <formula>"mittel"</formula>
    </cfRule>
    <cfRule type="cellIs" dxfId="2462" priority="138" operator="equal">
      <formula>"gering"</formula>
    </cfRule>
    <cfRule type="cellIs" dxfId="2461" priority="139" operator="equal">
      <formula>"sehr gering"</formula>
    </cfRule>
    <cfRule type="cellIs" dxfId="2460" priority="140" operator="equal">
      <formula>"trifft nicht ein"</formula>
    </cfRule>
  </conditionalFormatting>
  <conditionalFormatting sqref="I45:I47">
    <cfRule type="cellIs" dxfId="2459" priority="129" operator="equal">
      <formula>"führt zum Abbruch"</formula>
    </cfRule>
    <cfRule type="cellIs" dxfId="2458" priority="130" operator="equal">
      <formula>"sehr hoch"</formula>
    </cfRule>
    <cfRule type="cellIs" dxfId="2457" priority="131" operator="equal">
      <formula>"hoch"</formula>
    </cfRule>
    <cfRule type="cellIs" dxfId="2456" priority="132" operator="equal">
      <formula>"mittel"</formula>
    </cfRule>
    <cfRule type="cellIs" dxfId="2455" priority="133" operator="equal">
      <formula>"gering"</formula>
    </cfRule>
    <cfRule type="cellIs" dxfId="2454" priority="134" operator="equal">
      <formula>"sehr gering"</formula>
    </cfRule>
  </conditionalFormatting>
  <conditionalFormatting sqref="G45:G47">
    <cfRule type="cellIs" dxfId="2453" priority="122" operator="equal">
      <formula>"führt zum Abbruch"</formula>
    </cfRule>
    <cfRule type="cellIs" dxfId="2452" priority="123" operator="equal">
      <formula>"sehr hoch"</formula>
    </cfRule>
    <cfRule type="cellIs" dxfId="2451" priority="124" operator="equal">
      <formula>"hoch"</formula>
    </cfRule>
    <cfRule type="cellIs" dxfId="2450" priority="125" operator="equal">
      <formula>"mittel"</formula>
    </cfRule>
    <cfRule type="cellIs" dxfId="2449" priority="126" operator="equal">
      <formula>"gering"</formula>
    </cfRule>
    <cfRule type="cellIs" dxfId="2448" priority="127" operator="equal">
      <formula>"sehr gering"</formula>
    </cfRule>
  </conditionalFormatting>
  <conditionalFormatting sqref="H54:H55">
    <cfRule type="cellIs" dxfId="2447" priority="115" operator="equal">
      <formula>"sehr hoch"</formula>
    </cfRule>
    <cfRule type="cellIs" dxfId="2446" priority="116" operator="equal">
      <formula>"hoch"</formula>
    </cfRule>
    <cfRule type="cellIs" dxfId="2445" priority="117" operator="equal">
      <formula>"mittel"</formula>
    </cfRule>
    <cfRule type="cellIs" dxfId="2444" priority="118" operator="equal">
      <formula>"gering"</formula>
    </cfRule>
    <cfRule type="cellIs" dxfId="2443" priority="119" operator="equal">
      <formula>"sehr gering"</formula>
    </cfRule>
    <cfRule type="cellIs" dxfId="2442" priority="120" operator="equal">
      <formula>"trifft nicht ein"</formula>
    </cfRule>
  </conditionalFormatting>
  <conditionalFormatting sqref="I54:I55">
    <cfRule type="cellIs" dxfId="2441" priority="109" operator="equal">
      <formula>"führt zum Abbruch"</formula>
    </cfRule>
    <cfRule type="cellIs" dxfId="2440" priority="110" operator="equal">
      <formula>"sehr hoch"</formula>
    </cfRule>
    <cfRule type="cellIs" dxfId="2439" priority="111" operator="equal">
      <formula>"hoch"</formula>
    </cfRule>
    <cfRule type="cellIs" dxfId="2438" priority="112" operator="equal">
      <formula>"mittel"</formula>
    </cfRule>
    <cfRule type="cellIs" dxfId="2437" priority="113" operator="equal">
      <formula>"gering"</formula>
    </cfRule>
    <cfRule type="cellIs" dxfId="2436" priority="114" operator="equal">
      <formula>"sehr gering"</formula>
    </cfRule>
  </conditionalFormatting>
  <conditionalFormatting sqref="G54:G55">
    <cfRule type="cellIs" dxfId="2435" priority="102" operator="equal">
      <formula>"führt zum Abbruch"</formula>
    </cfRule>
    <cfRule type="cellIs" dxfId="2434" priority="103" operator="equal">
      <formula>"sehr hoch"</formula>
    </cfRule>
    <cfRule type="cellIs" dxfId="2433" priority="104" operator="equal">
      <formula>"hoch"</formula>
    </cfRule>
    <cfRule type="cellIs" dxfId="2432" priority="105" operator="equal">
      <formula>"mittel"</formula>
    </cfRule>
    <cfRule type="cellIs" dxfId="2431" priority="106" operator="equal">
      <formula>"gering"</formula>
    </cfRule>
    <cfRule type="cellIs" dxfId="2430" priority="107" operator="equal">
      <formula>"sehr gering"</formula>
    </cfRule>
  </conditionalFormatting>
  <conditionalFormatting sqref="H51:H53">
    <cfRule type="cellIs" dxfId="2429" priority="95" operator="equal">
      <formula>"sehr hoch"</formula>
    </cfRule>
    <cfRule type="cellIs" dxfId="2428" priority="96" operator="equal">
      <formula>"hoch"</formula>
    </cfRule>
    <cfRule type="cellIs" dxfId="2427" priority="97" operator="equal">
      <formula>"mittel"</formula>
    </cfRule>
    <cfRule type="cellIs" dxfId="2426" priority="98" operator="equal">
      <formula>"gering"</formula>
    </cfRule>
    <cfRule type="cellIs" dxfId="2425" priority="99" operator="equal">
      <formula>"sehr gering"</formula>
    </cfRule>
    <cfRule type="cellIs" dxfId="2424" priority="100" operator="equal">
      <formula>"trifft nicht ein"</formula>
    </cfRule>
  </conditionalFormatting>
  <conditionalFormatting sqref="I51:I53">
    <cfRule type="cellIs" dxfId="2423" priority="89" operator="equal">
      <formula>"führt zum Abbruch"</formula>
    </cfRule>
    <cfRule type="cellIs" dxfId="2422" priority="90" operator="equal">
      <formula>"sehr hoch"</formula>
    </cfRule>
    <cfRule type="cellIs" dxfId="2421" priority="91" operator="equal">
      <formula>"hoch"</formula>
    </cfRule>
    <cfRule type="cellIs" dxfId="2420" priority="92" operator="equal">
      <formula>"mittel"</formula>
    </cfRule>
    <cfRule type="cellIs" dxfId="2419" priority="93" operator="equal">
      <formula>"gering"</formula>
    </cfRule>
    <cfRule type="cellIs" dxfId="2418" priority="94" operator="equal">
      <formula>"sehr gering"</formula>
    </cfRule>
  </conditionalFormatting>
  <conditionalFormatting sqref="G51:G53">
    <cfRule type="cellIs" dxfId="2417" priority="82" operator="equal">
      <formula>"führt zum Abbruch"</formula>
    </cfRule>
    <cfRule type="cellIs" dxfId="2416" priority="83" operator="equal">
      <formula>"sehr hoch"</formula>
    </cfRule>
    <cfRule type="cellIs" dxfId="2415" priority="84" operator="equal">
      <formula>"hoch"</formula>
    </cfRule>
    <cfRule type="cellIs" dxfId="2414" priority="85" operator="equal">
      <formula>"mittel"</formula>
    </cfRule>
    <cfRule type="cellIs" dxfId="2413" priority="86" operator="equal">
      <formula>"gering"</formula>
    </cfRule>
    <cfRule type="cellIs" dxfId="2412" priority="87" operator="equal">
      <formula>"sehr gering"</formula>
    </cfRule>
  </conditionalFormatting>
  <conditionalFormatting sqref="H60:H61">
    <cfRule type="cellIs" dxfId="2411" priority="75" operator="equal">
      <formula>"sehr hoch"</formula>
    </cfRule>
    <cfRule type="cellIs" dxfId="2410" priority="76" operator="equal">
      <formula>"hoch"</formula>
    </cfRule>
    <cfRule type="cellIs" dxfId="2409" priority="77" operator="equal">
      <formula>"mittel"</formula>
    </cfRule>
    <cfRule type="cellIs" dxfId="2408" priority="78" operator="equal">
      <formula>"gering"</formula>
    </cfRule>
    <cfRule type="cellIs" dxfId="2407" priority="79" operator="equal">
      <formula>"sehr gering"</formula>
    </cfRule>
    <cfRule type="cellIs" dxfId="2406" priority="80" operator="equal">
      <formula>"trifft nicht ein"</formula>
    </cfRule>
  </conditionalFormatting>
  <conditionalFormatting sqref="I60:I61">
    <cfRule type="cellIs" dxfId="2405" priority="69" operator="equal">
      <formula>"führt zum Abbruch"</formula>
    </cfRule>
    <cfRule type="cellIs" dxfId="2404" priority="70" operator="equal">
      <formula>"sehr hoch"</formula>
    </cfRule>
    <cfRule type="cellIs" dxfId="2403" priority="71" operator="equal">
      <formula>"hoch"</formula>
    </cfRule>
    <cfRule type="cellIs" dxfId="2402" priority="72" operator="equal">
      <formula>"mittel"</formula>
    </cfRule>
    <cfRule type="cellIs" dxfId="2401" priority="73" operator="equal">
      <formula>"gering"</formula>
    </cfRule>
    <cfRule type="cellIs" dxfId="2400" priority="74" operator="equal">
      <formula>"sehr gering"</formula>
    </cfRule>
  </conditionalFormatting>
  <conditionalFormatting sqref="G60:G61">
    <cfRule type="cellIs" dxfId="2399" priority="62" operator="equal">
      <formula>"führt zum Abbruch"</formula>
    </cfRule>
    <cfRule type="cellIs" dxfId="2398" priority="63" operator="equal">
      <formula>"sehr hoch"</formula>
    </cfRule>
    <cfRule type="cellIs" dxfId="2397" priority="64" operator="equal">
      <formula>"hoch"</formula>
    </cfRule>
    <cfRule type="cellIs" dxfId="2396" priority="65" operator="equal">
      <formula>"mittel"</formula>
    </cfRule>
    <cfRule type="cellIs" dxfId="2395" priority="66" operator="equal">
      <formula>"gering"</formula>
    </cfRule>
    <cfRule type="cellIs" dxfId="2394" priority="67" operator="equal">
      <formula>"sehr gering"</formula>
    </cfRule>
  </conditionalFormatting>
  <conditionalFormatting sqref="H57:H59">
    <cfRule type="cellIs" dxfId="2393" priority="55" operator="equal">
      <formula>"sehr hoch"</formula>
    </cfRule>
    <cfRule type="cellIs" dxfId="2392" priority="56" operator="equal">
      <formula>"hoch"</formula>
    </cfRule>
    <cfRule type="cellIs" dxfId="2391" priority="57" operator="equal">
      <formula>"mittel"</formula>
    </cfRule>
    <cfRule type="cellIs" dxfId="2390" priority="58" operator="equal">
      <formula>"gering"</formula>
    </cfRule>
    <cfRule type="cellIs" dxfId="2389" priority="59" operator="equal">
      <formula>"sehr gering"</formula>
    </cfRule>
    <cfRule type="cellIs" dxfId="2388" priority="60" operator="equal">
      <formula>"trifft nicht ein"</formula>
    </cfRule>
  </conditionalFormatting>
  <conditionalFormatting sqref="I57:I59">
    <cfRule type="cellIs" dxfId="2387" priority="49" operator="equal">
      <formula>"führt zum Abbruch"</formula>
    </cfRule>
    <cfRule type="cellIs" dxfId="2386" priority="50" operator="equal">
      <formula>"sehr hoch"</formula>
    </cfRule>
    <cfRule type="cellIs" dxfId="2385" priority="51" operator="equal">
      <formula>"hoch"</formula>
    </cfRule>
    <cfRule type="cellIs" dxfId="2384" priority="52" operator="equal">
      <formula>"mittel"</formula>
    </cfRule>
    <cfRule type="cellIs" dxfId="2383" priority="53" operator="equal">
      <formula>"gering"</formula>
    </cfRule>
    <cfRule type="cellIs" dxfId="2382" priority="54" operator="equal">
      <formula>"sehr gering"</formula>
    </cfRule>
  </conditionalFormatting>
  <conditionalFormatting sqref="G57:G59">
    <cfRule type="cellIs" dxfId="2381" priority="42" operator="equal">
      <formula>"führt zum Abbruch"</formula>
    </cfRule>
    <cfRule type="cellIs" dxfId="2380" priority="43" operator="equal">
      <formula>"sehr hoch"</formula>
    </cfRule>
    <cfRule type="cellIs" dxfId="2379" priority="44" operator="equal">
      <formula>"hoch"</formula>
    </cfRule>
    <cfRule type="cellIs" dxfId="2378" priority="45" operator="equal">
      <formula>"mittel"</formula>
    </cfRule>
    <cfRule type="cellIs" dxfId="2377" priority="46" operator="equal">
      <formula>"gering"</formula>
    </cfRule>
    <cfRule type="cellIs" dxfId="2376" priority="47" operator="equal">
      <formula>"sehr gering"</formula>
    </cfRule>
  </conditionalFormatting>
  <conditionalFormatting sqref="H36:H37">
    <cfRule type="cellIs" dxfId="2375" priority="35" operator="equal">
      <formula>"sehr hoch"</formula>
    </cfRule>
    <cfRule type="cellIs" dxfId="2374" priority="36" operator="equal">
      <formula>"hoch"</formula>
    </cfRule>
    <cfRule type="cellIs" dxfId="2373" priority="37" operator="equal">
      <formula>"mittel"</formula>
    </cfRule>
    <cfRule type="cellIs" dxfId="2372" priority="38" operator="equal">
      <formula>"gering"</formula>
    </cfRule>
    <cfRule type="cellIs" dxfId="2371" priority="39" operator="equal">
      <formula>"sehr gering"</formula>
    </cfRule>
    <cfRule type="cellIs" dxfId="2370" priority="40" operator="equal">
      <formula>"trifft nicht ein"</formula>
    </cfRule>
  </conditionalFormatting>
  <conditionalFormatting sqref="I36:I37">
    <cfRule type="cellIs" dxfId="2369" priority="29" operator="equal">
      <formula>"führt zum Abbruch"</formula>
    </cfRule>
    <cfRule type="cellIs" dxfId="2368" priority="30" operator="equal">
      <formula>"sehr hoch"</formula>
    </cfRule>
    <cfRule type="cellIs" dxfId="2367" priority="31" operator="equal">
      <formula>"hoch"</formula>
    </cfRule>
    <cfRule type="cellIs" dxfId="2366" priority="32" operator="equal">
      <formula>"mittel"</formula>
    </cfRule>
    <cfRule type="cellIs" dxfId="2365" priority="33" operator="equal">
      <formula>"gering"</formula>
    </cfRule>
    <cfRule type="cellIs" dxfId="2364" priority="34" operator="equal">
      <formula>"sehr gering"</formula>
    </cfRule>
  </conditionalFormatting>
  <conditionalFormatting sqref="G36:G37">
    <cfRule type="cellIs" dxfId="2363" priority="22" operator="equal">
      <formula>"führt zum Abbruch"</formula>
    </cfRule>
    <cfRule type="cellIs" dxfId="2362" priority="23" operator="equal">
      <formula>"sehr hoch"</formula>
    </cfRule>
    <cfRule type="cellIs" dxfId="2361" priority="24" operator="equal">
      <formula>"hoch"</formula>
    </cfRule>
    <cfRule type="cellIs" dxfId="2360" priority="25" operator="equal">
      <formula>"mittel"</formula>
    </cfRule>
    <cfRule type="cellIs" dxfId="2359" priority="26" operator="equal">
      <formula>"gering"</formula>
    </cfRule>
    <cfRule type="cellIs" dxfId="2358" priority="27" operator="equal">
      <formula>"sehr gering"</formula>
    </cfRule>
  </conditionalFormatting>
  <conditionalFormatting sqref="H33:H35">
    <cfRule type="cellIs" dxfId="2357" priority="15" operator="equal">
      <formula>"sehr hoch"</formula>
    </cfRule>
    <cfRule type="cellIs" dxfId="2356" priority="16" operator="equal">
      <formula>"hoch"</formula>
    </cfRule>
    <cfRule type="cellIs" dxfId="2355" priority="17" operator="equal">
      <formula>"mittel"</formula>
    </cfRule>
    <cfRule type="cellIs" dxfId="2354" priority="18" operator="equal">
      <formula>"gering"</formula>
    </cfRule>
    <cfRule type="cellIs" dxfId="2353" priority="19" operator="equal">
      <formula>"sehr gering"</formula>
    </cfRule>
    <cfRule type="cellIs" dxfId="2352" priority="20" operator="equal">
      <formula>"trifft nicht ein"</formula>
    </cfRule>
  </conditionalFormatting>
  <conditionalFormatting sqref="I33:I35">
    <cfRule type="cellIs" dxfId="2351" priority="9" operator="equal">
      <formula>"führt zum Abbruch"</formula>
    </cfRule>
    <cfRule type="cellIs" dxfId="2350" priority="10" operator="equal">
      <formula>"sehr hoch"</formula>
    </cfRule>
    <cfRule type="cellIs" dxfId="2349" priority="11" operator="equal">
      <formula>"hoch"</formula>
    </cfRule>
    <cfRule type="cellIs" dxfId="2348" priority="12" operator="equal">
      <formula>"mittel"</formula>
    </cfRule>
    <cfRule type="cellIs" dxfId="2347" priority="13" operator="equal">
      <formula>"gering"</formula>
    </cfRule>
    <cfRule type="cellIs" dxfId="2346" priority="14" operator="equal">
      <formula>"sehr gering"</formula>
    </cfRule>
  </conditionalFormatting>
  <conditionalFormatting sqref="G33:G35">
    <cfRule type="cellIs" dxfId="2345" priority="2" operator="equal">
      <formula>"führt zum Abbruch"</formula>
    </cfRule>
    <cfRule type="cellIs" dxfId="2344" priority="3" operator="equal">
      <formula>"sehr hoch"</formula>
    </cfRule>
    <cfRule type="cellIs" dxfId="2343" priority="4" operator="equal">
      <formula>"hoch"</formula>
    </cfRule>
    <cfRule type="cellIs" dxfId="2342" priority="5" operator="equal">
      <formula>"mittel"</formula>
    </cfRule>
    <cfRule type="cellIs" dxfId="2341" priority="6" operator="equal">
      <formula>"gering"</formula>
    </cfRule>
    <cfRule type="cellIs" dxfId="2340" priority="7" operator="equal">
      <formula>"sehr gering"</formula>
    </cfRule>
  </conditionalFormatting>
  <pageMargins left="0.70866141732283472" right="0.70866141732283472" top="0.78740157480314965" bottom="0.78740157480314965" header="0.31496062992125984" footer="0.31496062992125984"/>
  <pageSetup paperSize="8" scale="29" orientation="portrait" r:id="rId1"/>
  <headerFooter>
    <oddHeader>&amp;CSTEP-Analyse</oddHeader>
    <oddFooter xml:space="preserve">&amp;C22
</oddFooter>
  </headerFooter>
  <drawing r:id="rId2"/>
  <legacyDrawing r:id="rId3"/>
  <controls>
    <mc:AlternateContent xmlns:mc="http://schemas.openxmlformats.org/markup-compatibility/2006">
      <mc:Choice Requires="x14">
        <control shapeId="124929" r:id="rId4" name="ComboBox1">
          <controlPr defaultSize="0" autoLine="0" r:id="rId5">
            <anchor moveWithCells="1">
              <from>
                <xdr:col>3</xdr:col>
                <xdr:colOff>47625</xdr:colOff>
                <xdr:row>30</xdr:row>
                <xdr:rowOff>76200</xdr:rowOff>
              </from>
              <to>
                <xdr:col>4</xdr:col>
                <xdr:colOff>152400</xdr:colOff>
                <xdr:row>30</xdr:row>
                <xdr:rowOff>847725</xdr:rowOff>
              </to>
            </anchor>
          </controlPr>
        </control>
      </mc:Choice>
      <mc:Fallback>
        <control shapeId="124929" r:id="rId4" name="ComboBox1"/>
      </mc:Fallback>
    </mc:AlternateContent>
    <mc:AlternateContent xmlns:mc="http://schemas.openxmlformats.org/markup-compatibility/2006">
      <mc:Choice Requires="x14">
        <control shapeId="124930" r:id="rId6" name="Löschbutton">
          <controlPr defaultSize="0" autoLine="0" r:id="rId7">
            <anchor moveWithCells="1">
              <from>
                <xdr:col>0</xdr:col>
                <xdr:colOff>266700</xdr:colOff>
                <xdr:row>30</xdr:row>
                <xdr:rowOff>38100</xdr:rowOff>
              </from>
              <to>
                <xdr:col>1</xdr:col>
                <xdr:colOff>2819400</xdr:colOff>
                <xdr:row>30</xdr:row>
                <xdr:rowOff>847725</xdr:rowOff>
              </to>
            </anchor>
          </controlPr>
        </control>
      </mc:Choice>
      <mc:Fallback>
        <control shapeId="124930" r:id="rId6" name="Löschbutton"/>
      </mc:Fallback>
    </mc:AlternateContent>
    <mc:AlternateContent xmlns:mc="http://schemas.openxmlformats.org/markup-compatibility/2006">
      <mc:Choice Requires="x14">
        <control shapeId="124931" r:id="rId8" name="Portfolioview">
          <controlPr defaultSize="0" autoLine="0" r:id="rId9">
            <anchor moveWithCells="1">
              <from>
                <xdr:col>2</xdr:col>
                <xdr:colOff>28575</xdr:colOff>
                <xdr:row>30</xdr:row>
                <xdr:rowOff>47625</xdr:rowOff>
              </from>
              <to>
                <xdr:col>2</xdr:col>
                <xdr:colOff>3324225</xdr:colOff>
                <xdr:row>30</xdr:row>
                <xdr:rowOff>847725</xdr:rowOff>
              </to>
            </anchor>
          </controlPr>
        </control>
      </mc:Choice>
      <mc:Fallback>
        <control shapeId="124931" r:id="rId8" name="Portfolioview"/>
      </mc:Fallback>
    </mc:AlternateContent>
    <mc:AlternateContent xmlns:mc="http://schemas.openxmlformats.org/markup-compatibility/2006">
      <mc:Choice Requires="x14">
        <control shapeId="124932" r:id="rId10" name="Zeileneinfügen">
          <controlPr defaultSize="0" autoLine="0" r:id="rId11">
            <anchor moveWithCells="1">
              <from>
                <xdr:col>3</xdr:col>
                <xdr:colOff>19050</xdr:colOff>
                <xdr:row>30</xdr:row>
                <xdr:rowOff>47625</xdr:rowOff>
              </from>
              <to>
                <xdr:col>4</xdr:col>
                <xdr:colOff>0</xdr:colOff>
                <xdr:row>30</xdr:row>
                <xdr:rowOff>847725</xdr:rowOff>
              </to>
            </anchor>
          </controlPr>
        </control>
      </mc:Choice>
      <mc:Fallback>
        <control shapeId="124932" r:id="rId10" name="Zeileneinfügen"/>
      </mc:Fallback>
    </mc:AlternateContent>
    <mc:AlternateContent xmlns:mc="http://schemas.openxmlformats.org/markup-compatibility/2006">
      <mc:Choice Requires="x14">
        <control shapeId="124933" r:id="rId12" name="CommandButton1">
          <controlPr defaultSize="0" autoLine="0" r:id="rId13">
            <anchor moveWithCells="1">
              <from>
                <xdr:col>6</xdr:col>
                <xdr:colOff>38100</xdr:colOff>
                <xdr:row>125</xdr:row>
                <xdr:rowOff>38100</xdr:rowOff>
              </from>
              <to>
                <xdr:col>8</xdr:col>
                <xdr:colOff>533400</xdr:colOff>
                <xdr:row>128</xdr:row>
                <xdr:rowOff>104775</xdr:rowOff>
              </to>
            </anchor>
          </controlPr>
        </control>
      </mc:Choice>
      <mc:Fallback>
        <control shapeId="124933" r:id="rId12"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cellIs" priority="786" operator="between" id="{2BBF0A90-C9A0-4E65-90A5-7E4E89BCC902}">
            <xm:f>'Modell-Kalibrierung'!$C$7+1%</xm:f>
            <xm:f>"0Kalibrierung!$E$8"</xm:f>
            <x14:dxf>
              <font>
                <color theme="0"/>
              </font>
              <fill>
                <patternFill>
                  <bgColor theme="5" tint="-0.499984740745262"/>
                </patternFill>
              </fill>
            </x14:dxf>
          </x14:cfRule>
          <x14:cfRule type="cellIs" priority="787" operator="between" id="{ABBE2E7B-35DA-4BE9-B66F-0555DC34D938}">
            <xm:f>'Modell-Kalibrierung'!$C$6+1%</xm:f>
            <xm:f>"0Kalibrierung!$E$7"</xm:f>
            <x14:dxf>
              <fill>
                <patternFill>
                  <bgColor theme="5" tint="-0.24994659260841701"/>
                </patternFill>
              </fill>
            </x14:dxf>
          </x14:cfRule>
          <x14:cfRule type="cellIs" priority="788" operator="between" id="{D08523D0-579C-4A89-B344-3C3FB3C86567}">
            <xm:f>'Modell-Kalibrierung'!$C$5+1%</xm:f>
            <xm:f>"0Kalibrierung!$E$6"</xm:f>
            <x14:dxf>
              <fill>
                <patternFill>
                  <bgColor theme="5" tint="0.39994506668294322"/>
                </patternFill>
              </fill>
            </x14:dxf>
          </x14:cfRule>
          <x14:cfRule type="cellIs" priority="789" operator="between" id="{E03FAFF4-43D6-442B-BB9A-05C2468B0A6F}">
            <xm:f>'Modell-Kalibrierung'!$C$4+1%</xm:f>
            <xm:f>"0Kalibrierung!$E$5"</xm:f>
            <x14:dxf>
              <fill>
                <patternFill>
                  <bgColor theme="5" tint="0.59996337778862885"/>
                </patternFill>
              </fill>
            </x14:dxf>
          </x14:cfRule>
          <x14:cfRule type="cellIs" priority="790" operator="between" id="{D351ED75-B484-4144-960D-1FC818BDA075}">
            <xm:f>'Modell-Kalibrierung'!$C$3+1%</xm:f>
            <xm:f>'Modell-Kalibrierung'!$C$4</xm:f>
            <x14:dxf>
              <fill>
                <patternFill>
                  <bgColor theme="5" tint="0.79998168889431442"/>
                </patternFill>
              </fill>
            </x14:dxf>
          </x14:cfRule>
          <x14:cfRule type="cellIs" priority="791" operator="equal" id="{5E1C62A2-00A2-47F9-9A65-0D7FE70DD926}">
            <xm:f>'Modell-Kalibrierung'!$C$3</xm:f>
            <x14:dxf>
              <fill>
                <patternFill>
                  <bgColor theme="0"/>
                </patternFill>
              </fill>
            </x14:dxf>
          </x14:cfRule>
          <xm:sqref>J33:J34 J36:J37</xm:sqref>
        </x14:conditionalFormatting>
        <x14:conditionalFormatting xmlns:xm="http://schemas.microsoft.com/office/excel/2006/main">
          <x14:cfRule type="cellIs" priority="780" operator="between" id="{20DE6371-DF56-48B9-98DB-A6B96275CEFA}">
            <xm:f>'Modell-Kalibrierung'!$C$7+1%</xm:f>
            <xm:f>"0Kalibrierung!$E$8"</xm:f>
            <x14:dxf>
              <font>
                <color theme="0"/>
              </font>
              <fill>
                <patternFill>
                  <bgColor theme="5" tint="-0.499984740745262"/>
                </patternFill>
              </fill>
            </x14:dxf>
          </x14:cfRule>
          <x14:cfRule type="cellIs" priority="781" operator="between" id="{899636EC-B069-4452-80E4-4F0155C415B8}">
            <xm:f>'Modell-Kalibrierung'!$C$6+1%</xm:f>
            <xm:f>"0Kalibrierung!$E$7"</xm:f>
            <x14:dxf>
              <fill>
                <patternFill>
                  <bgColor theme="5" tint="-0.24994659260841701"/>
                </patternFill>
              </fill>
            </x14:dxf>
          </x14:cfRule>
          <x14:cfRule type="cellIs" priority="782" operator="between" id="{20921C63-30D7-4D96-BBDB-2686C19107F3}">
            <xm:f>'Modell-Kalibrierung'!$C$5+1%</xm:f>
            <xm:f>"0Kalibrierung!$E$6"</xm:f>
            <x14:dxf>
              <fill>
                <patternFill>
                  <bgColor theme="5" tint="0.39994506668294322"/>
                </patternFill>
              </fill>
            </x14:dxf>
          </x14:cfRule>
          <x14:cfRule type="cellIs" priority="783" operator="between" id="{81765958-617A-4846-B650-332ECF617BAC}">
            <xm:f>'Modell-Kalibrierung'!$C$4+1%</xm:f>
            <xm:f>"0Kalibrierung!$E$5"</xm:f>
            <x14:dxf>
              <fill>
                <patternFill>
                  <bgColor theme="5" tint="0.59996337778862885"/>
                </patternFill>
              </fill>
            </x14:dxf>
          </x14:cfRule>
          <x14:cfRule type="cellIs" priority="784" operator="between" id="{FCFCFA5C-DA6C-4D6D-8B13-53F0B45B7A8F}">
            <xm:f>'Modell-Kalibrierung'!$C$3+1%</xm:f>
            <xm:f>'Modell-Kalibrierung'!$C$4</xm:f>
            <x14:dxf>
              <fill>
                <patternFill>
                  <bgColor theme="5" tint="0.79998168889431442"/>
                </patternFill>
              </fill>
            </x14:dxf>
          </x14:cfRule>
          <x14:cfRule type="cellIs" priority="785" operator="equal" id="{9AAB1DC6-FEE2-49DF-BFBF-B77C2DE08560}">
            <xm:f>'Modell-Kalibrierung'!$C$3</xm:f>
            <x14:dxf>
              <fill>
                <patternFill>
                  <bgColor theme="0"/>
                </patternFill>
              </fill>
            </x14:dxf>
          </x14:cfRule>
          <xm:sqref>J39:J43</xm:sqref>
        </x14:conditionalFormatting>
        <x14:conditionalFormatting xmlns:xm="http://schemas.microsoft.com/office/excel/2006/main">
          <x14:cfRule type="cellIs" priority="774" operator="between" id="{5BD86D08-C4E2-42A3-AEB0-7D3F0532EAED}">
            <xm:f>'Modell-Kalibrierung'!$C$7+1%</xm:f>
            <xm:f>"0Kalibrierung!$E$8"</xm:f>
            <x14:dxf>
              <font>
                <color theme="0"/>
              </font>
              <fill>
                <patternFill>
                  <bgColor theme="5" tint="-0.499984740745262"/>
                </patternFill>
              </fill>
            </x14:dxf>
          </x14:cfRule>
          <x14:cfRule type="cellIs" priority="775" operator="between" id="{753D23DA-150C-40C1-827C-96D0E37CA774}">
            <xm:f>'Modell-Kalibrierung'!$C$6+1%</xm:f>
            <xm:f>"0Kalibrierung!$E$7"</xm:f>
            <x14:dxf>
              <fill>
                <patternFill>
                  <bgColor theme="5" tint="-0.24994659260841701"/>
                </patternFill>
              </fill>
            </x14:dxf>
          </x14:cfRule>
          <x14:cfRule type="cellIs" priority="776" operator="between" id="{E21BDE3E-A2A3-4A36-BA36-E7C5B5CC4196}">
            <xm:f>'Modell-Kalibrierung'!$C$5+1%</xm:f>
            <xm:f>"0Kalibrierung!$E$6"</xm:f>
            <x14:dxf>
              <fill>
                <patternFill>
                  <bgColor theme="5" tint="0.39994506668294322"/>
                </patternFill>
              </fill>
            </x14:dxf>
          </x14:cfRule>
          <x14:cfRule type="cellIs" priority="777" operator="between" id="{6020E169-63AD-4854-870E-D5001FEE57FA}">
            <xm:f>'Modell-Kalibrierung'!$C$4+1%</xm:f>
            <xm:f>"0Kalibrierung!$E$5"</xm:f>
            <x14:dxf>
              <fill>
                <patternFill>
                  <bgColor theme="5" tint="0.59996337778862885"/>
                </patternFill>
              </fill>
            </x14:dxf>
          </x14:cfRule>
          <x14:cfRule type="cellIs" priority="778" operator="between" id="{05B595BA-442D-4BE3-AB25-3E267910CE4D}">
            <xm:f>'Modell-Kalibrierung'!$C$3+1%</xm:f>
            <xm:f>'Modell-Kalibrierung'!$C$4</xm:f>
            <x14:dxf>
              <fill>
                <patternFill>
                  <bgColor theme="5" tint="0.79998168889431442"/>
                </patternFill>
              </fill>
            </x14:dxf>
          </x14:cfRule>
          <x14:cfRule type="cellIs" priority="779" operator="equal" id="{FCA79C0D-0F83-495F-B0F7-BB355AF27BDC}">
            <xm:f>'Modell-Kalibrierung'!$C$3</xm:f>
            <x14:dxf>
              <fill>
                <patternFill>
                  <bgColor theme="0"/>
                </patternFill>
              </fill>
            </x14:dxf>
          </x14:cfRule>
          <xm:sqref>J45:J49</xm:sqref>
        </x14:conditionalFormatting>
        <x14:conditionalFormatting xmlns:xm="http://schemas.microsoft.com/office/excel/2006/main">
          <x14:cfRule type="cellIs" priority="768" operator="between" id="{45224860-BE95-4258-906D-8987404130F7}">
            <xm:f>'Modell-Kalibrierung'!$C$7+1%</xm:f>
            <xm:f>"0Kalibrierung!$E$8"</xm:f>
            <x14:dxf>
              <font>
                <color theme="0"/>
              </font>
              <fill>
                <patternFill>
                  <bgColor theme="5" tint="-0.499984740745262"/>
                </patternFill>
              </fill>
            </x14:dxf>
          </x14:cfRule>
          <x14:cfRule type="cellIs" priority="769" operator="between" id="{4CBD46A2-CEED-4CDB-9717-4256C8D153B0}">
            <xm:f>'Modell-Kalibrierung'!$C$6+1%</xm:f>
            <xm:f>"0Kalibrierung!$E$7"</xm:f>
            <x14:dxf>
              <fill>
                <patternFill>
                  <bgColor theme="5" tint="-0.24994659260841701"/>
                </patternFill>
              </fill>
            </x14:dxf>
          </x14:cfRule>
          <x14:cfRule type="cellIs" priority="770" operator="between" id="{4704F393-C2CA-4A05-8DA3-D8EB3C59EB5A}">
            <xm:f>'Modell-Kalibrierung'!$C$5+1%</xm:f>
            <xm:f>"0Kalibrierung!$E$6"</xm:f>
            <x14:dxf>
              <fill>
                <patternFill>
                  <bgColor theme="5" tint="0.39994506668294322"/>
                </patternFill>
              </fill>
            </x14:dxf>
          </x14:cfRule>
          <x14:cfRule type="cellIs" priority="771" operator="between" id="{EB947BA3-B2C4-4AFA-9C7F-1605B26FD720}">
            <xm:f>'Modell-Kalibrierung'!$C$4+1%</xm:f>
            <xm:f>"0Kalibrierung!$E$5"</xm:f>
            <x14:dxf>
              <fill>
                <patternFill>
                  <bgColor theme="5" tint="0.59996337778862885"/>
                </patternFill>
              </fill>
            </x14:dxf>
          </x14:cfRule>
          <x14:cfRule type="cellIs" priority="772" operator="between" id="{516903EB-36DD-46F4-8E1F-C290962B1257}">
            <xm:f>'Modell-Kalibrierung'!$C$3+1%</xm:f>
            <xm:f>'Modell-Kalibrierung'!$C$4</xm:f>
            <x14:dxf>
              <fill>
                <patternFill>
                  <bgColor theme="5" tint="0.79998168889431442"/>
                </patternFill>
              </fill>
            </x14:dxf>
          </x14:cfRule>
          <x14:cfRule type="cellIs" priority="773" operator="equal" id="{5EBDE426-431A-4BAD-A9A2-B95DCDCC91CD}">
            <xm:f>'Modell-Kalibrierung'!$C$3</xm:f>
            <x14:dxf>
              <fill>
                <patternFill>
                  <bgColor theme="0"/>
                </patternFill>
              </fill>
            </x14:dxf>
          </x14:cfRule>
          <xm:sqref>J51:J55</xm:sqref>
        </x14:conditionalFormatting>
        <x14:conditionalFormatting xmlns:xm="http://schemas.microsoft.com/office/excel/2006/main">
          <x14:cfRule type="cellIs" priority="762" operator="between" id="{093CCD07-9F2C-4702-BE22-E7C58420F726}">
            <xm:f>'Modell-Kalibrierung'!$C$7+1%</xm:f>
            <xm:f>"0Kalibrierung!$E$8"</xm:f>
            <x14:dxf>
              <font>
                <color theme="0"/>
              </font>
              <fill>
                <patternFill>
                  <bgColor theme="5" tint="-0.499984740745262"/>
                </patternFill>
              </fill>
            </x14:dxf>
          </x14:cfRule>
          <x14:cfRule type="cellIs" priority="763" operator="between" id="{D5FAC64B-D859-4939-BB7E-0EBE8FA62281}">
            <xm:f>'Modell-Kalibrierung'!$C$6+1%</xm:f>
            <xm:f>"0Kalibrierung!$E$7"</xm:f>
            <x14:dxf>
              <fill>
                <patternFill>
                  <bgColor theme="5" tint="-0.24994659260841701"/>
                </patternFill>
              </fill>
            </x14:dxf>
          </x14:cfRule>
          <x14:cfRule type="cellIs" priority="764" operator="between" id="{D2608BB4-DFB6-421C-BF29-FF58D2B21CD9}">
            <xm:f>'Modell-Kalibrierung'!$C$5+1%</xm:f>
            <xm:f>"0Kalibrierung!$E$6"</xm:f>
            <x14:dxf>
              <fill>
                <patternFill>
                  <bgColor theme="5" tint="0.39994506668294322"/>
                </patternFill>
              </fill>
            </x14:dxf>
          </x14:cfRule>
          <x14:cfRule type="cellIs" priority="765" operator="between" id="{02C84E95-67B2-47AF-889F-13DADC23D557}">
            <xm:f>'Modell-Kalibrierung'!$C$4+1%</xm:f>
            <xm:f>"0Kalibrierung!$E$5"</xm:f>
            <x14:dxf>
              <fill>
                <patternFill>
                  <bgColor theme="5" tint="0.59996337778862885"/>
                </patternFill>
              </fill>
            </x14:dxf>
          </x14:cfRule>
          <x14:cfRule type="cellIs" priority="766" operator="between" id="{E931BCFF-B25B-4B0F-8269-8022EE01CA5A}">
            <xm:f>'Modell-Kalibrierung'!$C$3+1%</xm:f>
            <xm:f>'Modell-Kalibrierung'!$C$4</xm:f>
            <x14:dxf>
              <fill>
                <patternFill>
                  <bgColor theme="5" tint="0.79998168889431442"/>
                </patternFill>
              </fill>
            </x14:dxf>
          </x14:cfRule>
          <x14:cfRule type="cellIs" priority="767" operator="equal" id="{E9BC95DE-D520-409E-80C3-DC2143357D7A}">
            <xm:f>'Modell-Kalibrierung'!$C$3</xm:f>
            <x14:dxf>
              <fill>
                <patternFill>
                  <bgColor theme="0"/>
                </patternFill>
              </fill>
            </x14:dxf>
          </x14:cfRule>
          <xm:sqref>J57:J61</xm:sqref>
        </x14:conditionalFormatting>
        <x14:conditionalFormatting xmlns:xm="http://schemas.microsoft.com/office/excel/2006/main">
          <x14:cfRule type="cellIs" priority="756" operator="between" id="{60571EEC-59DC-401C-BA0D-E27D87BE6635}">
            <xm:f>'Modell-Kalibrierung'!$C$7+1%</xm:f>
            <xm:f>"0Kalibrierung!$E$8"</xm:f>
            <x14:dxf>
              <font>
                <color theme="0"/>
              </font>
              <fill>
                <patternFill>
                  <bgColor theme="5" tint="-0.499984740745262"/>
                </patternFill>
              </fill>
            </x14:dxf>
          </x14:cfRule>
          <x14:cfRule type="cellIs" priority="757" operator="between" id="{0F433377-9349-4C90-ABE1-3384785F6E93}">
            <xm:f>'Modell-Kalibrierung'!$C$6+1%</xm:f>
            <xm:f>"0Kalibrierung!$E$7"</xm:f>
            <x14:dxf>
              <fill>
                <patternFill>
                  <bgColor theme="5" tint="-0.24994659260841701"/>
                </patternFill>
              </fill>
            </x14:dxf>
          </x14:cfRule>
          <x14:cfRule type="cellIs" priority="758" operator="between" id="{76C89ED7-5086-4093-922B-CB9BD811D68C}">
            <xm:f>'Modell-Kalibrierung'!$C$5+1%</xm:f>
            <xm:f>"0Kalibrierung!$E$6"</xm:f>
            <x14:dxf>
              <fill>
                <patternFill>
                  <bgColor theme="5" tint="0.39994506668294322"/>
                </patternFill>
              </fill>
            </x14:dxf>
          </x14:cfRule>
          <x14:cfRule type="cellIs" priority="759" operator="between" id="{32A1966A-1DA4-41C8-916D-E991D12E0EFF}">
            <xm:f>'Modell-Kalibrierung'!$C$4+1%</xm:f>
            <xm:f>"0Kalibrierung!$E$5"</xm:f>
            <x14:dxf>
              <fill>
                <patternFill>
                  <bgColor theme="5" tint="0.59996337778862885"/>
                </patternFill>
              </fill>
            </x14:dxf>
          </x14:cfRule>
          <x14:cfRule type="cellIs" priority="760" operator="between" id="{9BFD0D2B-8FCE-4F59-A85E-271D83B90EC9}">
            <xm:f>'Modell-Kalibrierung'!$C$3+1%</xm:f>
            <xm:f>'Modell-Kalibrierung'!$C$4</xm:f>
            <x14:dxf>
              <fill>
                <patternFill>
                  <bgColor theme="5" tint="0.79998168889431442"/>
                </patternFill>
              </fill>
            </x14:dxf>
          </x14:cfRule>
          <x14:cfRule type="cellIs" priority="761" operator="equal" id="{1C0F8265-82D5-4526-812A-1C93EEB8EB49}">
            <xm:f>'Modell-Kalibrierung'!$C$3</xm:f>
            <x14:dxf>
              <fill>
                <patternFill>
                  <bgColor theme="0"/>
                </patternFill>
              </fill>
            </x14:dxf>
          </x14:cfRule>
          <xm:sqref>J63:J67</xm:sqref>
        </x14:conditionalFormatting>
        <x14:conditionalFormatting xmlns:xm="http://schemas.microsoft.com/office/excel/2006/main">
          <x14:cfRule type="cellIs" priority="750" operator="between" id="{581EB0B2-149C-4494-BE33-A714CCE1EFD4}">
            <xm:f>'Modell-Kalibrierung'!$C$7+1%</xm:f>
            <xm:f>"0Kalibrierung!$E$8"</xm:f>
            <x14:dxf>
              <font>
                <color theme="0"/>
              </font>
              <fill>
                <patternFill>
                  <bgColor theme="5" tint="-0.499984740745262"/>
                </patternFill>
              </fill>
            </x14:dxf>
          </x14:cfRule>
          <x14:cfRule type="cellIs" priority="751" operator="between" id="{98317C25-60B1-4B2D-A90A-83799E3D6EE4}">
            <xm:f>'Modell-Kalibrierung'!$C$6+1%</xm:f>
            <xm:f>"0Kalibrierung!$E$7"</xm:f>
            <x14:dxf>
              <fill>
                <patternFill>
                  <bgColor theme="5" tint="-0.24994659260841701"/>
                </patternFill>
              </fill>
            </x14:dxf>
          </x14:cfRule>
          <x14:cfRule type="cellIs" priority="752" operator="between" id="{EB8F96D3-DD22-44FD-AA29-45589C5CA5D3}">
            <xm:f>'Modell-Kalibrierung'!$C$5+1%</xm:f>
            <xm:f>"0Kalibrierung!$E$6"</xm:f>
            <x14:dxf>
              <fill>
                <patternFill>
                  <bgColor theme="5" tint="0.39994506668294322"/>
                </patternFill>
              </fill>
            </x14:dxf>
          </x14:cfRule>
          <x14:cfRule type="cellIs" priority="753" operator="between" id="{273E900D-A163-4470-9B1C-6D4ACF586BE7}">
            <xm:f>'Modell-Kalibrierung'!$C$4+1%</xm:f>
            <xm:f>"0Kalibrierung!$E$5"</xm:f>
            <x14:dxf>
              <fill>
                <patternFill>
                  <bgColor theme="5" tint="0.59996337778862885"/>
                </patternFill>
              </fill>
            </x14:dxf>
          </x14:cfRule>
          <x14:cfRule type="cellIs" priority="754" operator="between" id="{9D35F3FB-EB72-4C05-813A-30AE73E016FF}">
            <xm:f>'Modell-Kalibrierung'!$C$3+1%</xm:f>
            <xm:f>'Modell-Kalibrierung'!$C$4</xm:f>
            <x14:dxf>
              <fill>
                <patternFill>
                  <bgColor theme="5" tint="0.79998168889431442"/>
                </patternFill>
              </fill>
            </x14:dxf>
          </x14:cfRule>
          <x14:cfRule type="cellIs" priority="755" operator="equal" id="{993FFF1C-F050-471F-AB54-33C4BADD34FE}">
            <xm:f>'Modell-Kalibrierung'!$C$3</xm:f>
            <x14:dxf>
              <fill>
                <patternFill>
                  <bgColor theme="0"/>
                </patternFill>
              </fill>
            </x14:dxf>
          </x14:cfRule>
          <xm:sqref>J69:J73</xm:sqref>
        </x14:conditionalFormatting>
        <x14:conditionalFormatting xmlns:xm="http://schemas.microsoft.com/office/excel/2006/main">
          <x14:cfRule type="cellIs" priority="744" operator="between" id="{746E775C-9338-4017-B514-C44133FFBE0D}">
            <xm:f>'Modell-Kalibrierung'!$C$7+1%</xm:f>
            <xm:f>"0Kalibrierung!$E$8"</xm:f>
            <x14:dxf>
              <font>
                <color theme="0"/>
              </font>
              <fill>
                <patternFill>
                  <bgColor theme="5" tint="-0.499984740745262"/>
                </patternFill>
              </fill>
            </x14:dxf>
          </x14:cfRule>
          <x14:cfRule type="cellIs" priority="745" operator="between" id="{D3599793-F531-47A5-8F38-863A45F5D2F3}">
            <xm:f>'Modell-Kalibrierung'!$C$6+1%</xm:f>
            <xm:f>"0Kalibrierung!$E$7"</xm:f>
            <x14:dxf>
              <fill>
                <patternFill>
                  <bgColor theme="5" tint="-0.24994659260841701"/>
                </patternFill>
              </fill>
            </x14:dxf>
          </x14:cfRule>
          <x14:cfRule type="cellIs" priority="746" operator="between" id="{2F59269D-B94E-4327-B4FA-8F6FEBAD8120}">
            <xm:f>'Modell-Kalibrierung'!$C$5+1%</xm:f>
            <xm:f>"0Kalibrierung!$E$6"</xm:f>
            <x14:dxf>
              <fill>
                <patternFill>
                  <bgColor theme="5" tint="0.39994506668294322"/>
                </patternFill>
              </fill>
            </x14:dxf>
          </x14:cfRule>
          <x14:cfRule type="cellIs" priority="747" operator="between" id="{9B2F0EF2-021C-4F39-9765-4AF6B8671669}">
            <xm:f>'Modell-Kalibrierung'!$C$4+1%</xm:f>
            <xm:f>"0Kalibrierung!$E$5"</xm:f>
            <x14:dxf>
              <fill>
                <patternFill>
                  <bgColor theme="5" tint="0.59996337778862885"/>
                </patternFill>
              </fill>
            </x14:dxf>
          </x14:cfRule>
          <x14:cfRule type="cellIs" priority="748" operator="between" id="{E74F0E4C-3456-48CB-BBE6-924540E885C7}">
            <xm:f>'Modell-Kalibrierung'!$C$3+1%</xm:f>
            <xm:f>'Modell-Kalibrierung'!$C$4</xm:f>
            <x14:dxf>
              <fill>
                <patternFill>
                  <bgColor theme="5" tint="0.79998168889431442"/>
                </patternFill>
              </fill>
            </x14:dxf>
          </x14:cfRule>
          <x14:cfRule type="cellIs" priority="749" operator="equal" id="{EC1C5157-3495-4FF3-BE84-FA673B9BF58A}">
            <xm:f>'Modell-Kalibrierung'!$C$3</xm:f>
            <x14:dxf>
              <fill>
                <patternFill>
                  <bgColor theme="0"/>
                </patternFill>
              </fill>
            </x14:dxf>
          </x14:cfRule>
          <xm:sqref>J75:J79</xm:sqref>
        </x14:conditionalFormatting>
        <x14:conditionalFormatting xmlns:xm="http://schemas.microsoft.com/office/excel/2006/main">
          <x14:cfRule type="cellIs" priority="738" operator="between" id="{DC715EF4-08CE-48FB-ADDA-1E812AE25B07}">
            <xm:f>'Modell-Kalibrierung'!$C$7+1%</xm:f>
            <xm:f>"0Kalibrierung!$E$8"</xm:f>
            <x14:dxf>
              <font>
                <color theme="0"/>
              </font>
              <fill>
                <patternFill>
                  <bgColor theme="5" tint="-0.499984740745262"/>
                </patternFill>
              </fill>
            </x14:dxf>
          </x14:cfRule>
          <x14:cfRule type="cellIs" priority="739" operator="between" id="{55873CE5-B00C-4A28-8108-81C47DED92B7}">
            <xm:f>'Modell-Kalibrierung'!$C$6+1%</xm:f>
            <xm:f>"0Kalibrierung!$E$7"</xm:f>
            <x14:dxf>
              <fill>
                <patternFill>
                  <bgColor theme="5" tint="-0.24994659260841701"/>
                </patternFill>
              </fill>
            </x14:dxf>
          </x14:cfRule>
          <x14:cfRule type="cellIs" priority="740" operator="between" id="{DCC5F8A2-F67D-4382-A133-0ADE3BC84AC2}">
            <xm:f>'Modell-Kalibrierung'!$C$5+1%</xm:f>
            <xm:f>"0Kalibrierung!$E$6"</xm:f>
            <x14:dxf>
              <fill>
                <patternFill>
                  <bgColor theme="5" tint="0.39994506668294322"/>
                </patternFill>
              </fill>
            </x14:dxf>
          </x14:cfRule>
          <x14:cfRule type="cellIs" priority="741" operator="between" id="{F3AEA0C5-C351-4211-9BA3-3F275FC97602}">
            <xm:f>'Modell-Kalibrierung'!$C$4+1%</xm:f>
            <xm:f>"0Kalibrierung!$E$5"</xm:f>
            <x14:dxf>
              <fill>
                <patternFill>
                  <bgColor theme="5" tint="0.59996337778862885"/>
                </patternFill>
              </fill>
            </x14:dxf>
          </x14:cfRule>
          <x14:cfRule type="cellIs" priority="742" operator="between" id="{0365996A-4DB7-4BFE-847D-04B6E31DDEBC}">
            <xm:f>'Modell-Kalibrierung'!$C$3+1%</xm:f>
            <xm:f>'Modell-Kalibrierung'!$C$4</xm:f>
            <x14:dxf>
              <fill>
                <patternFill>
                  <bgColor theme="5" tint="0.79998168889431442"/>
                </patternFill>
              </fill>
            </x14:dxf>
          </x14:cfRule>
          <x14:cfRule type="cellIs" priority="743" operator="equal" id="{2D8C9CB9-B80E-4239-8D26-2B7AB2E246F1}">
            <xm:f>'Modell-Kalibrierung'!$C$3</xm:f>
            <x14:dxf>
              <fill>
                <patternFill>
                  <bgColor theme="0"/>
                </patternFill>
              </fill>
            </x14:dxf>
          </x14:cfRule>
          <xm:sqref>J81:J85</xm:sqref>
        </x14:conditionalFormatting>
        <x14:conditionalFormatting xmlns:xm="http://schemas.microsoft.com/office/excel/2006/main">
          <x14:cfRule type="cellIs" priority="732" operator="between" id="{2FA6C956-F92A-497A-AB00-90D10C962741}">
            <xm:f>'Modell-Kalibrierung'!$C$7+1%</xm:f>
            <xm:f>"0Kalibrierung!$E$8"</xm:f>
            <x14:dxf>
              <font>
                <color theme="0"/>
              </font>
              <fill>
                <patternFill>
                  <bgColor theme="5" tint="-0.499984740745262"/>
                </patternFill>
              </fill>
            </x14:dxf>
          </x14:cfRule>
          <x14:cfRule type="cellIs" priority="733" operator="between" id="{F44ADBFA-66C4-4BCD-B433-9ED65F55937C}">
            <xm:f>'Modell-Kalibrierung'!$C$6+1%</xm:f>
            <xm:f>"0Kalibrierung!$E$7"</xm:f>
            <x14:dxf>
              <fill>
                <patternFill>
                  <bgColor theme="5" tint="-0.24994659260841701"/>
                </patternFill>
              </fill>
            </x14:dxf>
          </x14:cfRule>
          <x14:cfRule type="cellIs" priority="734" operator="between" id="{5B9D0861-62F7-4CE0-93A7-8D4FF73FBEAF}">
            <xm:f>'Modell-Kalibrierung'!$C$5+1%</xm:f>
            <xm:f>"0Kalibrierung!$E$6"</xm:f>
            <x14:dxf>
              <fill>
                <patternFill>
                  <bgColor theme="5" tint="0.39994506668294322"/>
                </patternFill>
              </fill>
            </x14:dxf>
          </x14:cfRule>
          <x14:cfRule type="cellIs" priority="735" operator="between" id="{51232BD3-409D-44BE-ACA0-B0C3B677AD61}">
            <xm:f>'Modell-Kalibrierung'!$C$4+1%</xm:f>
            <xm:f>"0Kalibrierung!$E$5"</xm:f>
            <x14:dxf>
              <fill>
                <patternFill>
                  <bgColor theme="5" tint="0.59996337778862885"/>
                </patternFill>
              </fill>
            </x14:dxf>
          </x14:cfRule>
          <x14:cfRule type="cellIs" priority="736" operator="between" id="{36BA4D9C-02A1-4BEA-A2C2-BDF4F7C7BBFF}">
            <xm:f>'Modell-Kalibrierung'!$C$3+1%</xm:f>
            <xm:f>'Modell-Kalibrierung'!$C$4</xm:f>
            <x14:dxf>
              <fill>
                <patternFill>
                  <bgColor theme="5" tint="0.79998168889431442"/>
                </patternFill>
              </fill>
            </x14:dxf>
          </x14:cfRule>
          <x14:cfRule type="cellIs" priority="737" operator="equal" id="{674EDC62-2C8F-42CD-93D1-16FA40EBAFCC}">
            <xm:f>'Modell-Kalibrierung'!$C$3</xm:f>
            <x14:dxf>
              <fill>
                <patternFill>
                  <bgColor theme="0"/>
                </patternFill>
              </fill>
            </x14:dxf>
          </x14:cfRule>
          <xm:sqref>J87:J91</xm:sqref>
        </x14:conditionalFormatting>
        <x14:conditionalFormatting xmlns:xm="http://schemas.microsoft.com/office/excel/2006/main">
          <x14:cfRule type="cellIs" priority="726" operator="between" id="{DBF96DCC-62CD-4857-A41A-4A411A0D9CA3}">
            <xm:f>'Modell-Kalibrierung'!$C$7+1%</xm:f>
            <xm:f>"0Kalibrierung!$E$8"</xm:f>
            <x14:dxf>
              <font>
                <color theme="0"/>
              </font>
              <fill>
                <patternFill>
                  <bgColor theme="5" tint="-0.499984740745262"/>
                </patternFill>
              </fill>
            </x14:dxf>
          </x14:cfRule>
          <x14:cfRule type="cellIs" priority="727" operator="between" id="{C2AFB765-560B-4FDB-AA59-6ACE2A57CA9D}">
            <xm:f>'Modell-Kalibrierung'!$C$6+1%</xm:f>
            <xm:f>"0Kalibrierung!$E$7"</xm:f>
            <x14:dxf>
              <fill>
                <patternFill>
                  <bgColor theme="5" tint="-0.24994659260841701"/>
                </patternFill>
              </fill>
            </x14:dxf>
          </x14:cfRule>
          <x14:cfRule type="cellIs" priority="728" operator="between" id="{23BE35C6-B71D-4D67-A9D7-D04098999F03}">
            <xm:f>'Modell-Kalibrierung'!$C$5+1%</xm:f>
            <xm:f>"0Kalibrierung!$E$6"</xm:f>
            <x14:dxf>
              <fill>
                <patternFill>
                  <bgColor theme="5" tint="0.39994506668294322"/>
                </patternFill>
              </fill>
            </x14:dxf>
          </x14:cfRule>
          <x14:cfRule type="cellIs" priority="729" operator="between" id="{6B72658A-9C21-4733-A8A0-608A10D0C23F}">
            <xm:f>'Modell-Kalibrierung'!$C$4+1%</xm:f>
            <xm:f>"0Kalibrierung!$E$5"</xm:f>
            <x14:dxf>
              <fill>
                <patternFill>
                  <bgColor theme="5" tint="0.59996337778862885"/>
                </patternFill>
              </fill>
            </x14:dxf>
          </x14:cfRule>
          <x14:cfRule type="cellIs" priority="730" operator="between" id="{40D9C543-C78D-4FEB-9C38-F3B848C37DA1}">
            <xm:f>'Modell-Kalibrierung'!$C$3+1%</xm:f>
            <xm:f>'Modell-Kalibrierung'!$C$4</xm:f>
            <x14:dxf>
              <fill>
                <patternFill>
                  <bgColor theme="5" tint="0.79998168889431442"/>
                </patternFill>
              </fill>
            </x14:dxf>
          </x14:cfRule>
          <x14:cfRule type="cellIs" priority="731" operator="equal" id="{687FF471-D058-4AA6-A01F-47EC673E33DA}">
            <xm:f>'Modell-Kalibrierung'!$C$3</xm:f>
            <x14:dxf>
              <fill>
                <patternFill>
                  <bgColor theme="0"/>
                </patternFill>
              </fill>
            </x14:dxf>
          </x14:cfRule>
          <xm:sqref>J93:J97</xm:sqref>
        </x14:conditionalFormatting>
        <x14:conditionalFormatting xmlns:xm="http://schemas.microsoft.com/office/excel/2006/main">
          <x14:cfRule type="cellIs" priority="720" operator="between" id="{6A7E32E5-DCAD-4EA5-9934-F86B2F49C2DE}">
            <xm:f>'Modell-Kalibrierung'!$C$7+1%</xm:f>
            <xm:f>"0Kalibrierung!$E$8"</xm:f>
            <x14:dxf>
              <font>
                <color theme="0"/>
              </font>
              <fill>
                <patternFill>
                  <bgColor theme="5" tint="-0.499984740745262"/>
                </patternFill>
              </fill>
            </x14:dxf>
          </x14:cfRule>
          <x14:cfRule type="cellIs" priority="721" operator="between" id="{16E97D90-4A73-4AF0-B430-5E403E2C8594}">
            <xm:f>'Modell-Kalibrierung'!$C$6+1%</xm:f>
            <xm:f>"0Kalibrierung!$E$7"</xm:f>
            <x14:dxf>
              <fill>
                <patternFill>
                  <bgColor theme="5" tint="-0.24994659260841701"/>
                </patternFill>
              </fill>
            </x14:dxf>
          </x14:cfRule>
          <x14:cfRule type="cellIs" priority="722" operator="between" id="{809FAA3C-8DAA-457E-B525-967A5D5D9164}">
            <xm:f>'Modell-Kalibrierung'!$C$5+1%</xm:f>
            <xm:f>"0Kalibrierung!$E$6"</xm:f>
            <x14:dxf>
              <fill>
                <patternFill>
                  <bgColor theme="5" tint="0.39994506668294322"/>
                </patternFill>
              </fill>
            </x14:dxf>
          </x14:cfRule>
          <x14:cfRule type="cellIs" priority="723" operator="between" id="{8A8935DD-A10F-4028-887E-79155C9475DB}">
            <xm:f>'Modell-Kalibrierung'!$C$4+1%</xm:f>
            <xm:f>"0Kalibrierung!$E$5"</xm:f>
            <x14:dxf>
              <fill>
                <patternFill>
                  <bgColor theme="5" tint="0.59996337778862885"/>
                </patternFill>
              </fill>
            </x14:dxf>
          </x14:cfRule>
          <x14:cfRule type="cellIs" priority="724" operator="between" id="{832E16A3-5AE5-4606-8BF3-4ECF9B43E126}">
            <xm:f>'Modell-Kalibrierung'!$C$3+1%</xm:f>
            <xm:f>'Modell-Kalibrierung'!$C$4</xm:f>
            <x14:dxf>
              <fill>
                <patternFill>
                  <bgColor theme="5" tint="0.79998168889431442"/>
                </patternFill>
              </fill>
            </x14:dxf>
          </x14:cfRule>
          <x14:cfRule type="cellIs" priority="725" operator="equal" id="{8EA78909-B4A3-48CC-A28E-43844C74A4D6}">
            <xm:f>'Modell-Kalibrierung'!$C$3</xm:f>
            <x14:dxf>
              <fill>
                <patternFill>
                  <bgColor theme="0"/>
                </patternFill>
              </fill>
            </x14:dxf>
          </x14:cfRule>
          <xm:sqref>J99:J103</xm:sqref>
        </x14:conditionalFormatting>
        <x14:conditionalFormatting xmlns:xm="http://schemas.microsoft.com/office/excel/2006/main">
          <x14:cfRule type="cellIs" priority="714" operator="between" id="{040DBAC4-33AD-42C3-8F38-F0ADDBE5F764}">
            <xm:f>'Modell-Kalibrierung'!$C$7+1%</xm:f>
            <xm:f>"0Kalibrierung!$E$8"</xm:f>
            <x14:dxf>
              <font>
                <color theme="0"/>
              </font>
              <fill>
                <patternFill>
                  <bgColor theme="5" tint="-0.499984740745262"/>
                </patternFill>
              </fill>
            </x14:dxf>
          </x14:cfRule>
          <x14:cfRule type="cellIs" priority="715" operator="between" id="{890CA42F-B941-407D-8D70-E0F7A82A7DF0}">
            <xm:f>'Modell-Kalibrierung'!$C$6+1%</xm:f>
            <xm:f>"0Kalibrierung!$E$7"</xm:f>
            <x14:dxf>
              <fill>
                <patternFill>
                  <bgColor theme="5" tint="-0.24994659260841701"/>
                </patternFill>
              </fill>
            </x14:dxf>
          </x14:cfRule>
          <x14:cfRule type="cellIs" priority="716" operator="between" id="{E80FE5CD-40FD-4789-9108-17FFE3C237B9}">
            <xm:f>'Modell-Kalibrierung'!$C$5+1%</xm:f>
            <xm:f>"0Kalibrierung!$E$6"</xm:f>
            <x14:dxf>
              <fill>
                <patternFill>
                  <bgColor theme="5" tint="0.39994506668294322"/>
                </patternFill>
              </fill>
            </x14:dxf>
          </x14:cfRule>
          <x14:cfRule type="cellIs" priority="717" operator="between" id="{1BFF8D5D-BEC3-4420-8301-52A75FDEB0D3}">
            <xm:f>'Modell-Kalibrierung'!$C$4+1%</xm:f>
            <xm:f>"0Kalibrierung!$E$5"</xm:f>
            <x14:dxf>
              <fill>
                <patternFill>
                  <bgColor theme="5" tint="0.59996337778862885"/>
                </patternFill>
              </fill>
            </x14:dxf>
          </x14:cfRule>
          <x14:cfRule type="cellIs" priority="718" operator="between" id="{26727CE4-D935-4CD1-84F8-0E687728D9BB}">
            <xm:f>'Modell-Kalibrierung'!$C$3+1%</xm:f>
            <xm:f>'Modell-Kalibrierung'!$C$4</xm:f>
            <x14:dxf>
              <fill>
                <patternFill>
                  <bgColor theme="5" tint="0.79998168889431442"/>
                </patternFill>
              </fill>
            </x14:dxf>
          </x14:cfRule>
          <x14:cfRule type="cellIs" priority="719" operator="equal" id="{226F1301-E405-4E64-A519-BDDE53740516}">
            <xm:f>'Modell-Kalibrierung'!$C$3</xm:f>
            <x14:dxf>
              <fill>
                <patternFill>
                  <bgColor theme="0"/>
                </patternFill>
              </fill>
            </x14:dxf>
          </x14:cfRule>
          <xm:sqref>J105:J109</xm:sqref>
        </x14:conditionalFormatting>
        <x14:conditionalFormatting xmlns:xm="http://schemas.microsoft.com/office/excel/2006/main">
          <x14:cfRule type="cellIs" priority="708" operator="between" id="{808FFDD8-BFDD-4958-891D-E5176A967C86}">
            <xm:f>'Modell-Kalibrierung'!$C$7+1%</xm:f>
            <xm:f>"0Kalibrierung!$E$8"</xm:f>
            <x14:dxf>
              <font>
                <color theme="0"/>
              </font>
              <fill>
                <patternFill>
                  <bgColor theme="5" tint="-0.499984740745262"/>
                </patternFill>
              </fill>
            </x14:dxf>
          </x14:cfRule>
          <x14:cfRule type="cellIs" priority="709" operator="between" id="{FCC1D63B-8BFD-4A03-B4D2-1BDED067DE80}">
            <xm:f>'Modell-Kalibrierung'!$C$6+1%</xm:f>
            <xm:f>"0Kalibrierung!$E$7"</xm:f>
            <x14:dxf>
              <fill>
                <patternFill>
                  <bgColor theme="5" tint="-0.24994659260841701"/>
                </patternFill>
              </fill>
            </x14:dxf>
          </x14:cfRule>
          <x14:cfRule type="cellIs" priority="710" operator="between" id="{084BBB5F-AAD0-46A6-98CD-66F131C1A70E}">
            <xm:f>'Modell-Kalibrierung'!$C$5+1%</xm:f>
            <xm:f>"0Kalibrierung!$E$6"</xm:f>
            <x14:dxf>
              <fill>
                <patternFill>
                  <bgColor theme="5" tint="0.39994506668294322"/>
                </patternFill>
              </fill>
            </x14:dxf>
          </x14:cfRule>
          <x14:cfRule type="cellIs" priority="711" operator="between" id="{F6E7C8AD-259C-49EC-A5B7-A424E1481F73}">
            <xm:f>'Modell-Kalibrierung'!$C$4+1%</xm:f>
            <xm:f>"0Kalibrierung!$E$5"</xm:f>
            <x14:dxf>
              <fill>
                <patternFill>
                  <bgColor theme="5" tint="0.59996337778862885"/>
                </patternFill>
              </fill>
            </x14:dxf>
          </x14:cfRule>
          <x14:cfRule type="cellIs" priority="712" operator="between" id="{27BAD727-D456-4B0F-B9DA-08946D5C199B}">
            <xm:f>'Modell-Kalibrierung'!$C$3+1%</xm:f>
            <xm:f>'Modell-Kalibrierung'!$C$4</xm:f>
            <x14:dxf>
              <fill>
                <patternFill>
                  <bgColor theme="5" tint="0.79998168889431442"/>
                </patternFill>
              </fill>
            </x14:dxf>
          </x14:cfRule>
          <x14:cfRule type="cellIs" priority="713" operator="equal" id="{4B59F44A-2787-4291-8F56-B52E0C118154}">
            <xm:f>'Modell-Kalibrierung'!$C$3</xm:f>
            <x14:dxf>
              <fill>
                <patternFill>
                  <bgColor theme="0"/>
                </patternFill>
              </fill>
            </x14:dxf>
          </x14:cfRule>
          <xm:sqref>J111:J115</xm:sqref>
        </x14:conditionalFormatting>
        <x14:conditionalFormatting xmlns:xm="http://schemas.microsoft.com/office/excel/2006/main">
          <x14:cfRule type="cellIs" priority="702" operator="between" id="{81F28A9D-4454-487A-80EE-1D016CF5F89D}">
            <xm:f>'Modell-Kalibrierung'!$C$7+1%</xm:f>
            <xm:f>"0Kalibrierung!$E$8"</xm:f>
            <x14:dxf>
              <font>
                <color theme="0"/>
              </font>
              <fill>
                <patternFill>
                  <bgColor theme="5" tint="-0.499984740745262"/>
                </patternFill>
              </fill>
            </x14:dxf>
          </x14:cfRule>
          <x14:cfRule type="cellIs" priority="703" operator="between" id="{8C078844-BA9A-403F-A962-6FFEBC8F2F4E}">
            <xm:f>'Modell-Kalibrierung'!$C$6+1%</xm:f>
            <xm:f>"0Kalibrierung!$E$7"</xm:f>
            <x14:dxf>
              <fill>
                <patternFill>
                  <bgColor theme="5" tint="-0.24994659260841701"/>
                </patternFill>
              </fill>
            </x14:dxf>
          </x14:cfRule>
          <x14:cfRule type="cellIs" priority="704" operator="between" id="{0BA4C5DD-F7E3-4EAF-AFF7-B27F29A00882}">
            <xm:f>'Modell-Kalibrierung'!$C$5+1%</xm:f>
            <xm:f>"0Kalibrierung!$E$6"</xm:f>
            <x14:dxf>
              <fill>
                <patternFill>
                  <bgColor theme="5" tint="0.39994506668294322"/>
                </patternFill>
              </fill>
            </x14:dxf>
          </x14:cfRule>
          <x14:cfRule type="cellIs" priority="705" operator="between" id="{87893726-F56A-43AF-B9B2-12F478CD241B}">
            <xm:f>'Modell-Kalibrierung'!$C$4+1%</xm:f>
            <xm:f>"0Kalibrierung!$E$5"</xm:f>
            <x14:dxf>
              <fill>
                <patternFill>
                  <bgColor theme="5" tint="0.59996337778862885"/>
                </patternFill>
              </fill>
            </x14:dxf>
          </x14:cfRule>
          <x14:cfRule type="cellIs" priority="706" operator="between" id="{4B24F4A4-9D96-498C-ADB6-6CD91339E27F}">
            <xm:f>'Modell-Kalibrierung'!$C$3+1%</xm:f>
            <xm:f>'Modell-Kalibrierung'!$C$4</xm:f>
            <x14:dxf>
              <fill>
                <patternFill>
                  <bgColor theme="5" tint="0.79998168889431442"/>
                </patternFill>
              </fill>
            </x14:dxf>
          </x14:cfRule>
          <x14:cfRule type="cellIs" priority="707" operator="equal" id="{FC11A12F-B3A9-4504-AE92-6E92AA38D668}">
            <xm:f>'Modell-Kalibrierung'!$C$3</xm:f>
            <x14:dxf>
              <fill>
                <patternFill>
                  <bgColor theme="0"/>
                </patternFill>
              </fill>
            </x14:dxf>
          </x14:cfRule>
          <xm:sqref>J117:J121</xm:sqref>
        </x14:conditionalFormatting>
        <x14:conditionalFormatting xmlns:xm="http://schemas.microsoft.com/office/excel/2006/main">
          <x14:cfRule type="cellIs" priority="563" operator="equal" id="{BACD9054-894E-47E7-B909-64AF066B56AB}">
            <xm:f>'Modell-Kalibrierung'!$B$16</xm:f>
            <x14:dxf>
              <fill>
                <patternFill>
                  <bgColor theme="0"/>
                </patternFill>
              </fill>
            </x14:dxf>
          </x14:cfRule>
          <xm:sqref>I42:I43</xm:sqref>
        </x14:conditionalFormatting>
        <x14:conditionalFormatting xmlns:xm="http://schemas.microsoft.com/office/excel/2006/main">
          <x14:cfRule type="cellIs" priority="556" operator="equal" id="{4EF85B1F-C363-4551-B550-6B960674896F}">
            <xm:f>'Modell-Kalibrierung'!$B$16</xm:f>
            <x14:dxf>
              <fill>
                <patternFill>
                  <bgColor theme="0"/>
                </patternFill>
              </fill>
            </x14:dxf>
          </x14:cfRule>
          <xm:sqref>I39:I41</xm:sqref>
        </x14:conditionalFormatting>
        <x14:conditionalFormatting xmlns:xm="http://schemas.microsoft.com/office/excel/2006/main">
          <x14:cfRule type="cellIs" priority="549" operator="equal" id="{EA8A792D-C64B-4F69-9ED5-29DE37A9C939}">
            <xm:f>'Modell-Kalibrierung'!$B$16</xm:f>
            <x14:dxf>
              <fill>
                <patternFill>
                  <bgColor theme="0"/>
                </patternFill>
              </fill>
            </x14:dxf>
          </x14:cfRule>
          <xm:sqref>I66:I67</xm:sqref>
        </x14:conditionalFormatting>
        <x14:conditionalFormatting xmlns:xm="http://schemas.microsoft.com/office/excel/2006/main">
          <x14:cfRule type="cellIs" priority="542" operator="equal" id="{71B1F142-8E92-4FF8-93AB-A2D9EBC15E52}">
            <xm:f>'Modell-Kalibrierung'!$B$16</xm:f>
            <x14:dxf>
              <fill>
                <patternFill>
                  <bgColor theme="0"/>
                </patternFill>
              </fill>
            </x14:dxf>
          </x14:cfRule>
          <xm:sqref>I63:I65</xm:sqref>
        </x14:conditionalFormatting>
        <x14:conditionalFormatting xmlns:xm="http://schemas.microsoft.com/office/excel/2006/main">
          <x14:cfRule type="cellIs" priority="535" operator="equal" id="{BE7C930E-956C-447A-97B0-48C60BB225B5}">
            <xm:f>'Modell-Kalibrierung'!$B$16</xm:f>
            <x14:dxf>
              <fill>
                <patternFill>
                  <bgColor theme="0"/>
                </patternFill>
              </fill>
            </x14:dxf>
          </x14:cfRule>
          <xm:sqref>I72:I73</xm:sqref>
        </x14:conditionalFormatting>
        <x14:conditionalFormatting xmlns:xm="http://schemas.microsoft.com/office/excel/2006/main">
          <x14:cfRule type="cellIs" priority="528" operator="equal" id="{5F983E36-C9F2-4E9C-8DA3-97F7D795C934}">
            <xm:f>'Modell-Kalibrierung'!$B$16</xm:f>
            <x14:dxf>
              <fill>
                <patternFill>
                  <bgColor theme="0"/>
                </patternFill>
              </fill>
            </x14:dxf>
          </x14:cfRule>
          <xm:sqref>I69:I71</xm:sqref>
        </x14:conditionalFormatting>
        <x14:conditionalFormatting xmlns:xm="http://schemas.microsoft.com/office/excel/2006/main">
          <x14:cfRule type="cellIs" priority="521" operator="equal" id="{547FB456-A27C-47AB-A29C-70844E21F3AC}">
            <xm:f>'Modell-Kalibrierung'!$B$16</xm:f>
            <x14:dxf>
              <fill>
                <patternFill>
                  <bgColor theme="0"/>
                </patternFill>
              </fill>
            </x14:dxf>
          </x14:cfRule>
          <xm:sqref>I78:I79</xm:sqref>
        </x14:conditionalFormatting>
        <x14:conditionalFormatting xmlns:xm="http://schemas.microsoft.com/office/excel/2006/main">
          <x14:cfRule type="cellIs" priority="514" operator="equal" id="{7A09AA6E-E893-48D5-936B-6E6BDFC69E46}">
            <xm:f>'Modell-Kalibrierung'!$B$16</xm:f>
            <x14:dxf>
              <fill>
                <patternFill>
                  <bgColor theme="0"/>
                </patternFill>
              </fill>
            </x14:dxf>
          </x14:cfRule>
          <xm:sqref>I75:I77</xm:sqref>
        </x14:conditionalFormatting>
        <x14:conditionalFormatting xmlns:xm="http://schemas.microsoft.com/office/excel/2006/main">
          <x14:cfRule type="cellIs" priority="507" operator="equal" id="{58109B28-6A4E-4A80-9807-D0D06ADBFA19}">
            <xm:f>'Modell-Kalibrierung'!$B$16</xm:f>
            <x14:dxf>
              <fill>
                <patternFill>
                  <bgColor theme="0"/>
                </patternFill>
              </fill>
            </x14:dxf>
          </x14:cfRule>
          <xm:sqref>I84:I85</xm:sqref>
        </x14:conditionalFormatting>
        <x14:conditionalFormatting xmlns:xm="http://schemas.microsoft.com/office/excel/2006/main">
          <x14:cfRule type="cellIs" priority="500" operator="equal" id="{144B8809-1678-4AE9-9463-4B0D4592210A}">
            <xm:f>'Modell-Kalibrierung'!$B$16</xm:f>
            <x14:dxf>
              <fill>
                <patternFill>
                  <bgColor theme="0"/>
                </patternFill>
              </fill>
            </x14:dxf>
          </x14:cfRule>
          <xm:sqref>I81:I83</xm:sqref>
        </x14:conditionalFormatting>
        <x14:conditionalFormatting xmlns:xm="http://schemas.microsoft.com/office/excel/2006/main">
          <x14:cfRule type="cellIs" priority="493" operator="equal" id="{8180B152-C493-4BC7-B282-3500EEAE9195}">
            <xm:f>'Modell-Kalibrierung'!$B$16</xm:f>
            <x14:dxf>
              <fill>
                <patternFill>
                  <bgColor theme="0"/>
                </patternFill>
              </fill>
            </x14:dxf>
          </x14:cfRule>
          <xm:sqref>I90:I91</xm:sqref>
        </x14:conditionalFormatting>
        <x14:conditionalFormatting xmlns:xm="http://schemas.microsoft.com/office/excel/2006/main">
          <x14:cfRule type="cellIs" priority="486" operator="equal" id="{439AC239-FE00-4BDF-85C6-2F68ACFA51E6}">
            <xm:f>'Modell-Kalibrierung'!$B$16</xm:f>
            <x14:dxf>
              <fill>
                <patternFill>
                  <bgColor theme="0"/>
                </patternFill>
              </fill>
            </x14:dxf>
          </x14:cfRule>
          <xm:sqref>I87:I89</xm:sqref>
        </x14:conditionalFormatting>
        <x14:conditionalFormatting xmlns:xm="http://schemas.microsoft.com/office/excel/2006/main">
          <x14:cfRule type="cellIs" priority="479" operator="equal" id="{CAF78B03-C722-49B1-B79C-85DED70651A1}">
            <xm:f>'Modell-Kalibrierung'!$B$16</xm:f>
            <x14:dxf>
              <fill>
                <patternFill>
                  <bgColor theme="0"/>
                </patternFill>
              </fill>
            </x14:dxf>
          </x14:cfRule>
          <xm:sqref>I96:I97</xm:sqref>
        </x14:conditionalFormatting>
        <x14:conditionalFormatting xmlns:xm="http://schemas.microsoft.com/office/excel/2006/main">
          <x14:cfRule type="cellIs" priority="472" operator="equal" id="{F567D96E-FF6A-47F5-B2AA-CF8230C24D0D}">
            <xm:f>'Modell-Kalibrierung'!$B$16</xm:f>
            <x14:dxf>
              <fill>
                <patternFill>
                  <bgColor theme="0"/>
                </patternFill>
              </fill>
            </x14:dxf>
          </x14:cfRule>
          <xm:sqref>I93:I95</xm:sqref>
        </x14:conditionalFormatting>
        <x14:conditionalFormatting xmlns:xm="http://schemas.microsoft.com/office/excel/2006/main">
          <x14:cfRule type="cellIs" priority="465" operator="equal" id="{B12DB9D1-E512-4B71-99E8-8C016F226710}">
            <xm:f>'Modell-Kalibrierung'!$B$16</xm:f>
            <x14:dxf>
              <fill>
                <patternFill>
                  <bgColor theme="0"/>
                </patternFill>
              </fill>
            </x14:dxf>
          </x14:cfRule>
          <xm:sqref>I102:I103</xm:sqref>
        </x14:conditionalFormatting>
        <x14:conditionalFormatting xmlns:xm="http://schemas.microsoft.com/office/excel/2006/main">
          <x14:cfRule type="cellIs" priority="458" operator="equal" id="{1BDEAE9D-806F-4F82-A670-D24BA417E1CF}">
            <xm:f>'Modell-Kalibrierung'!$B$16</xm:f>
            <x14:dxf>
              <fill>
                <patternFill>
                  <bgColor theme="0"/>
                </patternFill>
              </fill>
            </x14:dxf>
          </x14:cfRule>
          <xm:sqref>I99:I101</xm:sqref>
        </x14:conditionalFormatting>
        <x14:conditionalFormatting xmlns:xm="http://schemas.microsoft.com/office/excel/2006/main">
          <x14:cfRule type="cellIs" priority="451" operator="equal" id="{68E24845-AAEF-4D4A-A503-74BFCB6266AA}">
            <xm:f>'Modell-Kalibrierung'!$B$16</xm:f>
            <x14:dxf>
              <fill>
                <patternFill>
                  <bgColor theme="0"/>
                </patternFill>
              </fill>
            </x14:dxf>
          </x14:cfRule>
          <xm:sqref>I108:I109</xm:sqref>
        </x14:conditionalFormatting>
        <x14:conditionalFormatting xmlns:xm="http://schemas.microsoft.com/office/excel/2006/main">
          <x14:cfRule type="cellIs" priority="444" operator="equal" id="{537DFD44-C890-43F3-AD67-989A200A20DB}">
            <xm:f>'Modell-Kalibrierung'!$B$16</xm:f>
            <x14:dxf>
              <fill>
                <patternFill>
                  <bgColor theme="0"/>
                </patternFill>
              </fill>
            </x14:dxf>
          </x14:cfRule>
          <xm:sqref>I105:I107</xm:sqref>
        </x14:conditionalFormatting>
        <x14:conditionalFormatting xmlns:xm="http://schemas.microsoft.com/office/excel/2006/main">
          <x14:cfRule type="cellIs" priority="437" operator="equal" id="{23CD01BC-4A97-47A0-8AB5-BC97F19248A5}">
            <xm:f>'Modell-Kalibrierung'!$B$16</xm:f>
            <x14:dxf>
              <fill>
                <patternFill>
                  <bgColor theme="0"/>
                </patternFill>
              </fill>
            </x14:dxf>
          </x14:cfRule>
          <xm:sqref>I114:I115</xm:sqref>
        </x14:conditionalFormatting>
        <x14:conditionalFormatting xmlns:xm="http://schemas.microsoft.com/office/excel/2006/main">
          <x14:cfRule type="cellIs" priority="430" operator="equal" id="{A08E8F06-341F-4CDD-BC89-1792FA399FEB}">
            <xm:f>'Modell-Kalibrierung'!$B$16</xm:f>
            <x14:dxf>
              <fill>
                <patternFill>
                  <bgColor theme="0"/>
                </patternFill>
              </fill>
            </x14:dxf>
          </x14:cfRule>
          <xm:sqref>I111:I113</xm:sqref>
        </x14:conditionalFormatting>
        <x14:conditionalFormatting xmlns:xm="http://schemas.microsoft.com/office/excel/2006/main">
          <x14:cfRule type="cellIs" priority="423" operator="equal" id="{CC888C6F-BE87-435B-AB27-DCE93EEE900E}">
            <xm:f>'Modell-Kalibrierung'!$B$16</xm:f>
            <x14:dxf>
              <fill>
                <patternFill>
                  <bgColor theme="0"/>
                </patternFill>
              </fill>
            </x14:dxf>
          </x14:cfRule>
          <xm:sqref>I120:I121</xm:sqref>
        </x14:conditionalFormatting>
        <x14:conditionalFormatting xmlns:xm="http://schemas.microsoft.com/office/excel/2006/main">
          <x14:cfRule type="cellIs" priority="416" operator="equal" id="{C9618343-C31D-4CF4-8666-592F44967629}">
            <xm:f>'Modell-Kalibrierung'!$B$16</xm:f>
            <x14:dxf>
              <fill>
                <patternFill>
                  <bgColor theme="0"/>
                </patternFill>
              </fill>
            </x14:dxf>
          </x14:cfRule>
          <xm:sqref>I117:I119</xm:sqref>
        </x14:conditionalFormatting>
        <x14:conditionalFormatting xmlns:xm="http://schemas.microsoft.com/office/excel/2006/main">
          <x14:cfRule type="cellIs" priority="409" operator="equal" id="{D57D201B-1F6A-49FA-83D0-39E0EEAE40AB}">
            <xm:f>'Modell-Kalibrierung'!$B$16</xm:f>
            <x14:dxf>
              <fill>
                <patternFill>
                  <bgColor theme="0"/>
                </patternFill>
              </fill>
            </x14:dxf>
          </x14:cfRule>
          <xm:sqref>G42:G43</xm:sqref>
        </x14:conditionalFormatting>
        <x14:conditionalFormatting xmlns:xm="http://schemas.microsoft.com/office/excel/2006/main">
          <x14:cfRule type="cellIs" priority="402" operator="equal" id="{2FBE7390-2D43-4D1F-A03D-E0D9F3A64ECF}">
            <xm:f>'Modell-Kalibrierung'!$B$16</xm:f>
            <x14:dxf>
              <fill>
                <patternFill>
                  <bgColor theme="0"/>
                </patternFill>
              </fill>
            </x14:dxf>
          </x14:cfRule>
          <xm:sqref>G39:G41</xm:sqref>
        </x14:conditionalFormatting>
        <x14:conditionalFormatting xmlns:xm="http://schemas.microsoft.com/office/excel/2006/main">
          <x14:cfRule type="cellIs" priority="395" operator="equal" id="{695F2FA9-3C1D-428B-A909-EFC9CC735085}">
            <xm:f>'Modell-Kalibrierung'!$B$16</xm:f>
            <x14:dxf>
              <fill>
                <patternFill>
                  <bgColor theme="0"/>
                </patternFill>
              </fill>
            </x14:dxf>
          </x14:cfRule>
          <xm:sqref>G66:G67</xm:sqref>
        </x14:conditionalFormatting>
        <x14:conditionalFormatting xmlns:xm="http://schemas.microsoft.com/office/excel/2006/main">
          <x14:cfRule type="cellIs" priority="388" operator="equal" id="{0503B7DD-01D1-43BA-AAD2-92E3C74DB377}">
            <xm:f>'Modell-Kalibrierung'!$B$16</xm:f>
            <x14:dxf>
              <fill>
                <patternFill>
                  <bgColor theme="0"/>
                </patternFill>
              </fill>
            </x14:dxf>
          </x14:cfRule>
          <xm:sqref>G63:G65</xm:sqref>
        </x14:conditionalFormatting>
        <x14:conditionalFormatting xmlns:xm="http://schemas.microsoft.com/office/excel/2006/main">
          <x14:cfRule type="cellIs" priority="381" operator="equal" id="{961E213B-9CC4-4E39-8FCB-EC6FDC4129A1}">
            <xm:f>'Modell-Kalibrierung'!$B$16</xm:f>
            <x14:dxf>
              <fill>
                <patternFill>
                  <bgColor theme="0"/>
                </patternFill>
              </fill>
            </x14:dxf>
          </x14:cfRule>
          <xm:sqref>G72:G73</xm:sqref>
        </x14:conditionalFormatting>
        <x14:conditionalFormatting xmlns:xm="http://schemas.microsoft.com/office/excel/2006/main">
          <x14:cfRule type="cellIs" priority="374" operator="equal" id="{F26DD344-311D-430E-B369-076512CA0585}">
            <xm:f>'Modell-Kalibrierung'!$B$16</xm:f>
            <x14:dxf>
              <fill>
                <patternFill>
                  <bgColor theme="0"/>
                </patternFill>
              </fill>
            </x14:dxf>
          </x14:cfRule>
          <xm:sqref>G69:G71</xm:sqref>
        </x14:conditionalFormatting>
        <x14:conditionalFormatting xmlns:xm="http://schemas.microsoft.com/office/excel/2006/main">
          <x14:cfRule type="cellIs" priority="367" operator="equal" id="{11A39EAE-502A-420A-82A6-3E48C2715197}">
            <xm:f>'Modell-Kalibrierung'!$B$16</xm:f>
            <x14:dxf>
              <fill>
                <patternFill>
                  <bgColor theme="0"/>
                </patternFill>
              </fill>
            </x14:dxf>
          </x14:cfRule>
          <xm:sqref>G78:G79</xm:sqref>
        </x14:conditionalFormatting>
        <x14:conditionalFormatting xmlns:xm="http://schemas.microsoft.com/office/excel/2006/main">
          <x14:cfRule type="cellIs" priority="360" operator="equal" id="{4B248384-471B-4FAE-810E-DC410EBDB00C}">
            <xm:f>'Modell-Kalibrierung'!$B$16</xm:f>
            <x14:dxf>
              <fill>
                <patternFill>
                  <bgColor theme="0"/>
                </patternFill>
              </fill>
            </x14:dxf>
          </x14:cfRule>
          <xm:sqref>G75:G77</xm:sqref>
        </x14:conditionalFormatting>
        <x14:conditionalFormatting xmlns:xm="http://schemas.microsoft.com/office/excel/2006/main">
          <x14:cfRule type="cellIs" priority="353" operator="equal" id="{1FAB1907-2BA3-488B-9D0E-09271216DBFC}">
            <xm:f>'Modell-Kalibrierung'!$B$16</xm:f>
            <x14:dxf>
              <fill>
                <patternFill>
                  <bgColor theme="0"/>
                </patternFill>
              </fill>
            </x14:dxf>
          </x14:cfRule>
          <xm:sqref>G84:G85</xm:sqref>
        </x14:conditionalFormatting>
        <x14:conditionalFormatting xmlns:xm="http://schemas.microsoft.com/office/excel/2006/main">
          <x14:cfRule type="cellIs" priority="346" operator="equal" id="{6940A307-E832-4ACC-B195-5FAC4FAE6C1F}">
            <xm:f>'Modell-Kalibrierung'!$B$16</xm:f>
            <x14:dxf>
              <fill>
                <patternFill>
                  <bgColor theme="0"/>
                </patternFill>
              </fill>
            </x14:dxf>
          </x14:cfRule>
          <xm:sqref>G81:G83</xm:sqref>
        </x14:conditionalFormatting>
        <x14:conditionalFormatting xmlns:xm="http://schemas.microsoft.com/office/excel/2006/main">
          <x14:cfRule type="cellIs" priority="339" operator="equal" id="{771E0673-5788-4B29-9877-20BAA95D101E}">
            <xm:f>'Modell-Kalibrierung'!$B$16</xm:f>
            <x14:dxf>
              <fill>
                <patternFill>
                  <bgColor theme="0"/>
                </patternFill>
              </fill>
            </x14:dxf>
          </x14:cfRule>
          <xm:sqref>G90:G91</xm:sqref>
        </x14:conditionalFormatting>
        <x14:conditionalFormatting xmlns:xm="http://schemas.microsoft.com/office/excel/2006/main">
          <x14:cfRule type="cellIs" priority="332" operator="equal" id="{DC26EC17-FA89-4BCD-96C7-C0B6BF2D5298}">
            <xm:f>'Modell-Kalibrierung'!$B$16</xm:f>
            <x14:dxf>
              <fill>
                <patternFill>
                  <bgColor theme="0"/>
                </patternFill>
              </fill>
            </x14:dxf>
          </x14:cfRule>
          <xm:sqref>G87:G89</xm:sqref>
        </x14:conditionalFormatting>
        <x14:conditionalFormatting xmlns:xm="http://schemas.microsoft.com/office/excel/2006/main">
          <x14:cfRule type="cellIs" priority="325" operator="equal" id="{229804EB-BE6B-4A91-9017-4931E63657B7}">
            <xm:f>'Modell-Kalibrierung'!$B$16</xm:f>
            <x14:dxf>
              <fill>
                <patternFill>
                  <bgColor theme="0"/>
                </patternFill>
              </fill>
            </x14:dxf>
          </x14:cfRule>
          <xm:sqref>G96:G97</xm:sqref>
        </x14:conditionalFormatting>
        <x14:conditionalFormatting xmlns:xm="http://schemas.microsoft.com/office/excel/2006/main">
          <x14:cfRule type="cellIs" priority="318" operator="equal" id="{57368377-3D46-4F0D-B5D7-5B3C05E70A43}">
            <xm:f>'Modell-Kalibrierung'!$B$16</xm:f>
            <x14:dxf>
              <fill>
                <patternFill>
                  <bgColor theme="0"/>
                </patternFill>
              </fill>
            </x14:dxf>
          </x14:cfRule>
          <xm:sqref>G93:G95</xm:sqref>
        </x14:conditionalFormatting>
        <x14:conditionalFormatting xmlns:xm="http://schemas.microsoft.com/office/excel/2006/main">
          <x14:cfRule type="cellIs" priority="311" operator="equal" id="{2713D7AF-4F94-42C8-B407-98D141BEF76B}">
            <xm:f>'Modell-Kalibrierung'!$B$16</xm:f>
            <x14:dxf>
              <fill>
                <patternFill>
                  <bgColor theme="0"/>
                </patternFill>
              </fill>
            </x14:dxf>
          </x14:cfRule>
          <xm:sqref>G102:G103</xm:sqref>
        </x14:conditionalFormatting>
        <x14:conditionalFormatting xmlns:xm="http://schemas.microsoft.com/office/excel/2006/main">
          <x14:cfRule type="cellIs" priority="304" operator="equal" id="{A73365A3-87E0-420D-943C-6FF56EC94C53}">
            <xm:f>'Modell-Kalibrierung'!$B$16</xm:f>
            <x14:dxf>
              <fill>
                <patternFill>
                  <bgColor theme="0"/>
                </patternFill>
              </fill>
            </x14:dxf>
          </x14:cfRule>
          <xm:sqref>G99:G101</xm:sqref>
        </x14:conditionalFormatting>
        <x14:conditionalFormatting xmlns:xm="http://schemas.microsoft.com/office/excel/2006/main">
          <x14:cfRule type="cellIs" priority="297" operator="equal" id="{6EA622D1-9E4F-4FB4-8B1D-340B16C5E3E1}">
            <xm:f>'Modell-Kalibrierung'!$B$16</xm:f>
            <x14:dxf>
              <fill>
                <patternFill>
                  <bgColor theme="0"/>
                </patternFill>
              </fill>
            </x14:dxf>
          </x14:cfRule>
          <xm:sqref>G108:G109</xm:sqref>
        </x14:conditionalFormatting>
        <x14:conditionalFormatting xmlns:xm="http://schemas.microsoft.com/office/excel/2006/main">
          <x14:cfRule type="cellIs" priority="290" operator="equal" id="{4FE43488-86D1-44E4-A335-78A2C513A342}">
            <xm:f>'Modell-Kalibrierung'!$B$16</xm:f>
            <x14:dxf>
              <fill>
                <patternFill>
                  <bgColor theme="0"/>
                </patternFill>
              </fill>
            </x14:dxf>
          </x14:cfRule>
          <xm:sqref>G105:G107</xm:sqref>
        </x14:conditionalFormatting>
        <x14:conditionalFormatting xmlns:xm="http://schemas.microsoft.com/office/excel/2006/main">
          <x14:cfRule type="cellIs" priority="283" operator="equal" id="{83B73863-B9CC-4B96-A2B9-58DEDEE92A6E}">
            <xm:f>'Modell-Kalibrierung'!$B$16</xm:f>
            <x14:dxf>
              <fill>
                <patternFill>
                  <bgColor theme="0"/>
                </patternFill>
              </fill>
            </x14:dxf>
          </x14:cfRule>
          <xm:sqref>G114:G115</xm:sqref>
        </x14:conditionalFormatting>
        <x14:conditionalFormatting xmlns:xm="http://schemas.microsoft.com/office/excel/2006/main">
          <x14:cfRule type="cellIs" priority="276" operator="equal" id="{1AC0DB11-3F4D-4A2A-9E74-5286462C0C33}">
            <xm:f>'Modell-Kalibrierung'!$B$16</xm:f>
            <x14:dxf>
              <fill>
                <patternFill>
                  <bgColor theme="0"/>
                </patternFill>
              </fill>
            </x14:dxf>
          </x14:cfRule>
          <xm:sqref>G111:G113</xm:sqref>
        </x14:conditionalFormatting>
        <x14:conditionalFormatting xmlns:xm="http://schemas.microsoft.com/office/excel/2006/main">
          <x14:cfRule type="cellIs" priority="269" operator="equal" id="{AAF7814E-C29A-42D7-B95E-2697BFDFFE8E}">
            <xm:f>'Modell-Kalibrierung'!$B$16</xm:f>
            <x14:dxf>
              <fill>
                <patternFill>
                  <bgColor theme="0"/>
                </patternFill>
              </fill>
            </x14:dxf>
          </x14:cfRule>
          <xm:sqref>G120:G121</xm:sqref>
        </x14:conditionalFormatting>
        <x14:conditionalFormatting xmlns:xm="http://schemas.microsoft.com/office/excel/2006/main">
          <x14:cfRule type="cellIs" priority="262" operator="equal" id="{2BAE91C9-5428-4DA2-BFF9-376CD279B030}">
            <xm:f>'Modell-Kalibrierung'!$B$16</xm:f>
            <x14:dxf>
              <fill>
                <patternFill>
                  <bgColor theme="0"/>
                </patternFill>
              </fill>
            </x14:dxf>
          </x14:cfRule>
          <xm:sqref>G117:G119</xm:sqref>
        </x14:conditionalFormatting>
        <x14:conditionalFormatting xmlns:xm="http://schemas.microsoft.com/office/excel/2006/main">
          <x14:cfRule type="iconSet" priority="792" id="{FAF2CBBC-DCC8-425D-9DE0-CFD024E59BF0}">
            <x14:iconSet iconSet="3TrafficLights2" reverse="1">
              <x14:cfvo type="percent">
                <xm:f>0</xm:f>
              </x14:cfvo>
              <x14:cfvo type="num" gte="0">
                <xm:f>'Modell-Kalibrierung'!$C$18</xm:f>
              </x14:cfvo>
              <x14:cfvo type="num">
                <xm:f>'Modell-Kalibrierung'!$C$20</xm:f>
              </x14:cfvo>
            </x14:iconSet>
          </x14:cfRule>
          <xm:sqref>K33</xm:sqref>
        </x14:conditionalFormatting>
        <x14:conditionalFormatting xmlns:xm="http://schemas.microsoft.com/office/excel/2006/main">
          <x14:cfRule type="cellIs" priority="256" operator="between" id="{EE9CDC7A-3695-41DF-9ACF-254E1CCDCEAF}">
            <xm:f>'Modell-Kalibrierung'!$C$7+1%</xm:f>
            <xm:f>"0Kalibrierung!$E$8"</xm:f>
            <x14:dxf>
              <font>
                <color theme="0"/>
              </font>
              <fill>
                <patternFill>
                  <bgColor theme="5" tint="-0.499984740745262"/>
                </patternFill>
              </fill>
            </x14:dxf>
          </x14:cfRule>
          <x14:cfRule type="cellIs" priority="257" operator="between" id="{F86CF7E6-C362-4199-B5F9-882FFF7860C3}">
            <xm:f>'Modell-Kalibrierung'!$C$6+1%</xm:f>
            <xm:f>"0Kalibrierung!$E$7"</xm:f>
            <x14:dxf>
              <fill>
                <patternFill>
                  <bgColor theme="5" tint="-0.24994659260841701"/>
                </patternFill>
              </fill>
            </x14:dxf>
          </x14:cfRule>
          <x14:cfRule type="cellIs" priority="258" operator="between" id="{9FF6F4AD-E63A-4B56-B572-A01055909AB3}">
            <xm:f>'Modell-Kalibrierung'!$C$5+1%</xm:f>
            <xm:f>"0Kalibrierung!$E$6"</xm:f>
            <x14:dxf>
              <fill>
                <patternFill>
                  <bgColor theme="5" tint="0.39994506668294322"/>
                </patternFill>
              </fill>
            </x14:dxf>
          </x14:cfRule>
          <x14:cfRule type="cellIs" priority="259" operator="between" id="{0CB34E97-EF31-4010-9E1A-102E23950A23}">
            <xm:f>'Modell-Kalibrierung'!$C$4+1%</xm:f>
            <xm:f>"0Kalibrierung!$E$5"</xm:f>
            <x14:dxf>
              <fill>
                <patternFill>
                  <bgColor theme="5" tint="0.59996337778862885"/>
                </patternFill>
              </fill>
            </x14:dxf>
          </x14:cfRule>
          <x14:cfRule type="cellIs" priority="260" operator="between" id="{AE0DEAA4-396E-4C9F-9BCB-844234564D95}">
            <xm:f>'Modell-Kalibrierung'!$C$3+1%</xm:f>
            <xm:f>'Modell-Kalibrierung'!$C$4</xm:f>
            <x14:dxf>
              <fill>
                <patternFill>
                  <bgColor theme="5" tint="0.79998168889431442"/>
                </patternFill>
              </fill>
            </x14:dxf>
          </x14:cfRule>
          <x14:cfRule type="cellIs" priority="261" operator="equal" id="{E81BAEEA-5E2D-4F66-9BCD-7654EA8350C6}">
            <xm:f>'Modell-Kalibrierung'!$C$3</xm:f>
            <x14:dxf>
              <fill>
                <patternFill>
                  <bgColor theme="0"/>
                </patternFill>
              </fill>
            </x14:dxf>
          </x14:cfRule>
          <xm:sqref>J35</xm:sqref>
        </x14:conditionalFormatting>
        <x14:conditionalFormatting xmlns:xm="http://schemas.microsoft.com/office/excel/2006/main">
          <x14:cfRule type="iconSet" priority="255" id="{2CAFAB71-2F14-4AE6-A3D0-8C59F02D7666}">
            <x14:iconSet iconSet="3TrafficLights2" reverse="1">
              <x14:cfvo type="percent">
                <xm:f>0</xm:f>
              </x14:cfvo>
              <x14:cfvo type="num" gte="0">
                <xm:f>'Modell-Kalibrierung'!$C$18</xm:f>
              </x14:cfvo>
              <x14:cfvo type="num">
                <xm:f>'Modell-Kalibrierung'!$C$20</xm:f>
              </x14:cfvo>
            </x14:iconSet>
          </x14:cfRule>
          <xm:sqref>K126</xm:sqref>
        </x14:conditionalFormatting>
        <x14:conditionalFormatting xmlns:xm="http://schemas.microsoft.com/office/excel/2006/main">
          <x14:cfRule type="cellIs" priority="249" operator="between" id="{74A43F63-652B-42C4-8CB9-5DE0E197DE17}">
            <xm:f>'Modell-Kalibrierung'!$C$7+1%</xm:f>
            <xm:f>"0Kalibrierung!$E$8"</xm:f>
            <x14:dxf>
              <font>
                <color theme="0"/>
              </font>
              <fill>
                <patternFill>
                  <bgColor theme="5" tint="-0.499984740745262"/>
                </patternFill>
              </fill>
            </x14:dxf>
          </x14:cfRule>
          <x14:cfRule type="cellIs" priority="250" operator="between" id="{96EE92B5-B8B4-446E-A34A-FCCD706F19BD}">
            <xm:f>'Modell-Kalibrierung'!$C$6+1%</xm:f>
            <xm:f>"0Kalibrierung!$E$7"</xm:f>
            <x14:dxf>
              <fill>
                <patternFill>
                  <bgColor theme="5" tint="-0.24994659260841701"/>
                </patternFill>
              </fill>
            </x14:dxf>
          </x14:cfRule>
          <x14:cfRule type="cellIs" priority="251" operator="between" id="{0D14E38D-9709-4F54-A6F4-6ADA2E91ECD1}">
            <xm:f>'Modell-Kalibrierung'!$C$5+1%</xm:f>
            <xm:f>"0Kalibrierung!$E$6"</xm:f>
            <x14:dxf>
              <fill>
                <patternFill>
                  <bgColor theme="5" tint="0.39994506668294322"/>
                </patternFill>
              </fill>
            </x14:dxf>
          </x14:cfRule>
          <x14:cfRule type="cellIs" priority="252" operator="between" id="{09D553F9-6FD4-4C20-B80E-A2A4727A8B4A}">
            <xm:f>'Modell-Kalibrierung'!$C$4+1%</xm:f>
            <xm:f>"0Kalibrierung!$E$5"</xm:f>
            <x14:dxf>
              <fill>
                <patternFill>
                  <bgColor theme="5" tint="0.59996337778862885"/>
                </patternFill>
              </fill>
            </x14:dxf>
          </x14:cfRule>
          <x14:cfRule type="cellIs" priority="253" operator="between" id="{2AA29944-9E89-4570-982B-3A28A9AB929A}">
            <xm:f>'Modell-Kalibrierung'!$C$3+1%</xm:f>
            <xm:f>'Modell-Kalibrierung'!$C$4</xm:f>
            <x14:dxf>
              <fill>
                <patternFill>
                  <bgColor theme="5" tint="0.79998168889431442"/>
                </patternFill>
              </fill>
            </x14:dxf>
          </x14:cfRule>
          <x14:cfRule type="cellIs" priority="254" operator="equal" id="{49390679-A829-4175-ACEE-324ADD0C251E}">
            <xm:f>'Modell-Kalibrierung'!$C$3</xm:f>
            <x14:dxf>
              <fill>
                <patternFill>
                  <bgColor theme="0"/>
                </patternFill>
              </fill>
            </x14:dxf>
          </x14:cfRule>
          <xm:sqref>J126</xm:sqref>
        </x14:conditionalFormatting>
        <x14:conditionalFormatting xmlns:xm="http://schemas.microsoft.com/office/excel/2006/main">
          <x14:cfRule type="iconSet" priority="248" id="{EBEFD9D7-824E-4E51-A42D-E424D7942EB1}">
            <x14:iconSet iconSet="3TrafficLights2" reverse="1">
              <x14:cfvo type="percent">
                <xm:f>0</xm:f>
              </x14:cfvo>
              <x14:cfvo type="num" gte="0">
                <xm:f>'Modell-Kalibrierung'!$C$18</xm:f>
              </x14:cfvo>
              <x14:cfvo type="num">
                <xm:f>'Modell-Kalibrierung'!$C$20</xm:f>
              </x14:cfvo>
            </x14:iconSet>
          </x14:cfRule>
          <xm:sqref>K133</xm:sqref>
        </x14:conditionalFormatting>
        <x14:conditionalFormatting xmlns:xm="http://schemas.microsoft.com/office/excel/2006/main">
          <x14:cfRule type="cellIs" priority="242" operator="between" id="{AF3F58B6-5A6F-40A9-9452-E614AB85B81E}">
            <xm:f>'Modell-Kalibrierung'!$C$7+1%</xm:f>
            <xm:f>"0Kalibrierung!$E$8"</xm:f>
            <x14:dxf>
              <font>
                <color theme="0"/>
              </font>
              <fill>
                <patternFill>
                  <bgColor theme="5" tint="-0.499984740745262"/>
                </patternFill>
              </fill>
            </x14:dxf>
          </x14:cfRule>
          <x14:cfRule type="cellIs" priority="243" operator="between" id="{7243DB67-1B3E-44FD-9023-9E0BB732E23D}">
            <xm:f>'Modell-Kalibrierung'!$C$6+1%</xm:f>
            <xm:f>"0Kalibrierung!$E$7"</xm:f>
            <x14:dxf>
              <fill>
                <patternFill>
                  <bgColor theme="5" tint="-0.24994659260841701"/>
                </patternFill>
              </fill>
            </x14:dxf>
          </x14:cfRule>
          <x14:cfRule type="cellIs" priority="244" operator="between" id="{F3E4404A-903F-4752-9CAE-C8B35795C8F3}">
            <xm:f>'Modell-Kalibrierung'!$C$5+1%</xm:f>
            <xm:f>"0Kalibrierung!$E$6"</xm:f>
            <x14:dxf>
              <fill>
                <patternFill>
                  <bgColor theme="5" tint="0.39994506668294322"/>
                </patternFill>
              </fill>
            </x14:dxf>
          </x14:cfRule>
          <x14:cfRule type="cellIs" priority="245" operator="between" id="{9265BC4B-3FB4-4C82-A91F-DD9287A26602}">
            <xm:f>'Modell-Kalibrierung'!$C$4+1%</xm:f>
            <xm:f>"0Kalibrierung!$E$5"</xm:f>
            <x14:dxf>
              <fill>
                <patternFill>
                  <bgColor theme="5" tint="0.59996337778862885"/>
                </patternFill>
              </fill>
            </x14:dxf>
          </x14:cfRule>
          <x14:cfRule type="cellIs" priority="246" operator="between" id="{1A72590E-B176-4F22-B3CF-2AC3CA3E711D}">
            <xm:f>'Modell-Kalibrierung'!$C$3+1%</xm:f>
            <xm:f>'Modell-Kalibrierung'!$C$4</xm:f>
            <x14:dxf>
              <fill>
                <patternFill>
                  <bgColor theme="5" tint="0.79998168889431442"/>
                </patternFill>
              </fill>
            </x14:dxf>
          </x14:cfRule>
          <x14:cfRule type="cellIs" priority="247" operator="equal" id="{79253852-6993-4C59-9E46-79223613784A}">
            <xm:f>'Modell-Kalibrierung'!$C$3</xm:f>
            <x14:dxf>
              <fill>
                <patternFill>
                  <bgColor theme="0"/>
                </patternFill>
              </fill>
            </x14:dxf>
          </x14:cfRule>
          <xm:sqref>J133</xm:sqref>
        </x14:conditionalFormatting>
        <x14:conditionalFormatting xmlns:xm="http://schemas.microsoft.com/office/excel/2006/main">
          <x14:cfRule type="iconSet" priority="241" id="{7269D6FE-74D9-45CE-9A89-2C4352948A44}">
            <x14:iconSet iconSet="3TrafficLights2" reverse="1">
              <x14:cfvo type="percent">
                <xm:f>0</xm:f>
              </x14:cfvo>
              <x14:cfvo type="num" gte="0">
                <xm:f>'Modell-Kalibrierung'!$C$18</xm:f>
              </x14:cfvo>
              <x14:cfvo type="num">
                <xm:f>'Modell-Kalibrierung'!$C$20</xm:f>
              </x14:cfvo>
            </x14:iconSet>
          </x14:cfRule>
          <xm:sqref>K140</xm:sqref>
        </x14:conditionalFormatting>
        <x14:conditionalFormatting xmlns:xm="http://schemas.microsoft.com/office/excel/2006/main">
          <x14:cfRule type="cellIs" priority="235" operator="between" id="{B913384B-26B6-4051-9516-0F0920216BA1}">
            <xm:f>'Modell-Kalibrierung'!$C$7+1%</xm:f>
            <xm:f>"0Kalibrierung!$E$8"</xm:f>
            <x14:dxf>
              <font>
                <color theme="0"/>
              </font>
              <fill>
                <patternFill>
                  <bgColor theme="5" tint="-0.499984740745262"/>
                </patternFill>
              </fill>
            </x14:dxf>
          </x14:cfRule>
          <x14:cfRule type="cellIs" priority="236" operator="between" id="{57809EDD-D1EE-4E87-9177-7541EDECB639}">
            <xm:f>'Modell-Kalibrierung'!$C$6+1%</xm:f>
            <xm:f>"0Kalibrierung!$E$7"</xm:f>
            <x14:dxf>
              <fill>
                <patternFill>
                  <bgColor theme="5" tint="-0.24994659260841701"/>
                </patternFill>
              </fill>
            </x14:dxf>
          </x14:cfRule>
          <x14:cfRule type="cellIs" priority="237" operator="between" id="{5C1B4A65-C2ED-41D9-B61B-15EBC9A06DFD}">
            <xm:f>'Modell-Kalibrierung'!$C$5+1%</xm:f>
            <xm:f>"0Kalibrierung!$E$6"</xm:f>
            <x14:dxf>
              <fill>
                <patternFill>
                  <bgColor theme="5" tint="0.39994506668294322"/>
                </patternFill>
              </fill>
            </x14:dxf>
          </x14:cfRule>
          <x14:cfRule type="cellIs" priority="238" operator="between" id="{0B38407B-93F4-428F-8AA1-3C6ADA4DC6D3}">
            <xm:f>'Modell-Kalibrierung'!$C$4+1%</xm:f>
            <xm:f>"0Kalibrierung!$E$5"</xm:f>
            <x14:dxf>
              <fill>
                <patternFill>
                  <bgColor theme="5" tint="0.59996337778862885"/>
                </patternFill>
              </fill>
            </x14:dxf>
          </x14:cfRule>
          <x14:cfRule type="cellIs" priority="239" operator="between" id="{833F4054-E7CE-4A18-9475-D3E4762B6149}">
            <xm:f>'Modell-Kalibrierung'!$C$3+1%</xm:f>
            <xm:f>'Modell-Kalibrierung'!$C$4</xm:f>
            <x14:dxf>
              <fill>
                <patternFill>
                  <bgColor theme="5" tint="0.79998168889431442"/>
                </patternFill>
              </fill>
            </x14:dxf>
          </x14:cfRule>
          <x14:cfRule type="cellIs" priority="240" operator="equal" id="{01B819D0-77FE-4431-A099-6A975B07C8ED}">
            <xm:f>'Modell-Kalibrierung'!$C$3</xm:f>
            <x14:dxf>
              <fill>
                <patternFill>
                  <bgColor theme="0"/>
                </patternFill>
              </fill>
            </x14:dxf>
          </x14:cfRule>
          <xm:sqref>J140</xm:sqref>
        </x14:conditionalFormatting>
        <x14:conditionalFormatting xmlns:xm="http://schemas.microsoft.com/office/excel/2006/main">
          <x14:cfRule type="iconSet" priority="234" id="{47098E65-E03B-4EBA-9CB3-37BAEB5971A6}">
            <x14:iconSet iconSet="3TrafficLights2" reverse="1">
              <x14:cfvo type="percent">
                <xm:f>0</xm:f>
              </x14:cfvo>
              <x14:cfvo type="num" gte="0">
                <xm:f>'Modell-Kalibrierung'!$C$18</xm:f>
              </x14:cfvo>
              <x14:cfvo type="num">
                <xm:f>'Modell-Kalibrierung'!$C$20</xm:f>
              </x14:cfvo>
            </x14:iconSet>
          </x14:cfRule>
          <xm:sqref>K34</xm:sqref>
        </x14:conditionalFormatting>
        <x14:conditionalFormatting xmlns:xm="http://schemas.microsoft.com/office/excel/2006/main">
          <x14:cfRule type="iconSet" priority="233" id="{BC931446-8C91-4DA8-A8D0-286572263AEA}">
            <x14:iconSet iconSet="3TrafficLights2" reverse="1">
              <x14:cfvo type="percent">
                <xm:f>0</xm:f>
              </x14:cfvo>
              <x14:cfvo type="num" gte="0">
                <xm:f>'Modell-Kalibrierung'!$C$18</xm:f>
              </x14:cfvo>
              <x14:cfvo type="num">
                <xm:f>'Modell-Kalibrierung'!$C$20</xm:f>
              </x14:cfvo>
            </x14:iconSet>
          </x14:cfRule>
          <xm:sqref>K35</xm:sqref>
        </x14:conditionalFormatting>
        <x14:conditionalFormatting xmlns:xm="http://schemas.microsoft.com/office/excel/2006/main">
          <x14:cfRule type="iconSet" priority="232" id="{27E0A2DD-3678-486E-A1F8-50763E790BA4}">
            <x14:iconSet iconSet="3TrafficLights2" reverse="1">
              <x14:cfvo type="percent">
                <xm:f>0</xm:f>
              </x14:cfvo>
              <x14:cfvo type="num" gte="0">
                <xm:f>'Modell-Kalibrierung'!$C$18</xm:f>
              </x14:cfvo>
              <x14:cfvo type="num">
                <xm:f>'Modell-Kalibrierung'!$C$20</xm:f>
              </x14:cfvo>
            </x14:iconSet>
          </x14:cfRule>
          <xm:sqref>K36</xm:sqref>
        </x14:conditionalFormatting>
        <x14:conditionalFormatting xmlns:xm="http://schemas.microsoft.com/office/excel/2006/main">
          <x14:cfRule type="iconSet" priority="231" id="{D3E70C09-007A-4642-95C1-0E445A33731E}">
            <x14:iconSet iconSet="3TrafficLights2" reverse="1">
              <x14:cfvo type="percent">
                <xm:f>0</xm:f>
              </x14:cfvo>
              <x14:cfvo type="num" gte="0">
                <xm:f>'Modell-Kalibrierung'!$C$18</xm:f>
              </x14:cfvo>
              <x14:cfvo type="num">
                <xm:f>'Modell-Kalibrierung'!$C$20</xm:f>
              </x14:cfvo>
            </x14:iconSet>
          </x14:cfRule>
          <xm:sqref>K37</xm:sqref>
        </x14:conditionalFormatting>
        <x14:conditionalFormatting xmlns:xm="http://schemas.microsoft.com/office/excel/2006/main">
          <x14:cfRule type="iconSet" priority="230" id="{47A4401F-613E-497C-A86B-36F7E418BBF2}">
            <x14:iconSet iconSet="3TrafficLights2" reverse="1">
              <x14:cfvo type="percent">
                <xm:f>0</xm:f>
              </x14:cfvo>
              <x14:cfvo type="num" gte="0">
                <xm:f>'Modell-Kalibrierung'!$C$18</xm:f>
              </x14:cfvo>
              <x14:cfvo type="num">
                <xm:f>'Modell-Kalibrierung'!$C$20</xm:f>
              </x14:cfvo>
            </x14:iconSet>
          </x14:cfRule>
          <xm:sqref>K39</xm:sqref>
        </x14:conditionalFormatting>
        <x14:conditionalFormatting xmlns:xm="http://schemas.microsoft.com/office/excel/2006/main">
          <x14:cfRule type="iconSet" priority="229" id="{198AE314-B60B-4E5A-AF34-C3EBE760A8A1}">
            <x14:iconSet iconSet="3TrafficLights2" reverse="1">
              <x14:cfvo type="percent">
                <xm:f>0</xm:f>
              </x14:cfvo>
              <x14:cfvo type="num" gte="0">
                <xm:f>'Modell-Kalibrierung'!$C$18</xm:f>
              </x14:cfvo>
              <x14:cfvo type="num">
                <xm:f>'Modell-Kalibrierung'!$C$20</xm:f>
              </x14:cfvo>
            </x14:iconSet>
          </x14:cfRule>
          <xm:sqref>K40</xm:sqref>
        </x14:conditionalFormatting>
        <x14:conditionalFormatting xmlns:xm="http://schemas.microsoft.com/office/excel/2006/main">
          <x14:cfRule type="iconSet" priority="228" id="{B9BF4330-45FF-4368-ABBA-FAA1160ECB7F}">
            <x14:iconSet iconSet="3TrafficLights2" reverse="1">
              <x14:cfvo type="percent">
                <xm:f>0</xm:f>
              </x14:cfvo>
              <x14:cfvo type="num" gte="0">
                <xm:f>'Modell-Kalibrierung'!$C$18</xm:f>
              </x14:cfvo>
              <x14:cfvo type="num">
                <xm:f>'Modell-Kalibrierung'!$C$20</xm:f>
              </x14:cfvo>
            </x14:iconSet>
          </x14:cfRule>
          <xm:sqref>K41</xm:sqref>
        </x14:conditionalFormatting>
        <x14:conditionalFormatting xmlns:xm="http://schemas.microsoft.com/office/excel/2006/main">
          <x14:cfRule type="iconSet" priority="227" id="{A6D1C050-304D-424B-9BFC-7AAA3083CA79}">
            <x14:iconSet iconSet="3TrafficLights2" reverse="1">
              <x14:cfvo type="percent">
                <xm:f>0</xm:f>
              </x14:cfvo>
              <x14:cfvo type="num" gte="0">
                <xm:f>'Modell-Kalibrierung'!$C$18</xm:f>
              </x14:cfvo>
              <x14:cfvo type="num">
                <xm:f>'Modell-Kalibrierung'!$C$20</xm:f>
              </x14:cfvo>
            </x14:iconSet>
          </x14:cfRule>
          <xm:sqref>K42</xm:sqref>
        </x14:conditionalFormatting>
        <x14:conditionalFormatting xmlns:xm="http://schemas.microsoft.com/office/excel/2006/main">
          <x14:cfRule type="iconSet" priority="226" id="{1953A713-C361-41DC-A941-EA7F26E3E80F}">
            <x14:iconSet iconSet="3TrafficLights2" reverse="1">
              <x14:cfvo type="percent">
                <xm:f>0</xm:f>
              </x14:cfvo>
              <x14:cfvo type="num" gte="0">
                <xm:f>'Modell-Kalibrierung'!$C$18</xm:f>
              </x14:cfvo>
              <x14:cfvo type="num">
                <xm:f>'Modell-Kalibrierung'!$C$20</xm:f>
              </x14:cfvo>
            </x14:iconSet>
          </x14:cfRule>
          <xm:sqref>K43</xm:sqref>
        </x14:conditionalFormatting>
        <x14:conditionalFormatting xmlns:xm="http://schemas.microsoft.com/office/excel/2006/main">
          <x14:cfRule type="iconSet" priority="225" id="{85D01BF5-9213-44B8-A8AF-F90365331C5E}">
            <x14:iconSet iconSet="3TrafficLights2" reverse="1">
              <x14:cfvo type="percent">
                <xm:f>0</xm:f>
              </x14:cfvo>
              <x14:cfvo type="num" gte="0">
                <xm:f>'Modell-Kalibrierung'!$C$18</xm:f>
              </x14:cfvo>
              <x14:cfvo type="num">
                <xm:f>'Modell-Kalibrierung'!$C$20</xm:f>
              </x14:cfvo>
            </x14:iconSet>
          </x14:cfRule>
          <xm:sqref>K45</xm:sqref>
        </x14:conditionalFormatting>
        <x14:conditionalFormatting xmlns:xm="http://schemas.microsoft.com/office/excel/2006/main">
          <x14:cfRule type="iconSet" priority="224" id="{1044238C-8CF6-44E1-84FA-22AF2C6CC9FE}">
            <x14:iconSet iconSet="3TrafficLights2" reverse="1">
              <x14:cfvo type="percent">
                <xm:f>0</xm:f>
              </x14:cfvo>
              <x14:cfvo type="num" gte="0">
                <xm:f>'Modell-Kalibrierung'!$C$18</xm:f>
              </x14:cfvo>
              <x14:cfvo type="num">
                <xm:f>'Modell-Kalibrierung'!$C$20</xm:f>
              </x14:cfvo>
            </x14:iconSet>
          </x14:cfRule>
          <xm:sqref>K46</xm:sqref>
        </x14:conditionalFormatting>
        <x14:conditionalFormatting xmlns:xm="http://schemas.microsoft.com/office/excel/2006/main">
          <x14:cfRule type="iconSet" priority="223" id="{66DB329C-7230-445D-93C6-0ECF7E9732FC}">
            <x14:iconSet iconSet="3TrafficLights2" reverse="1">
              <x14:cfvo type="percent">
                <xm:f>0</xm:f>
              </x14:cfvo>
              <x14:cfvo type="num" gte="0">
                <xm:f>'Modell-Kalibrierung'!$C$18</xm:f>
              </x14:cfvo>
              <x14:cfvo type="num">
                <xm:f>'Modell-Kalibrierung'!$C$20</xm:f>
              </x14:cfvo>
            </x14:iconSet>
          </x14:cfRule>
          <xm:sqref>K47</xm:sqref>
        </x14:conditionalFormatting>
        <x14:conditionalFormatting xmlns:xm="http://schemas.microsoft.com/office/excel/2006/main">
          <x14:cfRule type="iconSet" priority="222" id="{F28542B7-F985-4414-9C1B-E9B3398A1657}">
            <x14:iconSet iconSet="3TrafficLights2" reverse="1">
              <x14:cfvo type="percent">
                <xm:f>0</xm:f>
              </x14:cfvo>
              <x14:cfvo type="num" gte="0">
                <xm:f>'Modell-Kalibrierung'!$C$18</xm:f>
              </x14:cfvo>
              <x14:cfvo type="num">
                <xm:f>'Modell-Kalibrierung'!$C$20</xm:f>
              </x14:cfvo>
            </x14:iconSet>
          </x14:cfRule>
          <xm:sqref>K48</xm:sqref>
        </x14:conditionalFormatting>
        <x14:conditionalFormatting xmlns:xm="http://schemas.microsoft.com/office/excel/2006/main">
          <x14:cfRule type="iconSet" priority="221" id="{AC92D5C4-5F68-45D6-B7AB-5A8C440FFF69}">
            <x14:iconSet iconSet="3TrafficLights2" reverse="1">
              <x14:cfvo type="percent">
                <xm:f>0</xm:f>
              </x14:cfvo>
              <x14:cfvo type="num" gte="0">
                <xm:f>'Modell-Kalibrierung'!$C$18</xm:f>
              </x14:cfvo>
              <x14:cfvo type="num">
                <xm:f>'Modell-Kalibrierung'!$C$20</xm:f>
              </x14:cfvo>
            </x14:iconSet>
          </x14:cfRule>
          <xm:sqref>K49</xm:sqref>
        </x14:conditionalFormatting>
        <x14:conditionalFormatting xmlns:xm="http://schemas.microsoft.com/office/excel/2006/main">
          <x14:cfRule type="iconSet" priority="220" id="{A3F31F3E-4FB6-46C4-889E-C3F51EB60230}">
            <x14:iconSet iconSet="3TrafficLights2" reverse="1">
              <x14:cfvo type="percent">
                <xm:f>0</xm:f>
              </x14:cfvo>
              <x14:cfvo type="num" gte="0">
                <xm:f>'Modell-Kalibrierung'!$C$18</xm:f>
              </x14:cfvo>
              <x14:cfvo type="num">
                <xm:f>'Modell-Kalibrierung'!$C$20</xm:f>
              </x14:cfvo>
            </x14:iconSet>
          </x14:cfRule>
          <xm:sqref>K51</xm:sqref>
        </x14:conditionalFormatting>
        <x14:conditionalFormatting xmlns:xm="http://schemas.microsoft.com/office/excel/2006/main">
          <x14:cfRule type="iconSet" priority="219" id="{AF88570A-9FB2-4B0C-AB49-CC2BFD02BC80}">
            <x14:iconSet iconSet="3TrafficLights2" reverse="1">
              <x14:cfvo type="percent">
                <xm:f>0</xm:f>
              </x14:cfvo>
              <x14:cfvo type="num" gte="0">
                <xm:f>'Modell-Kalibrierung'!$C$18</xm:f>
              </x14:cfvo>
              <x14:cfvo type="num">
                <xm:f>'Modell-Kalibrierung'!$C$20</xm:f>
              </x14:cfvo>
            </x14:iconSet>
          </x14:cfRule>
          <xm:sqref>K52</xm:sqref>
        </x14:conditionalFormatting>
        <x14:conditionalFormatting xmlns:xm="http://schemas.microsoft.com/office/excel/2006/main">
          <x14:cfRule type="iconSet" priority="218" id="{EAD1D8C5-EC8D-416E-91A9-E48E49457BD2}">
            <x14:iconSet iconSet="3TrafficLights2" reverse="1">
              <x14:cfvo type="percent">
                <xm:f>0</xm:f>
              </x14:cfvo>
              <x14:cfvo type="num" gte="0">
                <xm:f>'Modell-Kalibrierung'!$C$18</xm:f>
              </x14:cfvo>
              <x14:cfvo type="num">
                <xm:f>'Modell-Kalibrierung'!$C$20</xm:f>
              </x14:cfvo>
            </x14:iconSet>
          </x14:cfRule>
          <xm:sqref>K53</xm:sqref>
        </x14:conditionalFormatting>
        <x14:conditionalFormatting xmlns:xm="http://schemas.microsoft.com/office/excel/2006/main">
          <x14:cfRule type="iconSet" priority="217" id="{4013C8E3-4458-46A0-9744-05AE36F538FE}">
            <x14:iconSet iconSet="3TrafficLights2" reverse="1">
              <x14:cfvo type="percent">
                <xm:f>0</xm:f>
              </x14:cfvo>
              <x14:cfvo type="num" gte="0">
                <xm:f>'Modell-Kalibrierung'!$C$18</xm:f>
              </x14:cfvo>
              <x14:cfvo type="num">
                <xm:f>'Modell-Kalibrierung'!$C$20</xm:f>
              </x14:cfvo>
            </x14:iconSet>
          </x14:cfRule>
          <xm:sqref>K54</xm:sqref>
        </x14:conditionalFormatting>
        <x14:conditionalFormatting xmlns:xm="http://schemas.microsoft.com/office/excel/2006/main">
          <x14:cfRule type="iconSet" priority="216" id="{0602B7E3-7106-4740-948B-2C59B742B1F6}">
            <x14:iconSet iconSet="3TrafficLights2" reverse="1">
              <x14:cfvo type="percent">
                <xm:f>0</xm:f>
              </x14:cfvo>
              <x14:cfvo type="num" gte="0">
                <xm:f>'Modell-Kalibrierung'!$C$18</xm:f>
              </x14:cfvo>
              <x14:cfvo type="num">
                <xm:f>'Modell-Kalibrierung'!$C$20</xm:f>
              </x14:cfvo>
            </x14:iconSet>
          </x14:cfRule>
          <xm:sqref>K55</xm:sqref>
        </x14:conditionalFormatting>
        <x14:conditionalFormatting xmlns:xm="http://schemas.microsoft.com/office/excel/2006/main">
          <x14:cfRule type="iconSet" priority="215" id="{0F758D67-9B6C-46F7-B30E-424AED9E06F8}">
            <x14:iconSet iconSet="3TrafficLights2" reverse="1">
              <x14:cfvo type="percent">
                <xm:f>0</xm:f>
              </x14:cfvo>
              <x14:cfvo type="num" gte="0">
                <xm:f>'Modell-Kalibrierung'!$C$18</xm:f>
              </x14:cfvo>
              <x14:cfvo type="num">
                <xm:f>'Modell-Kalibrierung'!$C$20</xm:f>
              </x14:cfvo>
            </x14:iconSet>
          </x14:cfRule>
          <xm:sqref>K57</xm:sqref>
        </x14:conditionalFormatting>
        <x14:conditionalFormatting xmlns:xm="http://schemas.microsoft.com/office/excel/2006/main">
          <x14:cfRule type="iconSet" priority="214" id="{A383780F-48E1-422D-9F92-0CD3102030E9}">
            <x14:iconSet iconSet="3TrafficLights2" reverse="1">
              <x14:cfvo type="percent">
                <xm:f>0</xm:f>
              </x14:cfvo>
              <x14:cfvo type="num" gte="0">
                <xm:f>'Modell-Kalibrierung'!$C$18</xm:f>
              </x14:cfvo>
              <x14:cfvo type="num">
                <xm:f>'Modell-Kalibrierung'!$C$20</xm:f>
              </x14:cfvo>
            </x14:iconSet>
          </x14:cfRule>
          <xm:sqref>K58</xm:sqref>
        </x14:conditionalFormatting>
        <x14:conditionalFormatting xmlns:xm="http://schemas.microsoft.com/office/excel/2006/main">
          <x14:cfRule type="iconSet" priority="213" id="{410567F4-5A6B-482B-919F-7BA2D9C32911}">
            <x14:iconSet iconSet="3TrafficLights2" reverse="1">
              <x14:cfvo type="percent">
                <xm:f>0</xm:f>
              </x14:cfvo>
              <x14:cfvo type="num" gte="0">
                <xm:f>'Modell-Kalibrierung'!$C$18</xm:f>
              </x14:cfvo>
              <x14:cfvo type="num">
                <xm:f>'Modell-Kalibrierung'!$C$20</xm:f>
              </x14:cfvo>
            </x14:iconSet>
          </x14:cfRule>
          <xm:sqref>K59</xm:sqref>
        </x14:conditionalFormatting>
        <x14:conditionalFormatting xmlns:xm="http://schemas.microsoft.com/office/excel/2006/main">
          <x14:cfRule type="iconSet" priority="212" id="{E0BA5D17-D523-4C3B-BA7D-59276F1B0841}">
            <x14:iconSet iconSet="3TrafficLights2" reverse="1">
              <x14:cfvo type="percent">
                <xm:f>0</xm:f>
              </x14:cfvo>
              <x14:cfvo type="num" gte="0">
                <xm:f>'Modell-Kalibrierung'!$C$18</xm:f>
              </x14:cfvo>
              <x14:cfvo type="num">
                <xm:f>'Modell-Kalibrierung'!$C$20</xm:f>
              </x14:cfvo>
            </x14:iconSet>
          </x14:cfRule>
          <xm:sqref>K60</xm:sqref>
        </x14:conditionalFormatting>
        <x14:conditionalFormatting xmlns:xm="http://schemas.microsoft.com/office/excel/2006/main">
          <x14:cfRule type="iconSet" priority="211" id="{4E87E881-64E3-4F1D-B1B5-59B2CFF808A1}">
            <x14:iconSet iconSet="3TrafficLights2" reverse="1">
              <x14:cfvo type="percent">
                <xm:f>0</xm:f>
              </x14:cfvo>
              <x14:cfvo type="num" gte="0">
                <xm:f>'Modell-Kalibrierung'!$C$18</xm:f>
              </x14:cfvo>
              <x14:cfvo type="num">
                <xm:f>'Modell-Kalibrierung'!$C$20</xm:f>
              </x14:cfvo>
            </x14:iconSet>
          </x14:cfRule>
          <xm:sqref>K61</xm:sqref>
        </x14:conditionalFormatting>
        <x14:conditionalFormatting xmlns:xm="http://schemas.microsoft.com/office/excel/2006/main">
          <x14:cfRule type="iconSet" priority="210" id="{9E124169-10EB-4AEE-BF31-17A902C24741}">
            <x14:iconSet iconSet="3TrafficLights2" reverse="1">
              <x14:cfvo type="percent">
                <xm:f>0</xm:f>
              </x14:cfvo>
              <x14:cfvo type="num" gte="0">
                <xm:f>'Modell-Kalibrierung'!$C$18</xm:f>
              </x14:cfvo>
              <x14:cfvo type="num">
                <xm:f>'Modell-Kalibrierung'!$C$20</xm:f>
              </x14:cfvo>
            </x14:iconSet>
          </x14:cfRule>
          <xm:sqref>K63</xm:sqref>
        </x14:conditionalFormatting>
        <x14:conditionalFormatting xmlns:xm="http://schemas.microsoft.com/office/excel/2006/main">
          <x14:cfRule type="iconSet" priority="209" id="{27A45C2B-4453-4B44-8E4E-93CDEF320A6E}">
            <x14:iconSet iconSet="3TrafficLights2" reverse="1">
              <x14:cfvo type="percent">
                <xm:f>0</xm:f>
              </x14:cfvo>
              <x14:cfvo type="num" gte="0">
                <xm:f>'Modell-Kalibrierung'!$C$18</xm:f>
              </x14:cfvo>
              <x14:cfvo type="num">
                <xm:f>'Modell-Kalibrierung'!$C$20</xm:f>
              </x14:cfvo>
            </x14:iconSet>
          </x14:cfRule>
          <xm:sqref>K64</xm:sqref>
        </x14:conditionalFormatting>
        <x14:conditionalFormatting xmlns:xm="http://schemas.microsoft.com/office/excel/2006/main">
          <x14:cfRule type="iconSet" priority="208" id="{A362E32E-2B1E-4E8F-9702-818C2BAFD69B}">
            <x14:iconSet iconSet="3TrafficLights2" reverse="1">
              <x14:cfvo type="percent">
                <xm:f>0</xm:f>
              </x14:cfvo>
              <x14:cfvo type="num" gte="0">
                <xm:f>'Modell-Kalibrierung'!$C$18</xm:f>
              </x14:cfvo>
              <x14:cfvo type="num">
                <xm:f>'Modell-Kalibrierung'!$C$20</xm:f>
              </x14:cfvo>
            </x14:iconSet>
          </x14:cfRule>
          <xm:sqref>K65</xm:sqref>
        </x14:conditionalFormatting>
        <x14:conditionalFormatting xmlns:xm="http://schemas.microsoft.com/office/excel/2006/main">
          <x14:cfRule type="iconSet" priority="207" id="{5830FB6A-C701-46F2-89DD-526C4E62C3BE}">
            <x14:iconSet iconSet="3TrafficLights2" reverse="1">
              <x14:cfvo type="percent">
                <xm:f>0</xm:f>
              </x14:cfvo>
              <x14:cfvo type="num" gte="0">
                <xm:f>'Modell-Kalibrierung'!$C$18</xm:f>
              </x14:cfvo>
              <x14:cfvo type="num">
                <xm:f>'Modell-Kalibrierung'!$C$20</xm:f>
              </x14:cfvo>
            </x14:iconSet>
          </x14:cfRule>
          <xm:sqref>K66</xm:sqref>
        </x14:conditionalFormatting>
        <x14:conditionalFormatting xmlns:xm="http://schemas.microsoft.com/office/excel/2006/main">
          <x14:cfRule type="iconSet" priority="206" id="{BF751776-5521-44F6-98D9-638DBB550394}">
            <x14:iconSet iconSet="3TrafficLights2" reverse="1">
              <x14:cfvo type="percent">
                <xm:f>0</xm:f>
              </x14:cfvo>
              <x14:cfvo type="num" gte="0">
                <xm:f>'Modell-Kalibrierung'!$C$18</xm:f>
              </x14:cfvo>
              <x14:cfvo type="num">
                <xm:f>'Modell-Kalibrierung'!$C$20</xm:f>
              </x14:cfvo>
            </x14:iconSet>
          </x14:cfRule>
          <xm:sqref>K67</xm:sqref>
        </x14:conditionalFormatting>
        <x14:conditionalFormatting xmlns:xm="http://schemas.microsoft.com/office/excel/2006/main">
          <x14:cfRule type="iconSet" priority="205" id="{F0629621-69A1-42C3-B403-6AF36A726657}">
            <x14:iconSet iconSet="3TrafficLights2" reverse="1">
              <x14:cfvo type="percent">
                <xm:f>0</xm:f>
              </x14:cfvo>
              <x14:cfvo type="num" gte="0">
                <xm:f>'Modell-Kalibrierung'!$C$18</xm:f>
              </x14:cfvo>
              <x14:cfvo type="num">
                <xm:f>'Modell-Kalibrierung'!$C$20</xm:f>
              </x14:cfvo>
            </x14:iconSet>
          </x14:cfRule>
          <xm:sqref>K69</xm:sqref>
        </x14:conditionalFormatting>
        <x14:conditionalFormatting xmlns:xm="http://schemas.microsoft.com/office/excel/2006/main">
          <x14:cfRule type="iconSet" priority="204" id="{706F20E9-76D3-4175-B6CA-3BD6E615A707}">
            <x14:iconSet iconSet="3TrafficLights2" reverse="1">
              <x14:cfvo type="percent">
                <xm:f>0</xm:f>
              </x14:cfvo>
              <x14:cfvo type="num" gte="0">
                <xm:f>'Modell-Kalibrierung'!$C$18</xm:f>
              </x14:cfvo>
              <x14:cfvo type="num">
                <xm:f>'Modell-Kalibrierung'!$C$20</xm:f>
              </x14:cfvo>
            </x14:iconSet>
          </x14:cfRule>
          <xm:sqref>K70</xm:sqref>
        </x14:conditionalFormatting>
        <x14:conditionalFormatting xmlns:xm="http://schemas.microsoft.com/office/excel/2006/main">
          <x14:cfRule type="iconSet" priority="203" id="{A889AB17-353B-488A-9BF3-9B75A7B58505}">
            <x14:iconSet iconSet="3TrafficLights2" reverse="1">
              <x14:cfvo type="percent">
                <xm:f>0</xm:f>
              </x14:cfvo>
              <x14:cfvo type="num" gte="0">
                <xm:f>'Modell-Kalibrierung'!$C$18</xm:f>
              </x14:cfvo>
              <x14:cfvo type="num">
                <xm:f>'Modell-Kalibrierung'!$C$20</xm:f>
              </x14:cfvo>
            </x14:iconSet>
          </x14:cfRule>
          <xm:sqref>K71</xm:sqref>
        </x14:conditionalFormatting>
        <x14:conditionalFormatting xmlns:xm="http://schemas.microsoft.com/office/excel/2006/main">
          <x14:cfRule type="iconSet" priority="202" id="{DD4A0BA5-B7D7-46A6-8E16-84EA73C7F456}">
            <x14:iconSet iconSet="3TrafficLights2" reverse="1">
              <x14:cfvo type="percent">
                <xm:f>0</xm:f>
              </x14:cfvo>
              <x14:cfvo type="num" gte="0">
                <xm:f>'Modell-Kalibrierung'!$C$18</xm:f>
              </x14:cfvo>
              <x14:cfvo type="num">
                <xm:f>'Modell-Kalibrierung'!$C$20</xm:f>
              </x14:cfvo>
            </x14:iconSet>
          </x14:cfRule>
          <xm:sqref>K72</xm:sqref>
        </x14:conditionalFormatting>
        <x14:conditionalFormatting xmlns:xm="http://schemas.microsoft.com/office/excel/2006/main">
          <x14:cfRule type="iconSet" priority="201" id="{AA3252D2-048C-4C0E-A80D-F8C55AEBAC62}">
            <x14:iconSet iconSet="3TrafficLights2" reverse="1">
              <x14:cfvo type="percent">
                <xm:f>0</xm:f>
              </x14:cfvo>
              <x14:cfvo type="num" gte="0">
                <xm:f>'Modell-Kalibrierung'!$C$18</xm:f>
              </x14:cfvo>
              <x14:cfvo type="num">
                <xm:f>'Modell-Kalibrierung'!$C$20</xm:f>
              </x14:cfvo>
            </x14:iconSet>
          </x14:cfRule>
          <xm:sqref>K73</xm:sqref>
        </x14:conditionalFormatting>
        <x14:conditionalFormatting xmlns:xm="http://schemas.microsoft.com/office/excel/2006/main">
          <x14:cfRule type="iconSet" priority="200" id="{9F742D8F-FA4B-4ECA-BFF6-2469E9984291}">
            <x14:iconSet iconSet="3TrafficLights2" reverse="1">
              <x14:cfvo type="percent">
                <xm:f>0</xm:f>
              </x14:cfvo>
              <x14:cfvo type="num" gte="0">
                <xm:f>'Modell-Kalibrierung'!$C$18</xm:f>
              </x14:cfvo>
              <x14:cfvo type="num">
                <xm:f>'Modell-Kalibrierung'!$C$20</xm:f>
              </x14:cfvo>
            </x14:iconSet>
          </x14:cfRule>
          <xm:sqref>K75</xm:sqref>
        </x14:conditionalFormatting>
        <x14:conditionalFormatting xmlns:xm="http://schemas.microsoft.com/office/excel/2006/main">
          <x14:cfRule type="iconSet" priority="199" id="{62964DBC-24E5-4EE3-8533-D94596F5196C}">
            <x14:iconSet iconSet="3TrafficLights2" reverse="1">
              <x14:cfvo type="percent">
                <xm:f>0</xm:f>
              </x14:cfvo>
              <x14:cfvo type="num" gte="0">
                <xm:f>'Modell-Kalibrierung'!$C$18</xm:f>
              </x14:cfvo>
              <x14:cfvo type="num">
                <xm:f>'Modell-Kalibrierung'!$C$20</xm:f>
              </x14:cfvo>
            </x14:iconSet>
          </x14:cfRule>
          <xm:sqref>K76</xm:sqref>
        </x14:conditionalFormatting>
        <x14:conditionalFormatting xmlns:xm="http://schemas.microsoft.com/office/excel/2006/main">
          <x14:cfRule type="iconSet" priority="198" id="{62E246CF-9994-453B-AD44-3F472D964BC5}">
            <x14:iconSet iconSet="3TrafficLights2" reverse="1">
              <x14:cfvo type="percent">
                <xm:f>0</xm:f>
              </x14:cfvo>
              <x14:cfvo type="num" gte="0">
                <xm:f>'Modell-Kalibrierung'!$C$18</xm:f>
              </x14:cfvo>
              <x14:cfvo type="num">
                <xm:f>'Modell-Kalibrierung'!$C$20</xm:f>
              </x14:cfvo>
            </x14:iconSet>
          </x14:cfRule>
          <xm:sqref>K77</xm:sqref>
        </x14:conditionalFormatting>
        <x14:conditionalFormatting xmlns:xm="http://schemas.microsoft.com/office/excel/2006/main">
          <x14:cfRule type="iconSet" priority="197" id="{BC3FAE54-CF99-4E14-A9C5-C8EEC8324913}">
            <x14:iconSet iconSet="3TrafficLights2" reverse="1">
              <x14:cfvo type="percent">
                <xm:f>0</xm:f>
              </x14:cfvo>
              <x14:cfvo type="num" gte="0">
                <xm:f>'Modell-Kalibrierung'!$C$18</xm:f>
              </x14:cfvo>
              <x14:cfvo type="num">
                <xm:f>'Modell-Kalibrierung'!$C$20</xm:f>
              </x14:cfvo>
            </x14:iconSet>
          </x14:cfRule>
          <xm:sqref>K78</xm:sqref>
        </x14:conditionalFormatting>
        <x14:conditionalFormatting xmlns:xm="http://schemas.microsoft.com/office/excel/2006/main">
          <x14:cfRule type="iconSet" priority="196" id="{917C1025-5FBF-4071-8B4E-76F07A0466C0}">
            <x14:iconSet iconSet="3TrafficLights2" reverse="1">
              <x14:cfvo type="percent">
                <xm:f>0</xm:f>
              </x14:cfvo>
              <x14:cfvo type="num" gte="0">
                <xm:f>'Modell-Kalibrierung'!$C$18</xm:f>
              </x14:cfvo>
              <x14:cfvo type="num">
                <xm:f>'Modell-Kalibrierung'!$C$20</xm:f>
              </x14:cfvo>
            </x14:iconSet>
          </x14:cfRule>
          <xm:sqref>K79</xm:sqref>
        </x14:conditionalFormatting>
        <x14:conditionalFormatting xmlns:xm="http://schemas.microsoft.com/office/excel/2006/main">
          <x14:cfRule type="iconSet" priority="195" id="{E4C9D354-EC8C-4FBE-9A42-7D1E6F3D7F25}">
            <x14:iconSet iconSet="3TrafficLights2" reverse="1">
              <x14:cfvo type="percent">
                <xm:f>0</xm:f>
              </x14:cfvo>
              <x14:cfvo type="num" gte="0">
                <xm:f>'Modell-Kalibrierung'!$C$18</xm:f>
              </x14:cfvo>
              <x14:cfvo type="num">
                <xm:f>'Modell-Kalibrierung'!$C$20</xm:f>
              </x14:cfvo>
            </x14:iconSet>
          </x14:cfRule>
          <xm:sqref>K81</xm:sqref>
        </x14:conditionalFormatting>
        <x14:conditionalFormatting xmlns:xm="http://schemas.microsoft.com/office/excel/2006/main">
          <x14:cfRule type="iconSet" priority="194" id="{448CA242-18D5-45D2-A152-D685E112A9EB}">
            <x14:iconSet iconSet="3TrafficLights2" reverse="1">
              <x14:cfvo type="percent">
                <xm:f>0</xm:f>
              </x14:cfvo>
              <x14:cfvo type="num" gte="0">
                <xm:f>'Modell-Kalibrierung'!$C$18</xm:f>
              </x14:cfvo>
              <x14:cfvo type="num">
                <xm:f>'Modell-Kalibrierung'!$C$20</xm:f>
              </x14:cfvo>
            </x14:iconSet>
          </x14:cfRule>
          <xm:sqref>K82</xm:sqref>
        </x14:conditionalFormatting>
        <x14:conditionalFormatting xmlns:xm="http://schemas.microsoft.com/office/excel/2006/main">
          <x14:cfRule type="iconSet" priority="193" id="{4B8603E0-50E0-42DE-BE29-C7474B860758}">
            <x14:iconSet iconSet="3TrafficLights2" reverse="1">
              <x14:cfvo type="percent">
                <xm:f>0</xm:f>
              </x14:cfvo>
              <x14:cfvo type="num" gte="0">
                <xm:f>'Modell-Kalibrierung'!$C$18</xm:f>
              </x14:cfvo>
              <x14:cfvo type="num">
                <xm:f>'Modell-Kalibrierung'!$C$20</xm:f>
              </x14:cfvo>
            </x14:iconSet>
          </x14:cfRule>
          <xm:sqref>K83</xm:sqref>
        </x14:conditionalFormatting>
        <x14:conditionalFormatting xmlns:xm="http://schemas.microsoft.com/office/excel/2006/main">
          <x14:cfRule type="iconSet" priority="192" id="{C4B32413-DF27-40F0-A125-29633C40E353}">
            <x14:iconSet iconSet="3TrafficLights2" reverse="1">
              <x14:cfvo type="percent">
                <xm:f>0</xm:f>
              </x14:cfvo>
              <x14:cfvo type="num" gte="0">
                <xm:f>'Modell-Kalibrierung'!$C$18</xm:f>
              </x14:cfvo>
              <x14:cfvo type="num">
                <xm:f>'Modell-Kalibrierung'!$C$20</xm:f>
              </x14:cfvo>
            </x14:iconSet>
          </x14:cfRule>
          <xm:sqref>K84</xm:sqref>
        </x14:conditionalFormatting>
        <x14:conditionalFormatting xmlns:xm="http://schemas.microsoft.com/office/excel/2006/main">
          <x14:cfRule type="iconSet" priority="191" id="{6FE2C322-0A37-4277-B7E1-0AE3433E2031}">
            <x14:iconSet iconSet="3TrafficLights2" reverse="1">
              <x14:cfvo type="percent">
                <xm:f>0</xm:f>
              </x14:cfvo>
              <x14:cfvo type="num" gte="0">
                <xm:f>'Modell-Kalibrierung'!$C$18</xm:f>
              </x14:cfvo>
              <x14:cfvo type="num">
                <xm:f>'Modell-Kalibrierung'!$C$20</xm:f>
              </x14:cfvo>
            </x14:iconSet>
          </x14:cfRule>
          <xm:sqref>K85</xm:sqref>
        </x14:conditionalFormatting>
        <x14:conditionalFormatting xmlns:xm="http://schemas.microsoft.com/office/excel/2006/main">
          <x14:cfRule type="iconSet" priority="190" id="{C392C6A4-4BFD-4DA1-9DB6-9C08985943A8}">
            <x14:iconSet iconSet="3TrafficLights2" reverse="1">
              <x14:cfvo type="percent">
                <xm:f>0</xm:f>
              </x14:cfvo>
              <x14:cfvo type="num" gte="0">
                <xm:f>'Modell-Kalibrierung'!$C$18</xm:f>
              </x14:cfvo>
              <x14:cfvo type="num">
                <xm:f>'Modell-Kalibrierung'!$C$20</xm:f>
              </x14:cfvo>
            </x14:iconSet>
          </x14:cfRule>
          <xm:sqref>K87</xm:sqref>
        </x14:conditionalFormatting>
        <x14:conditionalFormatting xmlns:xm="http://schemas.microsoft.com/office/excel/2006/main">
          <x14:cfRule type="iconSet" priority="189" id="{622204C6-E7E9-4754-BFAA-C3F491D1D8EC}">
            <x14:iconSet iconSet="3TrafficLights2" reverse="1">
              <x14:cfvo type="percent">
                <xm:f>0</xm:f>
              </x14:cfvo>
              <x14:cfvo type="num" gte="0">
                <xm:f>'Modell-Kalibrierung'!$C$18</xm:f>
              </x14:cfvo>
              <x14:cfvo type="num">
                <xm:f>'Modell-Kalibrierung'!$C$20</xm:f>
              </x14:cfvo>
            </x14:iconSet>
          </x14:cfRule>
          <xm:sqref>K88</xm:sqref>
        </x14:conditionalFormatting>
        <x14:conditionalFormatting xmlns:xm="http://schemas.microsoft.com/office/excel/2006/main">
          <x14:cfRule type="iconSet" priority="188" id="{BAD7EA59-688A-4835-8811-1A7F9B1148D1}">
            <x14:iconSet iconSet="3TrafficLights2" reverse="1">
              <x14:cfvo type="percent">
                <xm:f>0</xm:f>
              </x14:cfvo>
              <x14:cfvo type="num" gte="0">
                <xm:f>'Modell-Kalibrierung'!$C$18</xm:f>
              </x14:cfvo>
              <x14:cfvo type="num">
                <xm:f>'Modell-Kalibrierung'!$C$20</xm:f>
              </x14:cfvo>
            </x14:iconSet>
          </x14:cfRule>
          <xm:sqref>K89</xm:sqref>
        </x14:conditionalFormatting>
        <x14:conditionalFormatting xmlns:xm="http://schemas.microsoft.com/office/excel/2006/main">
          <x14:cfRule type="iconSet" priority="187" id="{79C86DE3-A9C7-446C-98FE-A1189235B69E}">
            <x14:iconSet iconSet="3TrafficLights2" reverse="1">
              <x14:cfvo type="percent">
                <xm:f>0</xm:f>
              </x14:cfvo>
              <x14:cfvo type="num" gte="0">
                <xm:f>'Modell-Kalibrierung'!$C$18</xm:f>
              </x14:cfvo>
              <x14:cfvo type="num">
                <xm:f>'Modell-Kalibrierung'!$C$20</xm:f>
              </x14:cfvo>
            </x14:iconSet>
          </x14:cfRule>
          <xm:sqref>K90</xm:sqref>
        </x14:conditionalFormatting>
        <x14:conditionalFormatting xmlns:xm="http://schemas.microsoft.com/office/excel/2006/main">
          <x14:cfRule type="iconSet" priority="186" id="{87E461AE-3F07-45F4-8230-506D77C6E9D1}">
            <x14:iconSet iconSet="3TrafficLights2" reverse="1">
              <x14:cfvo type="percent">
                <xm:f>0</xm:f>
              </x14:cfvo>
              <x14:cfvo type="num" gte="0">
                <xm:f>'Modell-Kalibrierung'!$C$18</xm:f>
              </x14:cfvo>
              <x14:cfvo type="num">
                <xm:f>'Modell-Kalibrierung'!$C$20</xm:f>
              </x14:cfvo>
            </x14:iconSet>
          </x14:cfRule>
          <xm:sqref>K91</xm:sqref>
        </x14:conditionalFormatting>
        <x14:conditionalFormatting xmlns:xm="http://schemas.microsoft.com/office/excel/2006/main">
          <x14:cfRule type="iconSet" priority="185" id="{515C3B8D-CC3E-4863-852E-451A7697A5EF}">
            <x14:iconSet iconSet="3TrafficLights2" reverse="1">
              <x14:cfvo type="percent">
                <xm:f>0</xm:f>
              </x14:cfvo>
              <x14:cfvo type="num" gte="0">
                <xm:f>'Modell-Kalibrierung'!$C$18</xm:f>
              </x14:cfvo>
              <x14:cfvo type="num">
                <xm:f>'Modell-Kalibrierung'!$C$20</xm:f>
              </x14:cfvo>
            </x14:iconSet>
          </x14:cfRule>
          <xm:sqref>K93</xm:sqref>
        </x14:conditionalFormatting>
        <x14:conditionalFormatting xmlns:xm="http://schemas.microsoft.com/office/excel/2006/main">
          <x14:cfRule type="iconSet" priority="184" id="{91A8D947-8BB0-40E0-9AE3-E4329E9540CF}">
            <x14:iconSet iconSet="3TrafficLights2" reverse="1">
              <x14:cfvo type="percent">
                <xm:f>0</xm:f>
              </x14:cfvo>
              <x14:cfvo type="num" gte="0">
                <xm:f>'Modell-Kalibrierung'!$C$18</xm:f>
              </x14:cfvo>
              <x14:cfvo type="num">
                <xm:f>'Modell-Kalibrierung'!$C$20</xm:f>
              </x14:cfvo>
            </x14:iconSet>
          </x14:cfRule>
          <xm:sqref>K94</xm:sqref>
        </x14:conditionalFormatting>
        <x14:conditionalFormatting xmlns:xm="http://schemas.microsoft.com/office/excel/2006/main">
          <x14:cfRule type="iconSet" priority="183" id="{BBA737B4-4BB0-4159-A312-8171232076EA}">
            <x14:iconSet iconSet="3TrafficLights2" reverse="1">
              <x14:cfvo type="percent">
                <xm:f>0</xm:f>
              </x14:cfvo>
              <x14:cfvo type="num" gte="0">
                <xm:f>'Modell-Kalibrierung'!$C$18</xm:f>
              </x14:cfvo>
              <x14:cfvo type="num">
                <xm:f>'Modell-Kalibrierung'!$C$20</xm:f>
              </x14:cfvo>
            </x14:iconSet>
          </x14:cfRule>
          <xm:sqref>K95</xm:sqref>
        </x14:conditionalFormatting>
        <x14:conditionalFormatting xmlns:xm="http://schemas.microsoft.com/office/excel/2006/main">
          <x14:cfRule type="iconSet" priority="182" id="{BCE3607D-3164-47DE-817B-7E0AF846B4E8}">
            <x14:iconSet iconSet="3TrafficLights2" reverse="1">
              <x14:cfvo type="percent">
                <xm:f>0</xm:f>
              </x14:cfvo>
              <x14:cfvo type="num" gte="0">
                <xm:f>'Modell-Kalibrierung'!$C$18</xm:f>
              </x14:cfvo>
              <x14:cfvo type="num">
                <xm:f>'Modell-Kalibrierung'!$C$20</xm:f>
              </x14:cfvo>
            </x14:iconSet>
          </x14:cfRule>
          <xm:sqref>K96</xm:sqref>
        </x14:conditionalFormatting>
        <x14:conditionalFormatting xmlns:xm="http://schemas.microsoft.com/office/excel/2006/main">
          <x14:cfRule type="iconSet" priority="181" id="{128441BC-A0E7-4AC6-9047-8225D8BCB6F7}">
            <x14:iconSet iconSet="3TrafficLights2" reverse="1">
              <x14:cfvo type="percent">
                <xm:f>0</xm:f>
              </x14:cfvo>
              <x14:cfvo type="num" gte="0">
                <xm:f>'Modell-Kalibrierung'!$C$18</xm:f>
              </x14:cfvo>
              <x14:cfvo type="num">
                <xm:f>'Modell-Kalibrierung'!$C$20</xm:f>
              </x14:cfvo>
            </x14:iconSet>
          </x14:cfRule>
          <xm:sqref>K97</xm:sqref>
        </x14:conditionalFormatting>
        <x14:conditionalFormatting xmlns:xm="http://schemas.microsoft.com/office/excel/2006/main">
          <x14:cfRule type="iconSet" priority="180" id="{9707AA75-0345-4E86-9C83-E8661FE4D067}">
            <x14:iconSet iconSet="3TrafficLights2" reverse="1">
              <x14:cfvo type="percent">
                <xm:f>0</xm:f>
              </x14:cfvo>
              <x14:cfvo type="num" gte="0">
                <xm:f>'Modell-Kalibrierung'!$C$18</xm:f>
              </x14:cfvo>
              <x14:cfvo type="num">
                <xm:f>'Modell-Kalibrierung'!$C$20</xm:f>
              </x14:cfvo>
            </x14:iconSet>
          </x14:cfRule>
          <xm:sqref>K99</xm:sqref>
        </x14:conditionalFormatting>
        <x14:conditionalFormatting xmlns:xm="http://schemas.microsoft.com/office/excel/2006/main">
          <x14:cfRule type="iconSet" priority="179" id="{E8BCA54A-D535-4A7F-9BDC-8334D9B6C5CE}">
            <x14:iconSet iconSet="3TrafficLights2" reverse="1">
              <x14:cfvo type="percent">
                <xm:f>0</xm:f>
              </x14:cfvo>
              <x14:cfvo type="num" gte="0">
                <xm:f>'Modell-Kalibrierung'!$C$18</xm:f>
              </x14:cfvo>
              <x14:cfvo type="num">
                <xm:f>'Modell-Kalibrierung'!$C$20</xm:f>
              </x14:cfvo>
            </x14:iconSet>
          </x14:cfRule>
          <xm:sqref>K100</xm:sqref>
        </x14:conditionalFormatting>
        <x14:conditionalFormatting xmlns:xm="http://schemas.microsoft.com/office/excel/2006/main">
          <x14:cfRule type="iconSet" priority="178" id="{2464F84E-8919-40F3-B642-1FF1FC58BF9F}">
            <x14:iconSet iconSet="3TrafficLights2" reverse="1">
              <x14:cfvo type="percent">
                <xm:f>0</xm:f>
              </x14:cfvo>
              <x14:cfvo type="num" gte="0">
                <xm:f>'Modell-Kalibrierung'!$C$18</xm:f>
              </x14:cfvo>
              <x14:cfvo type="num">
                <xm:f>'Modell-Kalibrierung'!$C$20</xm:f>
              </x14:cfvo>
            </x14:iconSet>
          </x14:cfRule>
          <xm:sqref>K101</xm:sqref>
        </x14:conditionalFormatting>
        <x14:conditionalFormatting xmlns:xm="http://schemas.microsoft.com/office/excel/2006/main">
          <x14:cfRule type="iconSet" priority="177" id="{A3C97E0E-23AA-4BDB-A6DA-FACD3A247D63}">
            <x14:iconSet iconSet="3TrafficLights2" reverse="1">
              <x14:cfvo type="percent">
                <xm:f>0</xm:f>
              </x14:cfvo>
              <x14:cfvo type="num" gte="0">
                <xm:f>'Modell-Kalibrierung'!$C$18</xm:f>
              </x14:cfvo>
              <x14:cfvo type="num">
                <xm:f>'Modell-Kalibrierung'!$C$20</xm:f>
              </x14:cfvo>
            </x14:iconSet>
          </x14:cfRule>
          <xm:sqref>K102</xm:sqref>
        </x14:conditionalFormatting>
        <x14:conditionalFormatting xmlns:xm="http://schemas.microsoft.com/office/excel/2006/main">
          <x14:cfRule type="iconSet" priority="176" id="{3049F4F5-9F9D-46A7-B8A9-9058F0EEBA2A}">
            <x14:iconSet iconSet="3TrafficLights2" reverse="1">
              <x14:cfvo type="percent">
                <xm:f>0</xm:f>
              </x14:cfvo>
              <x14:cfvo type="num" gte="0">
                <xm:f>'Modell-Kalibrierung'!$C$18</xm:f>
              </x14:cfvo>
              <x14:cfvo type="num">
                <xm:f>'Modell-Kalibrierung'!$C$20</xm:f>
              </x14:cfvo>
            </x14:iconSet>
          </x14:cfRule>
          <xm:sqref>K103</xm:sqref>
        </x14:conditionalFormatting>
        <x14:conditionalFormatting xmlns:xm="http://schemas.microsoft.com/office/excel/2006/main">
          <x14:cfRule type="iconSet" priority="175" id="{A17B4B7E-3FF5-4742-B5A4-86F686A7E75E}">
            <x14:iconSet iconSet="3TrafficLights2" reverse="1">
              <x14:cfvo type="percent">
                <xm:f>0</xm:f>
              </x14:cfvo>
              <x14:cfvo type="num" gte="0">
                <xm:f>'Modell-Kalibrierung'!$C$18</xm:f>
              </x14:cfvo>
              <x14:cfvo type="num">
                <xm:f>'Modell-Kalibrierung'!$C$20</xm:f>
              </x14:cfvo>
            </x14:iconSet>
          </x14:cfRule>
          <xm:sqref>K105</xm:sqref>
        </x14:conditionalFormatting>
        <x14:conditionalFormatting xmlns:xm="http://schemas.microsoft.com/office/excel/2006/main">
          <x14:cfRule type="iconSet" priority="174" id="{2CE29306-7F80-4844-968A-B0344E9461AE}">
            <x14:iconSet iconSet="3TrafficLights2" reverse="1">
              <x14:cfvo type="percent">
                <xm:f>0</xm:f>
              </x14:cfvo>
              <x14:cfvo type="num" gte="0">
                <xm:f>'Modell-Kalibrierung'!$C$18</xm:f>
              </x14:cfvo>
              <x14:cfvo type="num">
                <xm:f>'Modell-Kalibrierung'!$C$20</xm:f>
              </x14:cfvo>
            </x14:iconSet>
          </x14:cfRule>
          <xm:sqref>K106</xm:sqref>
        </x14:conditionalFormatting>
        <x14:conditionalFormatting xmlns:xm="http://schemas.microsoft.com/office/excel/2006/main">
          <x14:cfRule type="iconSet" priority="173" id="{6E5B3722-CF60-4491-88C6-4717C0E9F280}">
            <x14:iconSet iconSet="3TrafficLights2" reverse="1">
              <x14:cfvo type="percent">
                <xm:f>0</xm:f>
              </x14:cfvo>
              <x14:cfvo type="num" gte="0">
                <xm:f>'Modell-Kalibrierung'!$C$18</xm:f>
              </x14:cfvo>
              <x14:cfvo type="num">
                <xm:f>'Modell-Kalibrierung'!$C$20</xm:f>
              </x14:cfvo>
            </x14:iconSet>
          </x14:cfRule>
          <xm:sqref>K107</xm:sqref>
        </x14:conditionalFormatting>
        <x14:conditionalFormatting xmlns:xm="http://schemas.microsoft.com/office/excel/2006/main">
          <x14:cfRule type="iconSet" priority="172" id="{E4F967E1-2A8E-4757-8DC9-5888F11EA828}">
            <x14:iconSet iconSet="3TrafficLights2" reverse="1">
              <x14:cfvo type="percent">
                <xm:f>0</xm:f>
              </x14:cfvo>
              <x14:cfvo type="num" gte="0">
                <xm:f>'Modell-Kalibrierung'!$C$18</xm:f>
              </x14:cfvo>
              <x14:cfvo type="num">
                <xm:f>'Modell-Kalibrierung'!$C$20</xm:f>
              </x14:cfvo>
            </x14:iconSet>
          </x14:cfRule>
          <xm:sqref>K108</xm:sqref>
        </x14:conditionalFormatting>
        <x14:conditionalFormatting xmlns:xm="http://schemas.microsoft.com/office/excel/2006/main">
          <x14:cfRule type="iconSet" priority="171" id="{2721B8DD-6717-4177-8C6B-C6530CC2516D}">
            <x14:iconSet iconSet="3TrafficLights2" reverse="1">
              <x14:cfvo type="percent">
                <xm:f>0</xm:f>
              </x14:cfvo>
              <x14:cfvo type="num" gte="0">
                <xm:f>'Modell-Kalibrierung'!$C$18</xm:f>
              </x14:cfvo>
              <x14:cfvo type="num">
                <xm:f>'Modell-Kalibrierung'!$C$20</xm:f>
              </x14:cfvo>
            </x14:iconSet>
          </x14:cfRule>
          <xm:sqref>K109</xm:sqref>
        </x14:conditionalFormatting>
        <x14:conditionalFormatting xmlns:xm="http://schemas.microsoft.com/office/excel/2006/main">
          <x14:cfRule type="iconSet" priority="170" id="{65073EEC-161A-472F-B817-2AB620E1C2AC}">
            <x14:iconSet iconSet="3TrafficLights2" reverse="1">
              <x14:cfvo type="percent">
                <xm:f>0</xm:f>
              </x14:cfvo>
              <x14:cfvo type="num" gte="0">
                <xm:f>'Modell-Kalibrierung'!$C$18</xm:f>
              </x14:cfvo>
              <x14:cfvo type="num">
                <xm:f>'Modell-Kalibrierung'!$C$20</xm:f>
              </x14:cfvo>
            </x14:iconSet>
          </x14:cfRule>
          <xm:sqref>K111</xm:sqref>
        </x14:conditionalFormatting>
        <x14:conditionalFormatting xmlns:xm="http://schemas.microsoft.com/office/excel/2006/main">
          <x14:cfRule type="iconSet" priority="169" id="{B835B110-1D08-46AD-9118-0D33436E3F9A}">
            <x14:iconSet iconSet="3TrafficLights2" reverse="1">
              <x14:cfvo type="percent">
                <xm:f>0</xm:f>
              </x14:cfvo>
              <x14:cfvo type="num" gte="0">
                <xm:f>'Modell-Kalibrierung'!$C$18</xm:f>
              </x14:cfvo>
              <x14:cfvo type="num">
                <xm:f>'Modell-Kalibrierung'!$C$20</xm:f>
              </x14:cfvo>
            </x14:iconSet>
          </x14:cfRule>
          <xm:sqref>K112</xm:sqref>
        </x14:conditionalFormatting>
        <x14:conditionalFormatting xmlns:xm="http://schemas.microsoft.com/office/excel/2006/main">
          <x14:cfRule type="iconSet" priority="168" id="{2A02B9E3-1E1B-4FD1-B989-B02D0F0F3F72}">
            <x14:iconSet iconSet="3TrafficLights2" reverse="1">
              <x14:cfvo type="percent">
                <xm:f>0</xm:f>
              </x14:cfvo>
              <x14:cfvo type="num" gte="0">
                <xm:f>'Modell-Kalibrierung'!$C$18</xm:f>
              </x14:cfvo>
              <x14:cfvo type="num">
                <xm:f>'Modell-Kalibrierung'!$C$20</xm:f>
              </x14:cfvo>
            </x14:iconSet>
          </x14:cfRule>
          <xm:sqref>K113</xm:sqref>
        </x14:conditionalFormatting>
        <x14:conditionalFormatting xmlns:xm="http://schemas.microsoft.com/office/excel/2006/main">
          <x14:cfRule type="iconSet" priority="167" id="{07DFC65F-2893-457C-908F-B4BA0DDAFD40}">
            <x14:iconSet iconSet="3TrafficLights2" reverse="1">
              <x14:cfvo type="percent">
                <xm:f>0</xm:f>
              </x14:cfvo>
              <x14:cfvo type="num" gte="0">
                <xm:f>'Modell-Kalibrierung'!$C$18</xm:f>
              </x14:cfvo>
              <x14:cfvo type="num">
                <xm:f>'Modell-Kalibrierung'!$C$20</xm:f>
              </x14:cfvo>
            </x14:iconSet>
          </x14:cfRule>
          <xm:sqref>K114</xm:sqref>
        </x14:conditionalFormatting>
        <x14:conditionalFormatting xmlns:xm="http://schemas.microsoft.com/office/excel/2006/main">
          <x14:cfRule type="iconSet" priority="166" id="{346D6A58-B410-41A5-9DA1-FD56FEC39C6B}">
            <x14:iconSet iconSet="3TrafficLights2" reverse="1">
              <x14:cfvo type="percent">
                <xm:f>0</xm:f>
              </x14:cfvo>
              <x14:cfvo type="num" gte="0">
                <xm:f>'Modell-Kalibrierung'!$C$18</xm:f>
              </x14:cfvo>
              <x14:cfvo type="num">
                <xm:f>'Modell-Kalibrierung'!$C$20</xm:f>
              </x14:cfvo>
            </x14:iconSet>
          </x14:cfRule>
          <xm:sqref>K115</xm:sqref>
        </x14:conditionalFormatting>
        <x14:conditionalFormatting xmlns:xm="http://schemas.microsoft.com/office/excel/2006/main">
          <x14:cfRule type="iconSet" priority="165" id="{26A75164-1C6E-4B7B-95C5-94F39BB1A17E}">
            <x14:iconSet iconSet="3TrafficLights2" reverse="1">
              <x14:cfvo type="percent">
                <xm:f>0</xm:f>
              </x14:cfvo>
              <x14:cfvo type="num" gte="0">
                <xm:f>'Modell-Kalibrierung'!$C$18</xm:f>
              </x14:cfvo>
              <x14:cfvo type="num">
                <xm:f>'Modell-Kalibrierung'!$C$20</xm:f>
              </x14:cfvo>
            </x14:iconSet>
          </x14:cfRule>
          <xm:sqref>K117</xm:sqref>
        </x14:conditionalFormatting>
        <x14:conditionalFormatting xmlns:xm="http://schemas.microsoft.com/office/excel/2006/main">
          <x14:cfRule type="iconSet" priority="164" id="{9D745C57-31C6-4D1F-B9FA-AFD8DB7889D5}">
            <x14:iconSet iconSet="3TrafficLights2" reverse="1">
              <x14:cfvo type="percent">
                <xm:f>0</xm:f>
              </x14:cfvo>
              <x14:cfvo type="num" gte="0">
                <xm:f>'Modell-Kalibrierung'!$C$18</xm:f>
              </x14:cfvo>
              <x14:cfvo type="num">
                <xm:f>'Modell-Kalibrierung'!$C$20</xm:f>
              </x14:cfvo>
            </x14:iconSet>
          </x14:cfRule>
          <xm:sqref>K118</xm:sqref>
        </x14:conditionalFormatting>
        <x14:conditionalFormatting xmlns:xm="http://schemas.microsoft.com/office/excel/2006/main">
          <x14:cfRule type="iconSet" priority="163" id="{FF53277F-6FF6-4D38-8E41-62E07A2D83A0}">
            <x14:iconSet iconSet="3TrafficLights2" reverse="1">
              <x14:cfvo type="percent">
                <xm:f>0</xm:f>
              </x14:cfvo>
              <x14:cfvo type="num" gte="0">
                <xm:f>'Modell-Kalibrierung'!$C$18</xm:f>
              </x14:cfvo>
              <x14:cfvo type="num">
                <xm:f>'Modell-Kalibrierung'!$C$20</xm:f>
              </x14:cfvo>
            </x14:iconSet>
          </x14:cfRule>
          <xm:sqref>K119</xm:sqref>
        </x14:conditionalFormatting>
        <x14:conditionalFormatting xmlns:xm="http://schemas.microsoft.com/office/excel/2006/main">
          <x14:cfRule type="iconSet" priority="162" id="{A123741C-DEB0-400E-B43B-BE3B42674637}">
            <x14:iconSet iconSet="3TrafficLights2" reverse="1">
              <x14:cfvo type="percent">
                <xm:f>0</xm:f>
              </x14:cfvo>
              <x14:cfvo type="num" gte="0">
                <xm:f>'Modell-Kalibrierung'!$C$18</xm:f>
              </x14:cfvo>
              <x14:cfvo type="num">
                <xm:f>'Modell-Kalibrierung'!$C$20</xm:f>
              </x14:cfvo>
            </x14:iconSet>
          </x14:cfRule>
          <xm:sqref>K120</xm:sqref>
        </x14:conditionalFormatting>
        <x14:conditionalFormatting xmlns:xm="http://schemas.microsoft.com/office/excel/2006/main">
          <x14:cfRule type="iconSet" priority="161" id="{95B922C5-32F2-42FB-8BFC-B2C0EE0277DB}">
            <x14:iconSet iconSet="3TrafficLights2" reverse="1">
              <x14:cfvo type="percent">
                <xm:f>0</xm:f>
              </x14:cfvo>
              <x14:cfvo type="num" gte="0">
                <xm:f>'Modell-Kalibrierung'!$C$18</xm:f>
              </x14:cfvo>
              <x14:cfvo type="num">
                <xm:f>'Modell-Kalibrierung'!$C$20</xm:f>
              </x14:cfvo>
            </x14:iconSet>
          </x14:cfRule>
          <xm:sqref>K121</xm:sqref>
        </x14:conditionalFormatting>
        <x14:conditionalFormatting xmlns:xm="http://schemas.microsoft.com/office/excel/2006/main">
          <x14:cfRule type="cellIs" priority="148" operator="equal" id="{B075F259-69C4-406D-BF60-0687C0560AD6}">
            <xm:f>'Modell-Kalibrierung'!$B$16</xm:f>
            <x14:dxf>
              <fill>
                <patternFill>
                  <bgColor theme="0"/>
                </patternFill>
              </fill>
            </x14:dxf>
          </x14:cfRule>
          <xm:sqref>I48:I49</xm:sqref>
        </x14:conditionalFormatting>
        <x14:conditionalFormatting xmlns:xm="http://schemas.microsoft.com/office/excel/2006/main">
          <x14:cfRule type="cellIs" priority="141" operator="equal" id="{6248594D-147E-4773-9DD9-BCEEA692CA45}">
            <xm:f>'Modell-Kalibrierung'!$B$16</xm:f>
            <x14:dxf>
              <fill>
                <patternFill>
                  <bgColor theme="0"/>
                </patternFill>
              </fill>
            </x14:dxf>
          </x14:cfRule>
          <xm:sqref>G48:G49</xm:sqref>
        </x14:conditionalFormatting>
        <x14:conditionalFormatting xmlns:xm="http://schemas.microsoft.com/office/excel/2006/main">
          <x14:cfRule type="cellIs" priority="128" operator="equal" id="{378AB5A8-4651-4B2D-B73D-DCB2B1BD2761}">
            <xm:f>'Modell-Kalibrierung'!$B$16</xm:f>
            <x14:dxf>
              <fill>
                <patternFill>
                  <bgColor theme="0"/>
                </patternFill>
              </fill>
            </x14:dxf>
          </x14:cfRule>
          <xm:sqref>I45:I47</xm:sqref>
        </x14:conditionalFormatting>
        <x14:conditionalFormatting xmlns:xm="http://schemas.microsoft.com/office/excel/2006/main">
          <x14:cfRule type="cellIs" priority="121" operator="equal" id="{DF96B017-2F3C-456A-B0A6-81D0E5B8F354}">
            <xm:f>'Modell-Kalibrierung'!$B$16</xm:f>
            <x14:dxf>
              <fill>
                <patternFill>
                  <bgColor theme="0"/>
                </patternFill>
              </fill>
            </x14:dxf>
          </x14:cfRule>
          <xm:sqref>G45:G47</xm:sqref>
        </x14:conditionalFormatting>
        <x14:conditionalFormatting xmlns:xm="http://schemas.microsoft.com/office/excel/2006/main">
          <x14:cfRule type="cellIs" priority="108" operator="equal" id="{BA8E4BC0-D7A7-42E0-8063-88C2D12DF4B3}">
            <xm:f>'Modell-Kalibrierung'!$B$16</xm:f>
            <x14:dxf>
              <fill>
                <patternFill>
                  <bgColor theme="0"/>
                </patternFill>
              </fill>
            </x14:dxf>
          </x14:cfRule>
          <xm:sqref>I54:I55</xm:sqref>
        </x14:conditionalFormatting>
        <x14:conditionalFormatting xmlns:xm="http://schemas.microsoft.com/office/excel/2006/main">
          <x14:cfRule type="cellIs" priority="101" operator="equal" id="{C53402C0-9A86-478B-B362-A69C0432EB23}">
            <xm:f>'Modell-Kalibrierung'!$B$16</xm:f>
            <x14:dxf>
              <fill>
                <patternFill>
                  <bgColor theme="0"/>
                </patternFill>
              </fill>
            </x14:dxf>
          </x14:cfRule>
          <xm:sqref>G54:G55</xm:sqref>
        </x14:conditionalFormatting>
        <x14:conditionalFormatting xmlns:xm="http://schemas.microsoft.com/office/excel/2006/main">
          <x14:cfRule type="cellIs" priority="88" operator="equal" id="{651B3A50-7FC6-4B91-BDD3-717D3121EDB5}">
            <xm:f>'Modell-Kalibrierung'!$B$16</xm:f>
            <x14:dxf>
              <fill>
                <patternFill>
                  <bgColor theme="0"/>
                </patternFill>
              </fill>
            </x14:dxf>
          </x14:cfRule>
          <xm:sqref>I51:I53</xm:sqref>
        </x14:conditionalFormatting>
        <x14:conditionalFormatting xmlns:xm="http://schemas.microsoft.com/office/excel/2006/main">
          <x14:cfRule type="cellIs" priority="81" operator="equal" id="{611DCB33-8C76-4384-B19F-3039A1207F15}">
            <xm:f>'Modell-Kalibrierung'!$B$16</xm:f>
            <x14:dxf>
              <fill>
                <patternFill>
                  <bgColor theme="0"/>
                </patternFill>
              </fill>
            </x14:dxf>
          </x14:cfRule>
          <xm:sqref>G51:G53</xm:sqref>
        </x14:conditionalFormatting>
        <x14:conditionalFormatting xmlns:xm="http://schemas.microsoft.com/office/excel/2006/main">
          <x14:cfRule type="cellIs" priority="68" operator="equal" id="{484B2983-48B2-4EE8-AE6E-1E2E6D039FB7}">
            <xm:f>'Modell-Kalibrierung'!$B$16</xm:f>
            <x14:dxf>
              <fill>
                <patternFill>
                  <bgColor theme="0"/>
                </patternFill>
              </fill>
            </x14:dxf>
          </x14:cfRule>
          <xm:sqref>I60:I61</xm:sqref>
        </x14:conditionalFormatting>
        <x14:conditionalFormatting xmlns:xm="http://schemas.microsoft.com/office/excel/2006/main">
          <x14:cfRule type="cellIs" priority="61" operator="equal" id="{18DE995B-4BD3-44C5-8C6D-758023CE31EB}">
            <xm:f>'Modell-Kalibrierung'!$B$16</xm:f>
            <x14:dxf>
              <fill>
                <patternFill>
                  <bgColor theme="0"/>
                </patternFill>
              </fill>
            </x14:dxf>
          </x14:cfRule>
          <xm:sqref>G60:G61</xm:sqref>
        </x14:conditionalFormatting>
        <x14:conditionalFormatting xmlns:xm="http://schemas.microsoft.com/office/excel/2006/main">
          <x14:cfRule type="cellIs" priority="48" operator="equal" id="{355863A6-C17F-4C2D-AA7D-573331479C8E}">
            <xm:f>'Modell-Kalibrierung'!$B$16</xm:f>
            <x14:dxf>
              <fill>
                <patternFill>
                  <bgColor theme="0"/>
                </patternFill>
              </fill>
            </x14:dxf>
          </x14:cfRule>
          <xm:sqref>I57:I59</xm:sqref>
        </x14:conditionalFormatting>
        <x14:conditionalFormatting xmlns:xm="http://schemas.microsoft.com/office/excel/2006/main">
          <x14:cfRule type="cellIs" priority="41" operator="equal" id="{1F86EC08-89F8-45B6-A154-434234E6DCA7}">
            <xm:f>'Modell-Kalibrierung'!$B$16</xm:f>
            <x14:dxf>
              <fill>
                <patternFill>
                  <bgColor theme="0"/>
                </patternFill>
              </fill>
            </x14:dxf>
          </x14:cfRule>
          <xm:sqref>G57:G59</xm:sqref>
        </x14:conditionalFormatting>
        <x14:conditionalFormatting xmlns:xm="http://schemas.microsoft.com/office/excel/2006/main">
          <x14:cfRule type="cellIs" priority="28" operator="equal" id="{E4A73F16-EDE7-4493-86F5-991FC86D181C}">
            <xm:f>'Modell-Kalibrierung'!$B$16</xm:f>
            <x14:dxf>
              <fill>
                <patternFill>
                  <bgColor theme="0"/>
                </patternFill>
              </fill>
            </x14:dxf>
          </x14:cfRule>
          <xm:sqref>I36:I37</xm:sqref>
        </x14:conditionalFormatting>
        <x14:conditionalFormatting xmlns:xm="http://schemas.microsoft.com/office/excel/2006/main">
          <x14:cfRule type="cellIs" priority="21" operator="equal" id="{AC2CCB85-CDDF-42C3-902E-7A6F93D94BAC}">
            <xm:f>'Modell-Kalibrierung'!$B$16</xm:f>
            <x14:dxf>
              <fill>
                <patternFill>
                  <bgColor theme="0"/>
                </patternFill>
              </fill>
            </x14:dxf>
          </x14:cfRule>
          <xm:sqref>G36:G37</xm:sqref>
        </x14:conditionalFormatting>
        <x14:conditionalFormatting xmlns:xm="http://schemas.microsoft.com/office/excel/2006/main">
          <x14:cfRule type="cellIs" priority="8" operator="equal" id="{EB844702-B8EB-4BEF-AC61-2CF321712A26}">
            <xm:f>'Modell-Kalibrierung'!$B$16</xm:f>
            <x14:dxf>
              <fill>
                <patternFill>
                  <bgColor theme="0"/>
                </patternFill>
              </fill>
            </x14:dxf>
          </x14:cfRule>
          <xm:sqref>I33:I35</xm:sqref>
        </x14:conditionalFormatting>
        <x14:conditionalFormatting xmlns:xm="http://schemas.microsoft.com/office/excel/2006/main">
          <x14:cfRule type="cellIs" priority="1" operator="equal" id="{ED91DC90-1B3B-4F65-B4E8-515DEF87D8D4}">
            <xm:f>'Modell-Kalibrierung'!$B$16</xm:f>
            <x14:dxf>
              <fill>
                <patternFill>
                  <bgColor theme="0"/>
                </patternFill>
              </fill>
            </x14:dxf>
          </x14:cfRule>
          <xm:sqref>G33:G35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'Modell-Kalibrierung'!$B$16:$B$22</xm:f>
          </x14:formula1>
          <xm:sqref>G117:G121 I117:I121 G39:G43 I39:I43 I57:I61 G57:G61 I45:I49 G45:G49 I51:I55 G51:G55 I63:I67 G63:G67 G69:G73 I69:I73 I87:I91 G87:G91 G81:G85 I81:I85 I75:I79 G75:G79 I99:I103 G99:G103 G93:G97 I93:I97 I111:I115 G111:G115 G105:G109 I105:I109 I33:I37 G33:G37</xm:sqref>
        </x14:dataValidation>
        <x14:dataValidation type="list" allowBlank="1" showInputMessage="1" showErrorMessage="1">
          <x14:formula1>
            <xm:f>'Modell-Kalibrierung'!$B$3:$B$8</xm:f>
          </x14:formula1>
          <xm:sqref>H117:H121 H39:H43 H57:H61 H45:H49 H51:H55 H63:H67 H69:H73 H87:H91 H81:H85 H75:H79 H99:H103 H93:H97 H111:H115 H105:H109 H33:H37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rgb="FF92D050"/>
    <pageSetUpPr fitToPage="1"/>
  </sheetPr>
  <dimension ref="A1:H249"/>
  <sheetViews>
    <sheetView view="pageBreakPreview" zoomScale="75" zoomScaleNormal="100" zoomScaleSheetLayoutView="75" workbookViewId="0">
      <selection activeCell="D24" sqref="D24"/>
    </sheetView>
  </sheetViews>
  <sheetFormatPr baseColWidth="10" defaultRowHeight="14.25" x14ac:dyDescent="0.2"/>
  <cols>
    <col min="1" max="1" width="1.875" customWidth="1"/>
    <col min="2" max="2" width="50.625" bestFit="1" customWidth="1"/>
    <col min="3" max="3" width="35.125" customWidth="1"/>
    <col min="4" max="4" width="13" customWidth="1"/>
    <col min="5" max="5" width="47.375" style="18" customWidth="1"/>
    <col min="6" max="6" width="2.125" bestFit="1" customWidth="1"/>
    <col min="8" max="8" width="19.125" customWidth="1"/>
  </cols>
  <sheetData>
    <row r="1" spans="1:8" ht="52.5" customHeight="1" x14ac:dyDescent="0.2">
      <c r="A1" s="56"/>
      <c r="B1" s="122" t="s">
        <v>84</v>
      </c>
      <c r="C1" s="122"/>
      <c r="D1" s="122"/>
      <c r="E1" s="122"/>
      <c r="F1" s="122"/>
      <c r="G1" s="122"/>
      <c r="H1" s="122"/>
    </row>
    <row r="2" spans="1:8" ht="54" customHeight="1" x14ac:dyDescent="0.2">
      <c r="A2" s="36"/>
      <c r="B2" s="52" t="s">
        <v>61</v>
      </c>
      <c r="C2" s="40">
        <f>F6</f>
        <v>0</v>
      </c>
      <c r="D2" s="36"/>
      <c r="E2" s="54"/>
      <c r="F2" s="36"/>
      <c r="G2" s="36"/>
      <c r="H2" s="36"/>
    </row>
    <row r="3" spans="1:8" ht="42.75" customHeight="1" x14ac:dyDescent="0.2">
      <c r="A3" s="36"/>
      <c r="B3" s="53" t="s">
        <v>63</v>
      </c>
      <c r="C3" s="55"/>
      <c r="D3" s="36"/>
      <c r="E3" s="54"/>
      <c r="F3" s="36"/>
      <c r="G3" s="36"/>
      <c r="H3" s="36"/>
    </row>
    <row r="4" spans="1:8" x14ac:dyDescent="0.2">
      <c r="A4" s="36"/>
      <c r="B4" s="36"/>
      <c r="C4" s="36"/>
      <c r="D4" s="36"/>
      <c r="E4" s="54"/>
      <c r="F4" s="36"/>
      <c r="G4" s="36"/>
      <c r="H4" s="36"/>
    </row>
    <row r="5" spans="1:8" ht="15" thickBot="1" x14ac:dyDescent="0.25">
      <c r="A5" s="36"/>
      <c r="B5" s="36"/>
      <c r="C5" s="36"/>
      <c r="D5" s="36"/>
      <c r="E5" s="54"/>
      <c r="F5" s="36"/>
      <c r="G5" s="36"/>
      <c r="H5" s="36"/>
    </row>
    <row r="6" spans="1:8" ht="15.75" thickBot="1" x14ac:dyDescent="0.3">
      <c r="A6" s="36"/>
      <c r="B6" s="41" t="s">
        <v>56</v>
      </c>
      <c r="C6" s="19" t="s">
        <v>48</v>
      </c>
      <c r="D6" s="22" t="s">
        <v>57</v>
      </c>
      <c r="E6" s="19" t="s">
        <v>66</v>
      </c>
      <c r="F6" s="54">
        <f>SUM(F7:F102)</f>
        <v>0</v>
      </c>
      <c r="G6" s="123" t="s">
        <v>67</v>
      </c>
      <c r="H6" s="124"/>
    </row>
    <row r="7" spans="1:8" ht="15.75" thickBot="1" x14ac:dyDescent="0.3">
      <c r="A7" s="36"/>
      <c r="B7" s="57" t="str">
        <f>IF('Modell-Kalibrierung'!B29=0," ",'Modell-Kalibrierung'!B29)</f>
        <v>Strategische Bedeutung/ Beitrag zur Unternehmensstrategie</v>
      </c>
      <c r="C7" s="21" t="str">
        <f>IF('Modell-Kalibrierung'!C29=0," ",'Modell-Kalibrierung'!C29)</f>
        <v>sehr wichtig</v>
      </c>
      <c r="D7" s="58"/>
      <c r="E7" s="117"/>
      <c r="F7" s="54">
        <f>IF(C7=" "," ",(VLOOKUP(C7,'Modell-Kalibrierung'!$H$28:$I$32,2,FALSE))*D7)</f>
        <v>0</v>
      </c>
      <c r="G7" s="26" t="s">
        <v>50</v>
      </c>
      <c r="H7" s="27" t="s">
        <v>58</v>
      </c>
    </row>
    <row r="8" spans="1:8" x14ac:dyDescent="0.2">
      <c r="A8" s="36"/>
      <c r="B8" s="57" t="str">
        <f>IF('Modell-Kalibrierung'!B30=0," ",'Modell-Kalibrierung'!B30)</f>
        <v>Wirtschaftlichkeit Kosten/Nutzenrelation)</v>
      </c>
      <c r="C8" s="21" t="str">
        <f>IF('Modell-Kalibrierung'!C30=0," ",'Modell-Kalibrierung'!C30)</f>
        <v>wichtig</v>
      </c>
      <c r="D8" s="58"/>
      <c r="E8" s="117"/>
      <c r="F8" s="54">
        <f>IF(C8=" "," ",(VLOOKUP(C8,'Modell-Kalibrierung'!$H$28:$I$32,2,FALSE))*D8)</f>
        <v>0</v>
      </c>
      <c r="G8" s="28">
        <f>'Modell-Kalibrierung'!E29</f>
        <v>1</v>
      </c>
      <c r="H8" s="29" t="str">
        <f>IF('Modell-Kalibrierung'!F29=0," ",'Modell-Kalibrierung'!F29)</f>
        <v>sehr gering/ schlecht</v>
      </c>
    </row>
    <row r="9" spans="1:8" x14ac:dyDescent="0.2">
      <c r="A9" s="36"/>
      <c r="B9" s="57" t="str">
        <f>IF('Modell-Kalibrierung'!B31=0," ",'Modell-Kalibrierung'!B31)</f>
        <v>Operative Dringlichkeit</v>
      </c>
      <c r="C9" s="21" t="str">
        <f>IF('Modell-Kalibrierung'!C31=0," ",'Modell-Kalibrierung'!C31)</f>
        <v>weniger wichtig</v>
      </c>
      <c r="D9" s="58"/>
      <c r="E9" s="117"/>
      <c r="F9" s="54">
        <f>IF(C9=" "," ",(VLOOKUP(C9,'Modell-Kalibrierung'!$H$28:$I$32,2,FALSE))*D9)</f>
        <v>0</v>
      </c>
      <c r="G9" s="30">
        <f>'Modell-Kalibrierung'!E30</f>
        <v>2</v>
      </c>
      <c r="H9" s="31" t="str">
        <f>IF('Modell-Kalibrierung'!F30=0," ",'Modell-Kalibrierung'!F30)</f>
        <v xml:space="preserve"> </v>
      </c>
    </row>
    <row r="10" spans="1:8" x14ac:dyDescent="0.2">
      <c r="A10" s="36"/>
      <c r="B10" s="57" t="str">
        <f>IF('Modell-Kalibrierung'!B32=0," ",'Modell-Kalibrierung'!B32)</f>
        <v>Wichtigkeit des Kunden</v>
      </c>
      <c r="C10" s="21" t="str">
        <f>IF('Modell-Kalibrierung'!C32=0," ",'Modell-Kalibrierung'!C32)</f>
        <v>sehr wichtig</v>
      </c>
      <c r="D10" s="58"/>
      <c r="E10" s="117"/>
      <c r="F10" s="54">
        <f>IF(C10=" "," ",(VLOOKUP(C10,'Modell-Kalibrierung'!$H$28:$I$32,2,FALSE))*D10)</f>
        <v>0</v>
      </c>
      <c r="G10" s="30">
        <f>'Modell-Kalibrierung'!E31</f>
        <v>3</v>
      </c>
      <c r="H10" s="31" t="str">
        <f>IF('Modell-Kalibrierung'!F31=0," ",'Modell-Kalibrierung'!F31)</f>
        <v xml:space="preserve"> </v>
      </c>
    </row>
    <row r="11" spans="1:8" x14ac:dyDescent="0.2">
      <c r="A11" s="36"/>
      <c r="B11" s="57" t="str">
        <f>IF('Modell-Kalibrierung'!B33=0," ",'Modell-Kalibrierung'!B33)</f>
        <v>Markt/ Wettbewerbssituation</v>
      </c>
      <c r="C11" s="21" t="str">
        <f>IF('Modell-Kalibrierung'!C33=0," ",'Modell-Kalibrierung'!C33)</f>
        <v>kann vernachlässigt werden</v>
      </c>
      <c r="D11" s="58"/>
      <c r="E11" s="117"/>
      <c r="F11" s="54">
        <f>IF(C11=" "," ",(VLOOKUP(C11,'Modell-Kalibrierung'!$H$28:$I$32,2,FALSE))*D11)</f>
        <v>0</v>
      </c>
      <c r="G11" s="30">
        <f>'Modell-Kalibrierung'!E32</f>
        <v>4</v>
      </c>
      <c r="H11" s="31" t="str">
        <f>IF('Modell-Kalibrierung'!F32=0," ",'Modell-Kalibrierung'!F32)</f>
        <v xml:space="preserve"> </v>
      </c>
    </row>
    <row r="12" spans="1:8" x14ac:dyDescent="0.2">
      <c r="A12" s="36"/>
      <c r="B12" s="57" t="str">
        <f>IF('Modell-Kalibrierung'!B34=0," ",'Modell-Kalibrierung'!B34)</f>
        <v>Reputation</v>
      </c>
      <c r="C12" s="21" t="str">
        <f>IF('Modell-Kalibrierung'!C34=0," ",'Modell-Kalibrierung'!C34)</f>
        <v>wichtig</v>
      </c>
      <c r="D12" s="58"/>
      <c r="E12" s="117"/>
      <c r="F12" s="54">
        <f>IF(C12=" "," ",(VLOOKUP(C12,'Modell-Kalibrierung'!$H$28:$I$32,2,FALSE))*D12)</f>
        <v>0</v>
      </c>
      <c r="G12" s="30">
        <f>'Modell-Kalibrierung'!E33</f>
        <v>5</v>
      </c>
      <c r="H12" s="31" t="str">
        <f>IF('Modell-Kalibrierung'!F33=0," ",'Modell-Kalibrierung'!F33)</f>
        <v xml:space="preserve"> </v>
      </c>
    </row>
    <row r="13" spans="1:8" x14ac:dyDescent="0.2">
      <c r="A13" s="36"/>
      <c r="B13" s="57" t="str">
        <f>IF('Modell-Kalibrierung'!B35=0," ",'Modell-Kalibrierung'!B35)</f>
        <v xml:space="preserve"> </v>
      </c>
      <c r="C13" s="21" t="str">
        <f>IF('Modell-Kalibrierung'!C35=0," ",'Modell-Kalibrierung'!C35)</f>
        <v xml:space="preserve"> </v>
      </c>
      <c r="D13" s="58"/>
      <c r="E13" s="117"/>
      <c r="F13" s="54" t="str">
        <f>IF(C13=" "," ",(VLOOKUP(C13,'Modell-Kalibrierung'!$H$28:$I$32,2,FALSE))*D13)</f>
        <v xml:space="preserve"> </v>
      </c>
      <c r="G13" s="30">
        <f>'Modell-Kalibrierung'!E34</f>
        <v>6</v>
      </c>
      <c r="H13" s="31" t="str">
        <f>IF('Modell-Kalibrierung'!F34=0," ",'Modell-Kalibrierung'!F34)</f>
        <v xml:space="preserve"> </v>
      </c>
    </row>
    <row r="14" spans="1:8" x14ac:dyDescent="0.2">
      <c r="A14" s="36"/>
      <c r="B14" s="57" t="str">
        <f>IF('Modell-Kalibrierung'!B36=0," ",'Modell-Kalibrierung'!B36)</f>
        <v xml:space="preserve"> </v>
      </c>
      <c r="C14" s="21" t="str">
        <f>IF('Modell-Kalibrierung'!C36=0," ",'Modell-Kalibrierung'!C36)</f>
        <v xml:space="preserve"> </v>
      </c>
      <c r="D14" s="58"/>
      <c r="E14" s="117"/>
      <c r="F14" s="54" t="str">
        <f>IF(C14=" "," ",(VLOOKUP(C14,'Modell-Kalibrierung'!$H$28:$I$32,2,FALSE))*D14)</f>
        <v xml:space="preserve"> </v>
      </c>
      <c r="G14" s="30">
        <f>'Modell-Kalibrierung'!E35</f>
        <v>7</v>
      </c>
      <c r="H14" s="31" t="str">
        <f>IF('Modell-Kalibrierung'!F35=0," ",'Modell-Kalibrierung'!F35)</f>
        <v xml:space="preserve"> </v>
      </c>
    </row>
    <row r="15" spans="1:8" ht="15" thickBot="1" x14ac:dyDescent="0.25">
      <c r="A15" s="36"/>
      <c r="B15" s="57" t="str">
        <f>IF('Modell-Kalibrierung'!B37=0," ",'Modell-Kalibrierung'!B37)</f>
        <v xml:space="preserve"> </v>
      </c>
      <c r="C15" s="21" t="str">
        <f>IF('Modell-Kalibrierung'!C37=0," ",'Modell-Kalibrierung'!C37)</f>
        <v xml:space="preserve"> </v>
      </c>
      <c r="D15" s="58"/>
      <c r="E15" s="117"/>
      <c r="F15" s="54" t="str">
        <f>IF(C15=" "," ",(VLOOKUP(C15,'Modell-Kalibrierung'!$H$28:$I$32,2,FALSE))*D15)</f>
        <v xml:space="preserve"> </v>
      </c>
      <c r="G15" s="32">
        <f>'Modell-Kalibrierung'!E36</f>
        <v>8</v>
      </c>
      <c r="H15" s="33" t="str">
        <f>IF('Modell-Kalibrierung'!F36=0," ",'Modell-Kalibrierung'!F36)</f>
        <v>sehr hoch/ gut</v>
      </c>
    </row>
    <row r="16" spans="1:8" x14ac:dyDescent="0.2">
      <c r="A16" s="36"/>
      <c r="B16" s="57" t="str">
        <f>IF('Modell-Kalibrierung'!B38=0," ",'Modell-Kalibrierung'!B38)</f>
        <v xml:space="preserve"> </v>
      </c>
      <c r="C16" s="21" t="str">
        <f>IF('Modell-Kalibrierung'!C38=0," ",'Modell-Kalibrierung'!C38)</f>
        <v xml:space="preserve"> </v>
      </c>
      <c r="D16" s="58"/>
      <c r="E16" s="117"/>
      <c r="F16" s="54" t="str">
        <f>IF(C16=" "," ",(VLOOKUP(C16,'Modell-Kalibrierung'!$H$28:$I$32,2,FALSE))*D16)</f>
        <v xml:space="preserve"> </v>
      </c>
      <c r="G16" s="36"/>
      <c r="H16" s="36"/>
    </row>
    <row r="17" spans="1:8" x14ac:dyDescent="0.2">
      <c r="A17" s="36"/>
      <c r="B17" s="57" t="str">
        <f>IF('Modell-Kalibrierung'!B39=0," ",'Modell-Kalibrierung'!B39)</f>
        <v xml:space="preserve"> </v>
      </c>
      <c r="C17" s="21" t="str">
        <f>IF('Modell-Kalibrierung'!C39=0," ",'Modell-Kalibrierung'!C39)</f>
        <v xml:space="preserve"> </v>
      </c>
      <c r="D17" s="58"/>
      <c r="E17" s="117"/>
      <c r="F17" s="54" t="str">
        <f>IF(C17=" "," ",(VLOOKUP(C17,'Modell-Kalibrierung'!$H$28:$I$32,2,FALSE))*D17)</f>
        <v xml:space="preserve"> </v>
      </c>
      <c r="G17" s="36"/>
      <c r="H17" s="36"/>
    </row>
    <row r="18" spans="1:8" x14ac:dyDescent="0.2">
      <c r="A18" s="36"/>
      <c r="B18" s="57" t="str">
        <f>IF('Modell-Kalibrierung'!B40=0," ",'Modell-Kalibrierung'!B40)</f>
        <v xml:space="preserve"> </v>
      </c>
      <c r="C18" s="21" t="str">
        <f>IF('Modell-Kalibrierung'!C40=0," ",'Modell-Kalibrierung'!C40)</f>
        <v xml:space="preserve"> </v>
      </c>
      <c r="D18" s="58"/>
      <c r="E18" s="117"/>
      <c r="F18" s="54" t="str">
        <f>IF(C18=" "," ",(VLOOKUP(C18,'Modell-Kalibrierung'!$H$28:$I$32,2,FALSE))*D18)</f>
        <v xml:space="preserve"> </v>
      </c>
      <c r="G18" s="36"/>
      <c r="H18" s="36"/>
    </row>
    <row r="19" spans="1:8" x14ac:dyDescent="0.2">
      <c r="A19" s="36"/>
      <c r="B19" s="57" t="str">
        <f>IF('Modell-Kalibrierung'!B41=0," ",'Modell-Kalibrierung'!B41)</f>
        <v xml:space="preserve"> </v>
      </c>
      <c r="C19" s="21" t="str">
        <f>IF('Modell-Kalibrierung'!C41=0," ",'Modell-Kalibrierung'!C41)</f>
        <v xml:space="preserve"> </v>
      </c>
      <c r="D19" s="58"/>
      <c r="E19" s="117"/>
      <c r="F19" s="54" t="str">
        <f>IF(C19=" "," ",(VLOOKUP(C19,'Modell-Kalibrierung'!$H$28:$I$32,2,FALSE))*D19)</f>
        <v xml:space="preserve"> </v>
      </c>
      <c r="G19" s="36"/>
      <c r="H19" s="36"/>
    </row>
    <row r="20" spans="1:8" x14ac:dyDescent="0.2">
      <c r="A20" s="36"/>
      <c r="B20" s="57" t="str">
        <f>IF('Modell-Kalibrierung'!B42=0," ",'Modell-Kalibrierung'!B42)</f>
        <v xml:space="preserve"> </v>
      </c>
      <c r="C20" s="21" t="str">
        <f>IF('Modell-Kalibrierung'!C42=0," ",'Modell-Kalibrierung'!C42)</f>
        <v xml:space="preserve"> </v>
      </c>
      <c r="D20" s="58"/>
      <c r="E20" s="117"/>
      <c r="F20" s="54" t="str">
        <f>IF(C20=" "," ",(VLOOKUP(C20,'Modell-Kalibrierung'!$H$28:$I$32,2,FALSE))*D20)</f>
        <v xml:space="preserve"> </v>
      </c>
      <c r="G20" s="36"/>
      <c r="H20" s="36"/>
    </row>
    <row r="21" spans="1:8" x14ac:dyDescent="0.2">
      <c r="A21" s="36"/>
      <c r="B21" s="57" t="str">
        <f>IF('Modell-Kalibrierung'!B43=0," ",'Modell-Kalibrierung'!B43)</f>
        <v xml:space="preserve"> </v>
      </c>
      <c r="C21" s="21" t="str">
        <f>IF('Modell-Kalibrierung'!C43=0," ",'Modell-Kalibrierung'!C43)</f>
        <v xml:space="preserve"> </v>
      </c>
      <c r="D21" s="58"/>
      <c r="E21" s="117"/>
      <c r="F21" s="54" t="str">
        <f>IF(C21=" "," ",(VLOOKUP(C21,'Modell-Kalibrierung'!$H$28:$I$32,2,FALSE))*D21)</f>
        <v xml:space="preserve"> </v>
      </c>
      <c r="G21" s="36"/>
      <c r="H21" s="36"/>
    </row>
    <row r="22" spans="1:8" x14ac:dyDescent="0.2">
      <c r="A22" s="36"/>
      <c r="B22" s="57" t="str">
        <f>IF('Modell-Kalibrierung'!B44=0," ",'Modell-Kalibrierung'!B44)</f>
        <v xml:space="preserve"> </v>
      </c>
      <c r="C22" s="21" t="str">
        <f>IF('Modell-Kalibrierung'!C44=0," ",'Modell-Kalibrierung'!C44)</f>
        <v xml:space="preserve"> </v>
      </c>
      <c r="D22" s="58"/>
      <c r="E22" s="117"/>
      <c r="F22" s="54" t="str">
        <f>IF(C22=" "," ",(VLOOKUP(C22,'Modell-Kalibrierung'!$H$28:$I$32,2,FALSE))*D22)</f>
        <v xml:space="preserve"> </v>
      </c>
      <c r="G22" s="36"/>
      <c r="H22" s="36"/>
    </row>
    <row r="23" spans="1:8" x14ac:dyDescent="0.2">
      <c r="A23" s="36"/>
      <c r="B23" s="57" t="str">
        <f>IF('Modell-Kalibrierung'!B45=0," ",'Modell-Kalibrierung'!B45)</f>
        <v xml:space="preserve"> </v>
      </c>
      <c r="C23" s="21" t="str">
        <f>IF('Modell-Kalibrierung'!C45=0," ",'Modell-Kalibrierung'!C45)</f>
        <v xml:space="preserve"> </v>
      </c>
      <c r="D23" s="58"/>
      <c r="E23" s="117"/>
      <c r="F23" s="54" t="str">
        <f>IF(C23=" "," ",(VLOOKUP(C23,'Modell-Kalibrierung'!$H$28:$I$32,2,FALSE))*D23)</f>
        <v xml:space="preserve"> </v>
      </c>
      <c r="G23" s="36"/>
      <c r="H23" s="36"/>
    </row>
    <row r="24" spans="1:8" x14ac:dyDescent="0.2">
      <c r="A24" s="36"/>
      <c r="B24" s="57" t="str">
        <f>IF('Modell-Kalibrierung'!B46=0," ",'Modell-Kalibrierung'!B46)</f>
        <v xml:space="preserve"> </v>
      </c>
      <c r="C24" s="21" t="str">
        <f>IF('Modell-Kalibrierung'!C46=0," ",'Modell-Kalibrierung'!C46)</f>
        <v xml:space="preserve"> </v>
      </c>
      <c r="D24" s="58"/>
      <c r="E24" s="117"/>
      <c r="F24" s="54" t="str">
        <f>IF(C24=" "," ",(VLOOKUP(C24,'Modell-Kalibrierung'!$H$28:$I$32,2,FALSE))*D24)</f>
        <v xml:space="preserve"> </v>
      </c>
      <c r="G24" s="36"/>
      <c r="H24" s="36"/>
    </row>
    <row r="25" spans="1:8" x14ac:dyDescent="0.2">
      <c r="A25" s="36"/>
      <c r="B25" s="57" t="str">
        <f>IF('Modell-Kalibrierung'!B47=0," ",'Modell-Kalibrierung'!B47)</f>
        <v xml:space="preserve"> </v>
      </c>
      <c r="C25" s="21" t="str">
        <f>IF('Modell-Kalibrierung'!C47=0," ",'Modell-Kalibrierung'!C47)</f>
        <v xml:space="preserve"> </v>
      </c>
      <c r="D25" s="58"/>
      <c r="E25" s="117"/>
      <c r="F25" s="54" t="str">
        <f>IF(C25=" "," ",(VLOOKUP(C25,'Modell-Kalibrierung'!$H$28:$I$32,2,FALSE))*D25)</f>
        <v xml:space="preserve"> </v>
      </c>
      <c r="G25" s="36"/>
      <c r="H25" s="36"/>
    </row>
    <row r="26" spans="1:8" x14ac:dyDescent="0.2">
      <c r="A26" s="36"/>
      <c r="B26" s="57" t="str">
        <f>IF('Modell-Kalibrierung'!B48=0," ",'Modell-Kalibrierung'!B48)</f>
        <v xml:space="preserve"> </v>
      </c>
      <c r="C26" s="21" t="str">
        <f>IF('Modell-Kalibrierung'!C48=0," ",'Modell-Kalibrierung'!C48)</f>
        <v xml:space="preserve"> </v>
      </c>
      <c r="D26" s="58"/>
      <c r="E26" s="117"/>
      <c r="F26" s="54" t="str">
        <f>IF(C26=" "," ",(VLOOKUP(C26,'Modell-Kalibrierung'!$H$28:$I$32,2,FALSE))*D26)</f>
        <v xml:space="preserve"> </v>
      </c>
      <c r="G26" s="36"/>
      <c r="H26" s="36"/>
    </row>
    <row r="27" spans="1:8" x14ac:dyDescent="0.2">
      <c r="A27" s="36"/>
      <c r="B27" s="57" t="str">
        <f>IF('Modell-Kalibrierung'!B49=0," ",'Modell-Kalibrierung'!B49)</f>
        <v xml:space="preserve"> </v>
      </c>
      <c r="C27" s="21" t="str">
        <f>IF('Modell-Kalibrierung'!C49=0," ",'Modell-Kalibrierung'!C49)</f>
        <v xml:space="preserve"> </v>
      </c>
      <c r="D27" s="58"/>
      <c r="E27" s="117"/>
      <c r="F27" s="54" t="str">
        <f>IF(C27=" "," ",(VLOOKUP(C27,'Modell-Kalibrierung'!$H$28:$I$32,2,FALSE))*D27)</f>
        <v xml:space="preserve"> </v>
      </c>
      <c r="G27" s="36"/>
      <c r="H27" s="36"/>
    </row>
    <row r="28" spans="1:8" x14ac:dyDescent="0.2">
      <c r="A28" s="36"/>
      <c r="B28" s="57" t="str">
        <f>IF('Modell-Kalibrierung'!B50=0," ",'Modell-Kalibrierung'!B50)</f>
        <v xml:space="preserve"> </v>
      </c>
      <c r="C28" s="21" t="str">
        <f>IF('Modell-Kalibrierung'!C50=0," ",'Modell-Kalibrierung'!C50)</f>
        <v xml:space="preserve"> </v>
      </c>
      <c r="D28" s="58"/>
      <c r="E28" s="117"/>
      <c r="F28" s="54" t="str">
        <f>IF(C28=" "," ",(VLOOKUP(C28,'Modell-Kalibrierung'!$H$28:$I$32,2,FALSE))*D28)</f>
        <v xml:space="preserve"> </v>
      </c>
      <c r="G28" s="36"/>
      <c r="H28" s="36"/>
    </row>
    <row r="29" spans="1:8" x14ac:dyDescent="0.2">
      <c r="A29" s="36"/>
      <c r="B29" s="57" t="str">
        <f>IF('Modell-Kalibrierung'!B51=0," ",'Modell-Kalibrierung'!B51)</f>
        <v xml:space="preserve"> </v>
      </c>
      <c r="C29" s="21" t="str">
        <f>IF('Modell-Kalibrierung'!C51=0," ",'Modell-Kalibrierung'!C51)</f>
        <v xml:space="preserve"> </v>
      </c>
      <c r="D29" s="58"/>
      <c r="E29" s="117"/>
      <c r="F29" s="54" t="str">
        <f>IF(C29=" "," ",(VLOOKUP(C29,'Modell-Kalibrierung'!$H$28:$I$32,2,FALSE))*D29)</f>
        <v xml:space="preserve"> </v>
      </c>
      <c r="G29" s="36"/>
      <c r="H29" s="36"/>
    </row>
    <row r="30" spans="1:8" x14ac:dyDescent="0.2">
      <c r="A30" s="36"/>
      <c r="B30" s="57" t="str">
        <f>IF('Modell-Kalibrierung'!B52=0," ",'Modell-Kalibrierung'!B52)</f>
        <v xml:space="preserve"> </v>
      </c>
      <c r="C30" s="21" t="str">
        <f>IF('Modell-Kalibrierung'!C52=0," ",'Modell-Kalibrierung'!C52)</f>
        <v xml:space="preserve"> </v>
      </c>
      <c r="D30" s="58"/>
      <c r="E30" s="117"/>
      <c r="F30" s="54" t="str">
        <f>IF(C30=" "," ",(VLOOKUP(C30,'Modell-Kalibrierung'!$H$28:$I$32,2,FALSE))*D30)</f>
        <v xml:space="preserve"> </v>
      </c>
      <c r="G30" s="36"/>
      <c r="H30" s="36"/>
    </row>
    <row r="31" spans="1:8" x14ac:dyDescent="0.2">
      <c r="A31" s="36"/>
      <c r="B31" s="57" t="str">
        <f>IF('Modell-Kalibrierung'!B53=0," ",'Modell-Kalibrierung'!B53)</f>
        <v xml:space="preserve"> </v>
      </c>
      <c r="C31" s="21" t="str">
        <f>IF('Modell-Kalibrierung'!C53=0," ",'Modell-Kalibrierung'!C53)</f>
        <v xml:space="preserve"> </v>
      </c>
      <c r="D31" s="58"/>
      <c r="E31" s="117"/>
      <c r="F31" s="54" t="str">
        <f>IF(C31=" "," ",(VLOOKUP(C31,'Modell-Kalibrierung'!$H$28:$I$32,2,FALSE))*D31)</f>
        <v xml:space="preserve"> </v>
      </c>
      <c r="G31" s="36"/>
      <c r="H31" s="36"/>
    </row>
    <row r="32" spans="1:8" x14ac:dyDescent="0.2">
      <c r="A32" s="36"/>
      <c r="B32" s="57" t="str">
        <f>IF('Modell-Kalibrierung'!B54=0," ",'Modell-Kalibrierung'!B54)</f>
        <v xml:space="preserve"> </v>
      </c>
      <c r="C32" s="21" t="str">
        <f>IF('Modell-Kalibrierung'!C54=0," ",'Modell-Kalibrierung'!C54)</f>
        <v xml:space="preserve"> </v>
      </c>
      <c r="D32" s="58"/>
      <c r="E32" s="117"/>
      <c r="F32" s="54" t="str">
        <f>IF(C32=" "," ",(VLOOKUP(C32,'Modell-Kalibrierung'!$H$28:$I$32,2,FALSE))*D32)</f>
        <v xml:space="preserve"> </v>
      </c>
      <c r="G32" s="36"/>
      <c r="H32" s="36"/>
    </row>
    <row r="33" spans="1:8" x14ac:dyDescent="0.2">
      <c r="A33" s="36"/>
      <c r="B33" s="57" t="str">
        <f>IF('Modell-Kalibrierung'!B55=0," ",'Modell-Kalibrierung'!B55)</f>
        <v xml:space="preserve"> </v>
      </c>
      <c r="C33" s="21" t="str">
        <f>IF('Modell-Kalibrierung'!C55=0," ",'Modell-Kalibrierung'!C55)</f>
        <v xml:space="preserve"> </v>
      </c>
      <c r="D33" s="58"/>
      <c r="E33" s="117"/>
      <c r="F33" s="54" t="str">
        <f>IF(C33=" "," ",(VLOOKUP(C33,'Modell-Kalibrierung'!$H$28:$I$32,2,FALSE))*D33)</f>
        <v xml:space="preserve"> </v>
      </c>
      <c r="G33" s="36"/>
      <c r="H33" s="36"/>
    </row>
    <row r="34" spans="1:8" x14ac:dyDescent="0.2">
      <c r="A34" s="36"/>
      <c r="B34" s="57" t="str">
        <f>IF('Modell-Kalibrierung'!B56=0," ",'Modell-Kalibrierung'!B56)</f>
        <v xml:space="preserve"> </v>
      </c>
      <c r="C34" s="21" t="str">
        <f>IF('Modell-Kalibrierung'!C56=0," ",'Modell-Kalibrierung'!C56)</f>
        <v xml:space="preserve"> </v>
      </c>
      <c r="D34" s="58"/>
      <c r="E34" s="117"/>
      <c r="F34" s="54" t="str">
        <f>IF(C34=" "," ",(VLOOKUP(C34,'Modell-Kalibrierung'!$H$28:$I$32,2,FALSE))*D34)</f>
        <v xml:space="preserve"> </v>
      </c>
      <c r="G34" s="36"/>
      <c r="H34" s="36"/>
    </row>
    <row r="35" spans="1:8" x14ac:dyDescent="0.2">
      <c r="A35" s="36"/>
      <c r="B35" s="57" t="str">
        <f>IF('Modell-Kalibrierung'!B57=0," ",'Modell-Kalibrierung'!B57)</f>
        <v xml:space="preserve"> </v>
      </c>
      <c r="C35" s="21" t="str">
        <f>IF('Modell-Kalibrierung'!C57=0," ",'Modell-Kalibrierung'!C57)</f>
        <v xml:space="preserve"> </v>
      </c>
      <c r="D35" s="58"/>
      <c r="E35" s="117"/>
      <c r="F35" s="54" t="str">
        <f>IF(C35=" "," ",(VLOOKUP(C35,'Modell-Kalibrierung'!$H$28:$I$32,2,FALSE))*D35)</f>
        <v xml:space="preserve"> </v>
      </c>
      <c r="G35" s="36"/>
      <c r="H35" s="36"/>
    </row>
    <row r="36" spans="1:8" x14ac:dyDescent="0.2">
      <c r="A36" s="36"/>
      <c r="B36" s="57" t="str">
        <f>IF('Modell-Kalibrierung'!B58=0," ",'Modell-Kalibrierung'!B58)</f>
        <v xml:space="preserve"> </v>
      </c>
      <c r="C36" s="21" t="str">
        <f>IF('Modell-Kalibrierung'!C58=0," ",'Modell-Kalibrierung'!C58)</f>
        <v xml:space="preserve"> </v>
      </c>
      <c r="D36" s="58"/>
      <c r="E36" s="117"/>
      <c r="F36" s="54" t="str">
        <f>IF(C36=" "," ",(VLOOKUP(C36,'Modell-Kalibrierung'!$H$28:$I$32,2,FALSE))*D36)</f>
        <v xml:space="preserve"> </v>
      </c>
      <c r="G36" s="36"/>
      <c r="H36" s="36"/>
    </row>
    <row r="37" spans="1:8" x14ac:dyDescent="0.2">
      <c r="A37" s="36"/>
      <c r="B37" s="57" t="str">
        <f>IF('Modell-Kalibrierung'!B59=0," ",'Modell-Kalibrierung'!B59)</f>
        <v xml:space="preserve"> </v>
      </c>
      <c r="C37" s="21" t="str">
        <f>IF('Modell-Kalibrierung'!C59=0," ",'Modell-Kalibrierung'!C59)</f>
        <v xml:space="preserve"> </v>
      </c>
      <c r="D37" s="58"/>
      <c r="E37" s="117"/>
      <c r="F37" s="54" t="str">
        <f>IF(C37=" "," ",(VLOOKUP(C37,'Modell-Kalibrierung'!$H$28:$I$32,2,FALSE))*D37)</f>
        <v xml:space="preserve"> </v>
      </c>
      <c r="G37" s="36"/>
      <c r="H37" s="36"/>
    </row>
    <row r="38" spans="1:8" x14ac:dyDescent="0.2">
      <c r="A38" s="36"/>
      <c r="B38" s="57" t="str">
        <f>IF('Modell-Kalibrierung'!B60=0," ",'Modell-Kalibrierung'!B60)</f>
        <v xml:space="preserve"> </v>
      </c>
      <c r="C38" s="21" t="str">
        <f>IF('Modell-Kalibrierung'!C60=0," ",'Modell-Kalibrierung'!C60)</f>
        <v xml:space="preserve"> </v>
      </c>
      <c r="D38" s="58"/>
      <c r="E38" s="117"/>
      <c r="F38" s="54" t="str">
        <f>IF(C38=" "," ",(VLOOKUP(C38,'Modell-Kalibrierung'!$H$28:$I$32,2,FALSE))*D38)</f>
        <v xml:space="preserve"> </v>
      </c>
      <c r="G38" s="36"/>
      <c r="H38" s="36"/>
    </row>
    <row r="39" spans="1:8" x14ac:dyDescent="0.2">
      <c r="A39" s="36"/>
      <c r="B39" s="57" t="str">
        <f>IF('Modell-Kalibrierung'!B61=0," ",'Modell-Kalibrierung'!B61)</f>
        <v xml:space="preserve"> </v>
      </c>
      <c r="C39" s="21" t="str">
        <f>IF('Modell-Kalibrierung'!C61=0," ",'Modell-Kalibrierung'!C61)</f>
        <v xml:space="preserve"> </v>
      </c>
      <c r="D39" s="58"/>
      <c r="E39" s="117"/>
      <c r="F39" s="54" t="str">
        <f>IF(C39=" "," ",(VLOOKUP(C39,'Modell-Kalibrierung'!$H$28:$I$32,2,FALSE))*D39)</f>
        <v xml:space="preserve"> </v>
      </c>
      <c r="G39" s="36"/>
      <c r="H39" s="36"/>
    </row>
    <row r="40" spans="1:8" x14ac:dyDescent="0.2">
      <c r="A40" s="36"/>
      <c r="B40" s="57" t="str">
        <f>IF('Modell-Kalibrierung'!B62=0," ",'Modell-Kalibrierung'!B62)</f>
        <v xml:space="preserve"> </v>
      </c>
      <c r="C40" s="21" t="str">
        <f>IF('Modell-Kalibrierung'!C62=0," ",'Modell-Kalibrierung'!C62)</f>
        <v xml:space="preserve"> </v>
      </c>
      <c r="D40" s="58"/>
      <c r="E40" s="117"/>
      <c r="F40" s="54" t="str">
        <f>IF(C40=" "," ",(VLOOKUP(C40,'Modell-Kalibrierung'!$H$28:$I$32,2,FALSE))*D40)</f>
        <v xml:space="preserve"> </v>
      </c>
      <c r="G40" s="36"/>
      <c r="H40" s="36"/>
    </row>
    <row r="41" spans="1:8" x14ac:dyDescent="0.2">
      <c r="A41" s="36"/>
      <c r="B41" s="57" t="str">
        <f>IF('Modell-Kalibrierung'!B63=0," ",'Modell-Kalibrierung'!B63)</f>
        <v xml:space="preserve"> </v>
      </c>
      <c r="C41" s="21" t="str">
        <f>IF('Modell-Kalibrierung'!C63=0," ",'Modell-Kalibrierung'!C63)</f>
        <v xml:space="preserve"> </v>
      </c>
      <c r="D41" s="58"/>
      <c r="E41" s="117"/>
      <c r="F41" s="54" t="str">
        <f>IF(C41=" "," ",(VLOOKUP(C41,'Modell-Kalibrierung'!$H$28:$I$32,2,FALSE))*D41)</f>
        <v xml:space="preserve"> </v>
      </c>
      <c r="G41" s="36"/>
      <c r="H41" s="36"/>
    </row>
    <row r="42" spans="1:8" x14ac:dyDescent="0.2">
      <c r="A42" s="36"/>
      <c r="B42" s="57" t="str">
        <f>IF('Modell-Kalibrierung'!B64=0," ",'Modell-Kalibrierung'!B64)</f>
        <v xml:space="preserve"> </v>
      </c>
      <c r="C42" s="21" t="str">
        <f>IF('Modell-Kalibrierung'!C64=0," ",'Modell-Kalibrierung'!C64)</f>
        <v xml:space="preserve"> </v>
      </c>
      <c r="D42" s="58"/>
      <c r="E42" s="117"/>
      <c r="F42" s="54" t="str">
        <f>IF(C42=" "," ",(VLOOKUP(C42,'Modell-Kalibrierung'!$H$28:$I$32,2,FALSE))*D42)</f>
        <v xml:space="preserve"> </v>
      </c>
      <c r="G42" s="36"/>
      <c r="H42" s="36"/>
    </row>
    <row r="43" spans="1:8" x14ac:dyDescent="0.2">
      <c r="A43" s="36"/>
      <c r="B43" s="57" t="str">
        <f>IF('Modell-Kalibrierung'!B65=0," ",'Modell-Kalibrierung'!B65)</f>
        <v xml:space="preserve"> </v>
      </c>
      <c r="C43" s="21" t="str">
        <f>IF('Modell-Kalibrierung'!C65=0," ",'Modell-Kalibrierung'!C65)</f>
        <v xml:space="preserve"> </v>
      </c>
      <c r="D43" s="58"/>
      <c r="E43" s="117"/>
      <c r="F43" s="54" t="str">
        <f>IF(C43=" "," ",(VLOOKUP(C43,'Modell-Kalibrierung'!$H$28:$I$32,2,FALSE))*D43)</f>
        <v xml:space="preserve"> </v>
      </c>
      <c r="G43" s="36"/>
      <c r="H43" s="36"/>
    </row>
    <row r="44" spans="1:8" x14ac:dyDescent="0.2">
      <c r="A44" s="36"/>
      <c r="B44" s="57" t="str">
        <f>IF('Modell-Kalibrierung'!B66=0," ",'Modell-Kalibrierung'!B66)</f>
        <v xml:space="preserve"> </v>
      </c>
      <c r="C44" s="21" t="str">
        <f>IF('Modell-Kalibrierung'!C66=0," ",'Modell-Kalibrierung'!C66)</f>
        <v xml:space="preserve"> </v>
      </c>
      <c r="D44" s="58"/>
      <c r="E44" s="117"/>
      <c r="F44" s="54" t="str">
        <f>IF(C44=" "," ",(VLOOKUP(C44,'Modell-Kalibrierung'!$H$28:$I$32,2,FALSE))*D44)</f>
        <v xml:space="preserve"> </v>
      </c>
      <c r="G44" s="36"/>
      <c r="H44" s="36"/>
    </row>
    <row r="45" spans="1:8" x14ac:dyDescent="0.2">
      <c r="A45" s="36"/>
      <c r="B45" s="57" t="str">
        <f>IF('Modell-Kalibrierung'!B67=0," ",'Modell-Kalibrierung'!B67)</f>
        <v xml:space="preserve"> </v>
      </c>
      <c r="C45" s="21" t="str">
        <f>IF('Modell-Kalibrierung'!C67=0," ",'Modell-Kalibrierung'!C67)</f>
        <v xml:space="preserve"> </v>
      </c>
      <c r="D45" s="58"/>
      <c r="E45" s="117"/>
      <c r="F45" s="54" t="str">
        <f>IF(C45=" "," ",(VLOOKUP(C45,'Modell-Kalibrierung'!$H$28:$I$32,2,FALSE))*D45)</f>
        <v xml:space="preserve"> </v>
      </c>
      <c r="G45" s="36"/>
      <c r="H45" s="36"/>
    </row>
    <row r="46" spans="1:8" x14ac:dyDescent="0.2">
      <c r="A46" s="36"/>
      <c r="B46" s="57" t="str">
        <f>IF('Modell-Kalibrierung'!B68=0," ",'Modell-Kalibrierung'!B68)</f>
        <v xml:space="preserve"> </v>
      </c>
      <c r="C46" s="21" t="str">
        <f>IF('Modell-Kalibrierung'!C68=0," ",'Modell-Kalibrierung'!C68)</f>
        <v xml:space="preserve"> </v>
      </c>
      <c r="D46" s="58"/>
      <c r="E46" s="117"/>
      <c r="F46" s="54" t="str">
        <f>IF(C46=" "," ",(VLOOKUP(C46,'Modell-Kalibrierung'!$H$28:$I$32,2,FALSE))*D46)</f>
        <v xml:space="preserve"> </v>
      </c>
      <c r="G46" s="36"/>
      <c r="H46" s="36"/>
    </row>
    <row r="47" spans="1:8" x14ac:dyDescent="0.2">
      <c r="A47" s="36"/>
      <c r="B47" s="57" t="str">
        <f>IF('Modell-Kalibrierung'!B69=0," ",'Modell-Kalibrierung'!B69)</f>
        <v xml:space="preserve"> </v>
      </c>
      <c r="C47" s="21" t="str">
        <f>IF('Modell-Kalibrierung'!C69=0," ",'Modell-Kalibrierung'!C69)</f>
        <v xml:space="preserve"> </v>
      </c>
      <c r="D47" s="58"/>
      <c r="E47" s="117"/>
      <c r="F47" s="54" t="str">
        <f>IF(C47=" "," ",(VLOOKUP(C47,'Modell-Kalibrierung'!$H$28:$I$32,2,FALSE))*D47)</f>
        <v xml:space="preserve"> </v>
      </c>
      <c r="G47" s="36"/>
      <c r="H47" s="36"/>
    </row>
    <row r="48" spans="1:8" x14ac:dyDescent="0.2">
      <c r="A48" s="36"/>
      <c r="B48" s="57" t="str">
        <f>IF('Modell-Kalibrierung'!B70=0," ",'Modell-Kalibrierung'!B70)</f>
        <v xml:space="preserve"> </v>
      </c>
      <c r="C48" s="21" t="str">
        <f>IF('Modell-Kalibrierung'!C70=0," ",'Modell-Kalibrierung'!C70)</f>
        <v xml:space="preserve"> </v>
      </c>
      <c r="D48" s="58"/>
      <c r="E48" s="117"/>
      <c r="F48" s="54" t="str">
        <f>IF(C48=" "," ",(VLOOKUP(C48,'Modell-Kalibrierung'!$H$28:$I$32,2,FALSE))*D48)</f>
        <v xml:space="preserve"> </v>
      </c>
      <c r="G48" s="36"/>
      <c r="H48" s="36"/>
    </row>
    <row r="49" spans="1:8" x14ac:dyDescent="0.2">
      <c r="A49" s="36"/>
      <c r="B49" s="57" t="str">
        <f>IF('Modell-Kalibrierung'!B71=0," ",'Modell-Kalibrierung'!B71)</f>
        <v xml:space="preserve"> </v>
      </c>
      <c r="C49" s="21" t="str">
        <f>IF('Modell-Kalibrierung'!C71=0," ",'Modell-Kalibrierung'!C71)</f>
        <v xml:space="preserve"> </v>
      </c>
      <c r="D49" s="58"/>
      <c r="E49" s="117"/>
      <c r="F49" s="54" t="str">
        <f>IF(C49=" "," ",(VLOOKUP(C49,'Modell-Kalibrierung'!$H$28:$I$32,2,FALSE))*D49)</f>
        <v xml:space="preserve"> </v>
      </c>
      <c r="G49" s="36"/>
      <c r="H49" s="36"/>
    </row>
    <row r="50" spans="1:8" x14ac:dyDescent="0.2">
      <c r="A50" s="36"/>
      <c r="B50" s="57" t="str">
        <f>IF('Modell-Kalibrierung'!B72=0," ",'Modell-Kalibrierung'!B72)</f>
        <v xml:space="preserve"> </v>
      </c>
      <c r="C50" s="21" t="str">
        <f>IF('Modell-Kalibrierung'!C72=0," ",'Modell-Kalibrierung'!C72)</f>
        <v xml:space="preserve"> </v>
      </c>
      <c r="D50" s="58"/>
      <c r="E50" s="117"/>
      <c r="F50" s="54" t="str">
        <f>IF(C50=" "," ",(VLOOKUP(C50,'Modell-Kalibrierung'!$H$28:$I$32,2,FALSE))*D50)</f>
        <v xml:space="preserve"> </v>
      </c>
      <c r="G50" s="36"/>
      <c r="H50" s="36"/>
    </row>
    <row r="51" spans="1:8" x14ac:dyDescent="0.2">
      <c r="A51" s="36"/>
      <c r="B51" s="57" t="str">
        <f>IF('Modell-Kalibrierung'!B73=0," ",'Modell-Kalibrierung'!B73)</f>
        <v xml:space="preserve"> </v>
      </c>
      <c r="C51" s="21" t="str">
        <f>IF('Modell-Kalibrierung'!C73=0," ",'Modell-Kalibrierung'!C73)</f>
        <v xml:space="preserve"> </v>
      </c>
      <c r="D51" s="58"/>
      <c r="E51" s="117"/>
      <c r="F51" s="54" t="str">
        <f>IF(C51=" "," ",(VLOOKUP(C51,'Modell-Kalibrierung'!$H$28:$I$32,2,FALSE))*D51)</f>
        <v xml:space="preserve"> </v>
      </c>
      <c r="G51" s="36"/>
      <c r="H51" s="36"/>
    </row>
    <row r="52" spans="1:8" x14ac:dyDescent="0.2">
      <c r="A52" s="36"/>
      <c r="B52" s="57" t="str">
        <f>IF('Modell-Kalibrierung'!B74=0," ",'Modell-Kalibrierung'!B74)</f>
        <v xml:space="preserve"> </v>
      </c>
      <c r="C52" s="21" t="str">
        <f>IF('Modell-Kalibrierung'!C74=0," ",'Modell-Kalibrierung'!C74)</f>
        <v xml:space="preserve"> </v>
      </c>
      <c r="D52" s="58"/>
      <c r="E52" s="117"/>
      <c r="F52" s="54" t="str">
        <f>IF(C52=" "," ",(VLOOKUP(C52,'Modell-Kalibrierung'!$H$28:$I$32,2,FALSE))*D52)</f>
        <v xml:space="preserve"> </v>
      </c>
      <c r="G52" s="36"/>
      <c r="H52" s="36"/>
    </row>
    <row r="53" spans="1:8" x14ac:dyDescent="0.2">
      <c r="A53" s="36"/>
      <c r="B53" s="57" t="str">
        <f>IF('Modell-Kalibrierung'!B75=0," ",'Modell-Kalibrierung'!B75)</f>
        <v xml:space="preserve"> </v>
      </c>
      <c r="C53" s="21" t="str">
        <f>IF('Modell-Kalibrierung'!C75=0," ",'Modell-Kalibrierung'!C75)</f>
        <v xml:space="preserve"> </v>
      </c>
      <c r="D53" s="59"/>
      <c r="E53" s="117"/>
      <c r="F53" s="54" t="str">
        <f>IF(C53=" "," ",(VLOOKUP(C53,'Modell-Kalibrierung'!$H$28:$I$32,2,FALSE))*D53)</f>
        <v xml:space="preserve"> </v>
      </c>
      <c r="G53" s="36"/>
      <c r="H53" s="36"/>
    </row>
    <row r="54" spans="1:8" x14ac:dyDescent="0.2">
      <c r="A54" s="36"/>
      <c r="B54" s="57" t="str">
        <f>IF('Modell-Kalibrierung'!B76=0," ",'Modell-Kalibrierung'!B76)</f>
        <v xml:space="preserve"> </v>
      </c>
      <c r="C54" s="21" t="str">
        <f>IF('Modell-Kalibrierung'!C76=0," ",'Modell-Kalibrierung'!C76)</f>
        <v xml:space="preserve"> </v>
      </c>
      <c r="D54" s="59"/>
      <c r="E54" s="117"/>
      <c r="F54" s="54" t="str">
        <f>IF(C54=" "," ",(VLOOKUP(C54,'Modell-Kalibrierung'!$H$28:$I$32,2,FALSE))*D54)</f>
        <v xml:space="preserve"> </v>
      </c>
      <c r="G54" s="36"/>
      <c r="H54" s="36"/>
    </row>
    <row r="55" spans="1:8" x14ac:dyDescent="0.2">
      <c r="A55" s="36"/>
      <c r="B55" s="57" t="str">
        <f>IF('Modell-Kalibrierung'!B77=0," ",'Modell-Kalibrierung'!B77)</f>
        <v xml:space="preserve"> </v>
      </c>
      <c r="C55" s="21" t="str">
        <f>IF('Modell-Kalibrierung'!C77=0," ",'Modell-Kalibrierung'!C77)</f>
        <v xml:space="preserve"> </v>
      </c>
      <c r="D55" s="59"/>
      <c r="E55" s="117"/>
      <c r="F55" s="54" t="str">
        <f>IF(C55=" "," ",(VLOOKUP(C55,'Modell-Kalibrierung'!$H$28:$I$32,2,FALSE))*D55)</f>
        <v xml:space="preserve"> </v>
      </c>
      <c r="G55" s="36"/>
      <c r="H55" s="36"/>
    </row>
    <row r="56" spans="1:8" x14ac:dyDescent="0.2">
      <c r="A56" s="36"/>
      <c r="B56" s="57" t="str">
        <f>IF('Modell-Kalibrierung'!B78=0," ",'Modell-Kalibrierung'!B78)</f>
        <v xml:space="preserve"> </v>
      </c>
      <c r="C56" s="21" t="str">
        <f>IF('Modell-Kalibrierung'!C78=0," ",'Modell-Kalibrierung'!C78)</f>
        <v xml:space="preserve"> </v>
      </c>
      <c r="D56" s="59"/>
      <c r="E56" s="117"/>
      <c r="F56" s="54" t="str">
        <f>IF(C56=" "," ",(VLOOKUP(C56,'Modell-Kalibrierung'!$H$28:$I$32,2,FALSE))*D56)</f>
        <v xml:space="preserve"> </v>
      </c>
      <c r="G56" s="36"/>
      <c r="H56" s="36"/>
    </row>
    <row r="57" spans="1:8" x14ac:dyDescent="0.2">
      <c r="A57" s="36"/>
      <c r="B57" s="57" t="str">
        <f>IF('Modell-Kalibrierung'!B79=0," ",'Modell-Kalibrierung'!B79)</f>
        <v xml:space="preserve"> </v>
      </c>
      <c r="C57" s="21" t="str">
        <f>IF('Modell-Kalibrierung'!C79=0," ",'Modell-Kalibrierung'!C79)</f>
        <v xml:space="preserve"> </v>
      </c>
      <c r="D57" s="59"/>
      <c r="E57" s="117"/>
      <c r="F57" s="54" t="str">
        <f>IF(C57=" "," ",(VLOOKUP(C57,'Modell-Kalibrierung'!$H$28:$I$32,2,FALSE))*D57)</f>
        <v xml:space="preserve"> </v>
      </c>
      <c r="G57" s="36"/>
      <c r="H57" s="36"/>
    </row>
    <row r="58" spans="1:8" x14ac:dyDescent="0.2">
      <c r="A58" s="36"/>
      <c r="B58" s="57" t="str">
        <f>IF('Modell-Kalibrierung'!B80=0," ",'Modell-Kalibrierung'!B80)</f>
        <v xml:space="preserve"> </v>
      </c>
      <c r="C58" s="21" t="str">
        <f>IF('Modell-Kalibrierung'!C80=0," ",'Modell-Kalibrierung'!C80)</f>
        <v xml:space="preserve"> </v>
      </c>
      <c r="D58" s="59"/>
      <c r="E58" s="117"/>
      <c r="F58" s="54" t="str">
        <f>IF(C58=" "," ",(VLOOKUP(C58,'Modell-Kalibrierung'!$H$28:$I$32,2,FALSE))*D58)</f>
        <v xml:space="preserve"> </v>
      </c>
      <c r="G58" s="36"/>
      <c r="H58" s="36"/>
    </row>
    <row r="59" spans="1:8" x14ac:dyDescent="0.2">
      <c r="A59" s="36"/>
      <c r="B59" s="57" t="str">
        <f>IF('Modell-Kalibrierung'!B81=0," ",'Modell-Kalibrierung'!B81)</f>
        <v xml:space="preserve"> </v>
      </c>
      <c r="C59" s="21" t="str">
        <f>IF('Modell-Kalibrierung'!C81=0," ",'Modell-Kalibrierung'!C81)</f>
        <v xml:space="preserve"> </v>
      </c>
      <c r="D59" s="59"/>
      <c r="E59" s="117"/>
      <c r="F59" s="54" t="str">
        <f>IF(C59=" "," ",(VLOOKUP(C59,'Modell-Kalibrierung'!$H$28:$I$32,2,FALSE))*D59)</f>
        <v xml:space="preserve"> </v>
      </c>
      <c r="G59" s="36"/>
      <c r="H59" s="36"/>
    </row>
    <row r="60" spans="1:8" x14ac:dyDescent="0.2">
      <c r="A60" s="36"/>
      <c r="B60" s="57" t="str">
        <f>IF('Modell-Kalibrierung'!B82=0," ",'Modell-Kalibrierung'!B82)</f>
        <v xml:space="preserve"> </v>
      </c>
      <c r="C60" s="21" t="str">
        <f>IF('Modell-Kalibrierung'!C82=0," ",'Modell-Kalibrierung'!C82)</f>
        <v xml:space="preserve"> </v>
      </c>
      <c r="D60" s="59"/>
      <c r="E60" s="117"/>
      <c r="F60" s="54" t="str">
        <f>IF(C60=" "," ",(VLOOKUP(C60,'Modell-Kalibrierung'!$H$28:$I$32,2,FALSE))*D60)</f>
        <v xml:space="preserve"> </v>
      </c>
      <c r="G60" s="36"/>
      <c r="H60" s="36"/>
    </row>
    <row r="61" spans="1:8" x14ac:dyDescent="0.2">
      <c r="A61" s="36"/>
      <c r="B61" s="57" t="str">
        <f>IF('Modell-Kalibrierung'!B83=0," ",'Modell-Kalibrierung'!B83)</f>
        <v xml:space="preserve"> </v>
      </c>
      <c r="C61" s="21" t="str">
        <f>IF('Modell-Kalibrierung'!C83=0," ",'Modell-Kalibrierung'!C83)</f>
        <v xml:space="preserve"> </v>
      </c>
      <c r="D61" s="59"/>
      <c r="E61" s="117"/>
      <c r="F61" s="54" t="str">
        <f>IF(C61=" "," ",(VLOOKUP(C61,'Modell-Kalibrierung'!$H$28:$I$32,2,FALSE))*D61)</f>
        <v xml:space="preserve"> </v>
      </c>
      <c r="G61" s="36"/>
      <c r="H61" s="36"/>
    </row>
    <row r="62" spans="1:8" x14ac:dyDescent="0.2">
      <c r="A62" s="36"/>
      <c r="B62" s="57" t="str">
        <f>IF('Modell-Kalibrierung'!B84=0," ",'Modell-Kalibrierung'!B84)</f>
        <v xml:space="preserve"> </v>
      </c>
      <c r="C62" s="21" t="str">
        <f>IF('Modell-Kalibrierung'!C84=0," ",'Modell-Kalibrierung'!C84)</f>
        <v xml:space="preserve"> </v>
      </c>
      <c r="D62" s="59"/>
      <c r="E62" s="117"/>
      <c r="F62" s="54" t="str">
        <f>IF(C62=" "," ",(VLOOKUP(C62,'Modell-Kalibrierung'!$H$28:$I$32,2,FALSE))*D62)</f>
        <v xml:space="preserve"> </v>
      </c>
      <c r="G62" s="36"/>
      <c r="H62" s="36"/>
    </row>
    <row r="63" spans="1:8" x14ac:dyDescent="0.2">
      <c r="A63" s="36"/>
      <c r="B63" s="57" t="str">
        <f>IF('Modell-Kalibrierung'!B85=0," ",'Modell-Kalibrierung'!B85)</f>
        <v xml:space="preserve"> </v>
      </c>
      <c r="C63" s="21" t="str">
        <f>IF('Modell-Kalibrierung'!C85=0," ",'Modell-Kalibrierung'!C85)</f>
        <v xml:space="preserve"> </v>
      </c>
      <c r="D63" s="59"/>
      <c r="E63" s="117"/>
      <c r="F63" s="54" t="str">
        <f>IF(C63=" "," ",(VLOOKUP(C63,'Modell-Kalibrierung'!$H$28:$I$32,2,FALSE))*D63)</f>
        <v xml:space="preserve"> </v>
      </c>
      <c r="G63" s="36"/>
      <c r="H63" s="36"/>
    </row>
    <row r="64" spans="1:8" x14ac:dyDescent="0.2">
      <c r="A64" s="36"/>
      <c r="B64" s="57" t="str">
        <f>IF('Modell-Kalibrierung'!B86=0," ",'Modell-Kalibrierung'!B86)</f>
        <v xml:space="preserve"> </v>
      </c>
      <c r="C64" s="21" t="str">
        <f>IF('Modell-Kalibrierung'!C86=0," ",'Modell-Kalibrierung'!C86)</f>
        <v xml:space="preserve"> </v>
      </c>
      <c r="D64" s="59"/>
      <c r="E64" s="117"/>
      <c r="F64" s="54" t="str">
        <f>IF(C64=" "," ",(VLOOKUP(C64,'Modell-Kalibrierung'!$H$28:$I$32,2,FALSE))*D64)</f>
        <v xml:space="preserve"> </v>
      </c>
      <c r="G64" s="36"/>
      <c r="H64" s="36"/>
    </row>
    <row r="65" spans="1:8" x14ac:dyDescent="0.2">
      <c r="A65" s="36"/>
      <c r="B65" s="57" t="str">
        <f>IF('Modell-Kalibrierung'!B87=0," ",'Modell-Kalibrierung'!B87)</f>
        <v xml:space="preserve"> </v>
      </c>
      <c r="C65" s="21" t="str">
        <f>IF('Modell-Kalibrierung'!C87=0," ",'Modell-Kalibrierung'!C87)</f>
        <v xml:space="preserve"> </v>
      </c>
      <c r="D65" s="59"/>
      <c r="E65" s="117"/>
      <c r="F65" s="54" t="str">
        <f>IF(C65=" "," ",(VLOOKUP(C65,'Modell-Kalibrierung'!$H$28:$I$32,2,FALSE))*D65)</f>
        <v xml:space="preserve"> </v>
      </c>
      <c r="G65" s="36"/>
      <c r="H65" s="36"/>
    </row>
    <row r="66" spans="1:8" x14ac:dyDescent="0.2">
      <c r="A66" s="36"/>
      <c r="B66" s="57" t="str">
        <f>IF('Modell-Kalibrierung'!B88=0," ",'Modell-Kalibrierung'!B88)</f>
        <v xml:space="preserve"> </v>
      </c>
      <c r="C66" s="21" t="str">
        <f>IF('Modell-Kalibrierung'!C88=0," ",'Modell-Kalibrierung'!C88)</f>
        <v xml:space="preserve"> </v>
      </c>
      <c r="D66" s="59"/>
      <c r="E66" s="117"/>
      <c r="F66" s="54" t="str">
        <f>IF(C66=" "," ",(VLOOKUP(C66,'Modell-Kalibrierung'!$H$28:$I$32,2,FALSE))*D66)</f>
        <v xml:space="preserve"> </v>
      </c>
      <c r="G66" s="36"/>
      <c r="H66" s="36"/>
    </row>
    <row r="67" spans="1:8" x14ac:dyDescent="0.2">
      <c r="A67" s="36"/>
      <c r="B67" s="57" t="str">
        <f>IF('Modell-Kalibrierung'!B89=0," ",'Modell-Kalibrierung'!B89)</f>
        <v xml:space="preserve"> </v>
      </c>
      <c r="C67" s="21" t="str">
        <f>IF('Modell-Kalibrierung'!C89=0," ",'Modell-Kalibrierung'!C89)</f>
        <v xml:space="preserve"> </v>
      </c>
      <c r="D67" s="59"/>
      <c r="E67" s="117"/>
      <c r="F67" s="54" t="str">
        <f>IF(C67=" "," ",(VLOOKUP(C67,'Modell-Kalibrierung'!$H$28:$I$32,2,FALSE))*D67)</f>
        <v xml:space="preserve"> </v>
      </c>
      <c r="G67" s="36"/>
      <c r="H67" s="36"/>
    </row>
    <row r="68" spans="1:8" x14ac:dyDescent="0.2">
      <c r="A68" s="36"/>
      <c r="B68" s="57" t="str">
        <f>IF('Modell-Kalibrierung'!B90=0," ",'Modell-Kalibrierung'!B90)</f>
        <v xml:space="preserve"> </v>
      </c>
      <c r="C68" s="21" t="str">
        <f>IF('Modell-Kalibrierung'!C90=0," ",'Modell-Kalibrierung'!C90)</f>
        <v xml:space="preserve"> </v>
      </c>
      <c r="D68" s="59"/>
      <c r="E68" s="117"/>
      <c r="F68" s="54" t="str">
        <f>IF(C68=" "," ",(VLOOKUP(C68,'Modell-Kalibrierung'!$H$28:$I$32,2,FALSE))*D68)</f>
        <v xml:space="preserve"> </v>
      </c>
      <c r="G68" s="36"/>
      <c r="H68" s="36"/>
    </row>
    <row r="69" spans="1:8" x14ac:dyDescent="0.2">
      <c r="A69" s="36"/>
      <c r="B69" s="57" t="str">
        <f>IF('Modell-Kalibrierung'!B91=0," ",'Modell-Kalibrierung'!B91)</f>
        <v xml:space="preserve"> </v>
      </c>
      <c r="C69" s="21" t="str">
        <f>IF('Modell-Kalibrierung'!C91=0," ",'Modell-Kalibrierung'!C91)</f>
        <v xml:space="preserve"> </v>
      </c>
      <c r="D69" s="59"/>
      <c r="E69" s="117"/>
      <c r="F69" s="54" t="str">
        <f>IF(C69=" "," ",(VLOOKUP(C69,'Modell-Kalibrierung'!$H$28:$I$32,2,FALSE))*D69)</f>
        <v xml:space="preserve"> </v>
      </c>
      <c r="G69" s="36"/>
      <c r="H69" s="36"/>
    </row>
    <row r="70" spans="1:8" x14ac:dyDescent="0.2">
      <c r="A70" s="36"/>
      <c r="B70" s="57" t="str">
        <f>IF('Modell-Kalibrierung'!B92=0," ",'Modell-Kalibrierung'!B92)</f>
        <v xml:space="preserve"> </v>
      </c>
      <c r="C70" s="21" t="str">
        <f>IF('Modell-Kalibrierung'!C92=0," ",'Modell-Kalibrierung'!C92)</f>
        <v xml:space="preserve"> </v>
      </c>
      <c r="D70" s="59"/>
      <c r="E70" s="117"/>
      <c r="F70" s="54" t="str">
        <f>IF(C70=" "," ",(VLOOKUP(C70,'Modell-Kalibrierung'!$H$28:$I$32,2,FALSE))*D70)</f>
        <v xml:space="preserve"> </v>
      </c>
      <c r="G70" s="36"/>
      <c r="H70" s="36"/>
    </row>
    <row r="71" spans="1:8" x14ac:dyDescent="0.2">
      <c r="A71" s="36"/>
      <c r="B71" s="57" t="str">
        <f>IF('Modell-Kalibrierung'!B93=0," ",'Modell-Kalibrierung'!B93)</f>
        <v xml:space="preserve"> </v>
      </c>
      <c r="C71" s="21" t="str">
        <f>IF('Modell-Kalibrierung'!C93=0," ",'Modell-Kalibrierung'!C93)</f>
        <v xml:space="preserve"> </v>
      </c>
      <c r="D71" s="59"/>
      <c r="E71" s="117"/>
      <c r="F71" s="54" t="str">
        <f>IF(C71=" "," ",(VLOOKUP(C71,'Modell-Kalibrierung'!$H$28:$I$32,2,FALSE))*D71)</f>
        <v xml:space="preserve"> </v>
      </c>
      <c r="G71" s="36"/>
      <c r="H71" s="36"/>
    </row>
    <row r="72" spans="1:8" x14ac:dyDescent="0.2">
      <c r="A72" s="36"/>
      <c r="B72" s="57" t="str">
        <f>IF('Modell-Kalibrierung'!B94=0," ",'Modell-Kalibrierung'!B94)</f>
        <v xml:space="preserve"> </v>
      </c>
      <c r="C72" s="21" t="str">
        <f>IF('Modell-Kalibrierung'!C94=0," ",'Modell-Kalibrierung'!C94)</f>
        <v xml:space="preserve"> </v>
      </c>
      <c r="D72" s="59"/>
      <c r="E72" s="117"/>
      <c r="F72" s="54" t="str">
        <f>IF(C72=" "," ",(VLOOKUP(C72,'Modell-Kalibrierung'!$H$28:$I$32,2,FALSE))*D72)</f>
        <v xml:space="preserve"> </v>
      </c>
      <c r="G72" s="36"/>
      <c r="H72" s="36"/>
    </row>
    <row r="73" spans="1:8" x14ac:dyDescent="0.2">
      <c r="A73" s="36"/>
      <c r="B73" s="57" t="str">
        <f>IF('Modell-Kalibrierung'!B95=0," ",'Modell-Kalibrierung'!B95)</f>
        <v xml:space="preserve"> </v>
      </c>
      <c r="C73" s="21" t="str">
        <f>IF('Modell-Kalibrierung'!C95=0," ",'Modell-Kalibrierung'!C95)</f>
        <v xml:space="preserve"> </v>
      </c>
      <c r="D73" s="59"/>
      <c r="E73" s="117"/>
      <c r="F73" s="54" t="str">
        <f>IF(C73=" "," ",(VLOOKUP(C73,'Modell-Kalibrierung'!$H$28:$I$32,2,FALSE))*D73)</f>
        <v xml:space="preserve"> </v>
      </c>
      <c r="G73" s="36"/>
      <c r="H73" s="36"/>
    </row>
    <row r="74" spans="1:8" x14ac:dyDescent="0.2">
      <c r="A74" s="36"/>
      <c r="B74" s="57" t="str">
        <f>IF('Modell-Kalibrierung'!B96=0," ",'Modell-Kalibrierung'!B96)</f>
        <v xml:space="preserve"> </v>
      </c>
      <c r="C74" s="21" t="str">
        <f>IF('Modell-Kalibrierung'!C96=0," ",'Modell-Kalibrierung'!C96)</f>
        <v xml:space="preserve"> </v>
      </c>
      <c r="D74" s="59"/>
      <c r="E74" s="117"/>
      <c r="F74" s="54" t="str">
        <f>IF(C74=" "," ",(VLOOKUP(C74,'Modell-Kalibrierung'!$H$28:$I$32,2,FALSE))*D74)</f>
        <v xml:space="preserve"> </v>
      </c>
      <c r="G74" s="36"/>
      <c r="H74" s="36"/>
    </row>
    <row r="75" spans="1:8" x14ac:dyDescent="0.2">
      <c r="A75" s="36"/>
      <c r="B75" s="57" t="str">
        <f>IF('Modell-Kalibrierung'!B97=0," ",'Modell-Kalibrierung'!B97)</f>
        <v xml:space="preserve"> </v>
      </c>
      <c r="C75" s="21" t="str">
        <f>IF('Modell-Kalibrierung'!C97=0," ",'Modell-Kalibrierung'!C97)</f>
        <v xml:space="preserve"> </v>
      </c>
      <c r="D75" s="59"/>
      <c r="E75" s="117"/>
      <c r="F75" s="54" t="str">
        <f>IF(C75=" "," ",(VLOOKUP(C75,'Modell-Kalibrierung'!$H$28:$I$32,2,FALSE))*D75)</f>
        <v xml:space="preserve"> </v>
      </c>
      <c r="G75" s="36"/>
      <c r="H75" s="36"/>
    </row>
    <row r="76" spans="1:8" x14ac:dyDescent="0.2">
      <c r="A76" s="36"/>
      <c r="B76" s="57" t="str">
        <f>IF('Modell-Kalibrierung'!B98=0," ",'Modell-Kalibrierung'!B98)</f>
        <v xml:space="preserve"> </v>
      </c>
      <c r="C76" s="21" t="str">
        <f>IF('Modell-Kalibrierung'!C98=0," ",'Modell-Kalibrierung'!C98)</f>
        <v xml:space="preserve"> </v>
      </c>
      <c r="D76" s="59"/>
      <c r="E76" s="117"/>
      <c r="F76" s="54" t="str">
        <f>IF(C76=" "," ",(VLOOKUP(C76,'Modell-Kalibrierung'!$H$28:$I$32,2,FALSE))*D76)</f>
        <v xml:space="preserve"> </v>
      </c>
      <c r="G76" s="36"/>
      <c r="H76" s="36"/>
    </row>
    <row r="77" spans="1:8" x14ac:dyDescent="0.2">
      <c r="A77" s="36"/>
      <c r="B77" s="57" t="str">
        <f>IF('Modell-Kalibrierung'!B99=0," ",'Modell-Kalibrierung'!B99)</f>
        <v xml:space="preserve"> </v>
      </c>
      <c r="C77" s="21" t="str">
        <f>IF('Modell-Kalibrierung'!C99=0," ",'Modell-Kalibrierung'!C99)</f>
        <v xml:space="preserve"> </v>
      </c>
      <c r="D77" s="59"/>
      <c r="E77" s="117"/>
      <c r="F77" s="54" t="str">
        <f>IF(C77=" "," ",(VLOOKUP(C77,'Modell-Kalibrierung'!$H$28:$I$32,2,FALSE))*D77)</f>
        <v xml:space="preserve"> </v>
      </c>
      <c r="G77" s="36"/>
      <c r="H77" s="36"/>
    </row>
    <row r="78" spans="1:8" x14ac:dyDescent="0.2">
      <c r="A78" s="36"/>
      <c r="B78" s="57" t="str">
        <f>IF('Modell-Kalibrierung'!B100=0," ",'Modell-Kalibrierung'!B100)</f>
        <v xml:space="preserve"> </v>
      </c>
      <c r="C78" s="21" t="str">
        <f>IF('Modell-Kalibrierung'!C100=0," ",'Modell-Kalibrierung'!C100)</f>
        <v xml:space="preserve"> </v>
      </c>
      <c r="D78" s="59"/>
      <c r="E78" s="117"/>
      <c r="F78" s="54" t="str">
        <f>IF(C78=" "," ",(VLOOKUP(C78,'Modell-Kalibrierung'!$H$28:$I$32,2,FALSE))*D78)</f>
        <v xml:space="preserve"> </v>
      </c>
      <c r="G78" s="36"/>
      <c r="H78" s="36"/>
    </row>
    <row r="79" spans="1:8" x14ac:dyDescent="0.2">
      <c r="A79" s="36"/>
      <c r="B79" s="57" t="str">
        <f>IF('Modell-Kalibrierung'!B101=0," ",'Modell-Kalibrierung'!B101)</f>
        <v xml:space="preserve"> </v>
      </c>
      <c r="C79" s="21" t="str">
        <f>IF('Modell-Kalibrierung'!C101=0," ",'Modell-Kalibrierung'!C101)</f>
        <v xml:space="preserve"> </v>
      </c>
      <c r="D79" s="59"/>
      <c r="E79" s="117"/>
      <c r="F79" s="54" t="str">
        <f>IF(C79=" "," ",(VLOOKUP(C79,'Modell-Kalibrierung'!$H$28:$I$32,2,FALSE))*D79)</f>
        <v xml:space="preserve"> </v>
      </c>
      <c r="G79" s="36"/>
      <c r="H79" s="36"/>
    </row>
    <row r="80" spans="1:8" x14ac:dyDescent="0.2">
      <c r="A80" s="36"/>
      <c r="B80" s="57" t="str">
        <f>IF('Modell-Kalibrierung'!B102=0," ",'Modell-Kalibrierung'!B102)</f>
        <v xml:space="preserve"> </v>
      </c>
      <c r="C80" s="21" t="str">
        <f>IF('Modell-Kalibrierung'!C102=0," ",'Modell-Kalibrierung'!C102)</f>
        <v xml:space="preserve"> </v>
      </c>
      <c r="D80" s="59"/>
      <c r="E80" s="117"/>
      <c r="F80" s="54" t="str">
        <f>IF(C80=" "," ",(VLOOKUP(C80,'Modell-Kalibrierung'!$H$28:$I$32,2,FALSE))*D80)</f>
        <v xml:space="preserve"> </v>
      </c>
      <c r="G80" s="36"/>
      <c r="H80" s="36"/>
    </row>
    <row r="81" spans="1:8" x14ac:dyDescent="0.2">
      <c r="A81" s="36"/>
      <c r="B81" s="57" t="str">
        <f>IF('Modell-Kalibrierung'!B103=0," ",'Modell-Kalibrierung'!B103)</f>
        <v xml:space="preserve"> </v>
      </c>
      <c r="C81" s="21" t="str">
        <f>IF('Modell-Kalibrierung'!C103=0," ",'Modell-Kalibrierung'!C103)</f>
        <v xml:space="preserve"> </v>
      </c>
      <c r="D81" s="59"/>
      <c r="E81" s="117"/>
      <c r="F81" s="54" t="str">
        <f>IF(C81=" "," ",(VLOOKUP(C81,'Modell-Kalibrierung'!$H$28:$I$32,2,FALSE))*D81)</f>
        <v xml:space="preserve"> </v>
      </c>
      <c r="G81" s="36"/>
      <c r="H81" s="36"/>
    </row>
    <row r="82" spans="1:8" x14ac:dyDescent="0.2">
      <c r="A82" s="36"/>
      <c r="B82" s="57" t="str">
        <f>IF('Modell-Kalibrierung'!B104=0," ",'Modell-Kalibrierung'!B104)</f>
        <v xml:space="preserve"> </v>
      </c>
      <c r="C82" s="21" t="str">
        <f>IF('Modell-Kalibrierung'!C104=0," ",'Modell-Kalibrierung'!C104)</f>
        <v xml:space="preserve"> </v>
      </c>
      <c r="D82" s="59"/>
      <c r="E82" s="117"/>
      <c r="F82" s="54" t="str">
        <f>IF(C82=" "," ",(VLOOKUP(C82,'Modell-Kalibrierung'!$H$28:$I$32,2,FALSE))*D82)</f>
        <v xml:space="preserve"> </v>
      </c>
      <c r="G82" s="36"/>
      <c r="H82" s="36"/>
    </row>
    <row r="83" spans="1:8" x14ac:dyDescent="0.2">
      <c r="A83" s="36"/>
      <c r="B83" s="57" t="str">
        <f>IF('Modell-Kalibrierung'!B105=0," ",'Modell-Kalibrierung'!B105)</f>
        <v xml:space="preserve"> </v>
      </c>
      <c r="C83" s="21" t="str">
        <f>IF('Modell-Kalibrierung'!C105=0," ",'Modell-Kalibrierung'!C105)</f>
        <v xml:space="preserve"> </v>
      </c>
      <c r="D83" s="59"/>
      <c r="E83" s="117"/>
      <c r="F83" s="54" t="str">
        <f>IF(C83=" "," ",(VLOOKUP(C83,'Modell-Kalibrierung'!$H$28:$I$32,2,FALSE))*D83)</f>
        <v xml:space="preserve"> </v>
      </c>
      <c r="G83" s="36"/>
      <c r="H83" s="36"/>
    </row>
    <row r="84" spans="1:8" x14ac:dyDescent="0.2">
      <c r="A84" s="36"/>
      <c r="B84" s="57" t="str">
        <f>IF('Modell-Kalibrierung'!B106=0," ",'Modell-Kalibrierung'!B106)</f>
        <v xml:space="preserve"> </v>
      </c>
      <c r="C84" s="21" t="str">
        <f>IF('Modell-Kalibrierung'!C106=0," ",'Modell-Kalibrierung'!C106)</f>
        <v xml:space="preserve"> </v>
      </c>
      <c r="D84" s="59"/>
      <c r="E84" s="117"/>
      <c r="F84" s="54" t="str">
        <f>IF(C84=" "," ",(VLOOKUP(C84,'Modell-Kalibrierung'!$H$28:$I$32,2,FALSE))*D84)</f>
        <v xml:space="preserve"> </v>
      </c>
      <c r="G84" s="36"/>
      <c r="H84" s="36"/>
    </row>
    <row r="85" spans="1:8" x14ac:dyDescent="0.2">
      <c r="A85" s="36"/>
      <c r="B85" s="57" t="str">
        <f>IF('Modell-Kalibrierung'!B107=0," ",'Modell-Kalibrierung'!B107)</f>
        <v xml:space="preserve"> </v>
      </c>
      <c r="C85" s="21" t="str">
        <f>IF('Modell-Kalibrierung'!C107=0," ",'Modell-Kalibrierung'!C107)</f>
        <v xml:space="preserve"> </v>
      </c>
      <c r="D85" s="59"/>
      <c r="E85" s="117"/>
      <c r="F85" s="54" t="str">
        <f>IF(C85=" "," ",(VLOOKUP(C85,'Modell-Kalibrierung'!$H$28:$I$32,2,FALSE))*D85)</f>
        <v xml:space="preserve"> </v>
      </c>
      <c r="G85" s="36"/>
      <c r="H85" s="36"/>
    </row>
    <row r="86" spans="1:8" x14ac:dyDescent="0.2">
      <c r="A86" s="36"/>
      <c r="B86" s="57" t="str">
        <f>IF('Modell-Kalibrierung'!B108=0," ",'Modell-Kalibrierung'!B108)</f>
        <v xml:space="preserve"> </v>
      </c>
      <c r="C86" s="21" t="str">
        <f>IF('Modell-Kalibrierung'!C108=0," ",'Modell-Kalibrierung'!C108)</f>
        <v xml:space="preserve"> </v>
      </c>
      <c r="D86" s="59"/>
      <c r="E86" s="117"/>
      <c r="F86" s="54" t="str">
        <f>IF(C86=" "," ",(VLOOKUP(C86,'Modell-Kalibrierung'!$H$28:$I$32,2,FALSE))*D86)</f>
        <v xml:space="preserve"> </v>
      </c>
      <c r="G86" s="36"/>
      <c r="H86" s="36"/>
    </row>
    <row r="87" spans="1:8" x14ac:dyDescent="0.2">
      <c r="A87" s="36"/>
      <c r="B87" s="57" t="str">
        <f>IF('Modell-Kalibrierung'!B109=0," ",'Modell-Kalibrierung'!B109)</f>
        <v xml:space="preserve"> </v>
      </c>
      <c r="C87" s="21" t="str">
        <f>IF('Modell-Kalibrierung'!C109=0," ",'Modell-Kalibrierung'!C109)</f>
        <v xml:space="preserve"> </v>
      </c>
      <c r="D87" s="59"/>
      <c r="E87" s="117"/>
      <c r="F87" s="54" t="str">
        <f>IF(C87=" "," ",(VLOOKUP(C87,'Modell-Kalibrierung'!$H$28:$I$32,2,FALSE))*D87)</f>
        <v xml:space="preserve"> </v>
      </c>
      <c r="G87" s="36"/>
      <c r="H87" s="36"/>
    </row>
    <row r="88" spans="1:8" x14ac:dyDescent="0.2">
      <c r="A88" s="36"/>
      <c r="B88" s="57" t="str">
        <f>IF('Modell-Kalibrierung'!B110=0," ",'Modell-Kalibrierung'!B110)</f>
        <v xml:space="preserve"> </v>
      </c>
      <c r="C88" s="21" t="str">
        <f>IF('Modell-Kalibrierung'!C110=0," ",'Modell-Kalibrierung'!C110)</f>
        <v xml:space="preserve"> </v>
      </c>
      <c r="D88" s="59"/>
      <c r="E88" s="117"/>
      <c r="F88" s="54" t="str">
        <f>IF(C88=" "," ",(VLOOKUP(C88,'Modell-Kalibrierung'!$H$28:$I$32,2,FALSE))*D88)</f>
        <v xml:space="preserve"> </v>
      </c>
      <c r="G88" s="36"/>
      <c r="H88" s="36"/>
    </row>
    <row r="89" spans="1:8" x14ac:dyDescent="0.2">
      <c r="A89" s="36"/>
      <c r="B89" s="57" t="str">
        <f>IF('Modell-Kalibrierung'!B111=0," ",'Modell-Kalibrierung'!B111)</f>
        <v xml:space="preserve"> </v>
      </c>
      <c r="C89" s="21" t="str">
        <f>IF('Modell-Kalibrierung'!C111=0," ",'Modell-Kalibrierung'!C111)</f>
        <v xml:space="preserve"> </v>
      </c>
      <c r="D89" s="59"/>
      <c r="E89" s="117"/>
      <c r="F89" s="54" t="str">
        <f>IF(C89=" "," ",(VLOOKUP(C89,'Modell-Kalibrierung'!$H$28:$I$32,2,FALSE))*D89)</f>
        <v xml:space="preserve"> </v>
      </c>
      <c r="G89" s="36"/>
      <c r="H89" s="36"/>
    </row>
    <row r="90" spans="1:8" x14ac:dyDescent="0.2">
      <c r="A90" s="36"/>
      <c r="B90" s="57" t="str">
        <f>IF('Modell-Kalibrierung'!B112=0," ",'Modell-Kalibrierung'!B112)</f>
        <v xml:space="preserve"> </v>
      </c>
      <c r="C90" s="21" t="str">
        <f>IF('Modell-Kalibrierung'!C112=0," ",'Modell-Kalibrierung'!C112)</f>
        <v xml:space="preserve"> </v>
      </c>
      <c r="D90" s="59"/>
      <c r="E90" s="117"/>
      <c r="F90" s="54" t="str">
        <f>IF(C90=" "," ",(VLOOKUP(C90,'Modell-Kalibrierung'!$H$28:$I$32,2,FALSE))*D90)</f>
        <v xml:space="preserve"> </v>
      </c>
      <c r="G90" s="36"/>
      <c r="H90" s="36"/>
    </row>
    <row r="91" spans="1:8" x14ac:dyDescent="0.2">
      <c r="A91" s="36"/>
      <c r="B91" s="57" t="str">
        <f>IF('Modell-Kalibrierung'!B113=0," ",'Modell-Kalibrierung'!B113)</f>
        <v xml:space="preserve"> </v>
      </c>
      <c r="C91" s="21" t="str">
        <f>IF('Modell-Kalibrierung'!C113=0," ",'Modell-Kalibrierung'!C113)</f>
        <v xml:space="preserve"> </v>
      </c>
      <c r="D91" s="59"/>
      <c r="E91" s="117"/>
      <c r="F91" s="54" t="str">
        <f>IF(C91=" "," ",(VLOOKUP(C91,'Modell-Kalibrierung'!$H$28:$I$32,2,FALSE))*D91)</f>
        <v xml:space="preserve"> </v>
      </c>
      <c r="G91" s="36"/>
      <c r="H91" s="36"/>
    </row>
    <row r="92" spans="1:8" x14ac:dyDescent="0.2">
      <c r="A92" s="36"/>
      <c r="B92" s="57" t="str">
        <f>IF('Modell-Kalibrierung'!B114=0," ",'Modell-Kalibrierung'!B114)</f>
        <v xml:space="preserve"> </v>
      </c>
      <c r="C92" s="21" t="str">
        <f>IF('Modell-Kalibrierung'!C114=0," ",'Modell-Kalibrierung'!C114)</f>
        <v xml:space="preserve"> </v>
      </c>
      <c r="D92" s="59"/>
      <c r="E92" s="117"/>
      <c r="F92" s="54" t="str">
        <f>IF(C92=" "," ",(VLOOKUP(C92,'Modell-Kalibrierung'!$H$28:$I$32,2,FALSE))*D92)</f>
        <v xml:space="preserve"> </v>
      </c>
      <c r="G92" s="36"/>
      <c r="H92" s="36"/>
    </row>
    <row r="93" spans="1:8" x14ac:dyDescent="0.2">
      <c r="A93" s="36"/>
      <c r="B93" s="57" t="str">
        <f>IF('Modell-Kalibrierung'!B115=0," ",'Modell-Kalibrierung'!B115)</f>
        <v xml:space="preserve"> </v>
      </c>
      <c r="C93" s="21" t="str">
        <f>IF('Modell-Kalibrierung'!C115=0," ",'Modell-Kalibrierung'!C115)</f>
        <v xml:space="preserve"> </v>
      </c>
      <c r="D93" s="59"/>
      <c r="E93" s="117"/>
      <c r="F93" s="54" t="str">
        <f>IF(C93=" "," ",(VLOOKUP(C93,'Modell-Kalibrierung'!$H$28:$I$32,2,FALSE))*D93)</f>
        <v xml:space="preserve"> </v>
      </c>
      <c r="G93" s="36"/>
      <c r="H93" s="36"/>
    </row>
    <row r="94" spans="1:8" x14ac:dyDescent="0.2">
      <c r="A94" s="36"/>
      <c r="B94" s="57" t="str">
        <f>IF('Modell-Kalibrierung'!B116=0," ",'Modell-Kalibrierung'!B116)</f>
        <v xml:space="preserve"> </v>
      </c>
      <c r="C94" s="21" t="str">
        <f>IF('Modell-Kalibrierung'!C116=0," ",'Modell-Kalibrierung'!C116)</f>
        <v xml:space="preserve"> </v>
      </c>
      <c r="D94" s="59"/>
      <c r="E94" s="117"/>
      <c r="F94" s="54" t="str">
        <f>IF(C94=" "," ",(VLOOKUP(C94,'Modell-Kalibrierung'!$H$28:$I$32,2,FALSE))*D94)</f>
        <v xml:space="preserve"> </v>
      </c>
      <c r="G94" s="36"/>
      <c r="H94" s="36"/>
    </row>
    <row r="95" spans="1:8" x14ac:dyDescent="0.2">
      <c r="A95" s="36"/>
      <c r="B95" s="57" t="str">
        <f>IF('Modell-Kalibrierung'!B117=0," ",'Modell-Kalibrierung'!B117)</f>
        <v xml:space="preserve"> </v>
      </c>
      <c r="C95" s="21" t="str">
        <f>IF('Modell-Kalibrierung'!C117=0," ",'Modell-Kalibrierung'!C117)</f>
        <v xml:space="preserve"> </v>
      </c>
      <c r="D95" s="59"/>
      <c r="E95" s="117"/>
      <c r="F95" s="54" t="str">
        <f>IF(C95=" "," ",(VLOOKUP(C95,'Modell-Kalibrierung'!$H$28:$I$32,2,FALSE))*D95)</f>
        <v xml:space="preserve"> </v>
      </c>
      <c r="G95" s="36"/>
      <c r="H95" s="36"/>
    </row>
    <row r="96" spans="1:8" x14ac:dyDescent="0.2">
      <c r="A96" s="36"/>
      <c r="B96" s="57" t="str">
        <f>IF('Modell-Kalibrierung'!B118=0," ",'Modell-Kalibrierung'!B118)</f>
        <v xml:space="preserve"> </v>
      </c>
      <c r="C96" s="21" t="str">
        <f>IF('Modell-Kalibrierung'!C118=0," ",'Modell-Kalibrierung'!C118)</f>
        <v xml:space="preserve"> </v>
      </c>
      <c r="D96" s="59"/>
      <c r="E96" s="117"/>
      <c r="F96" s="54" t="str">
        <f>IF(C96=" "," ",(VLOOKUP(C96,'Modell-Kalibrierung'!$H$28:$I$32,2,FALSE))*D96)</f>
        <v xml:space="preserve"> </v>
      </c>
      <c r="G96" s="36"/>
      <c r="H96" s="36"/>
    </row>
    <row r="97" spans="1:8" x14ac:dyDescent="0.2">
      <c r="A97" s="36"/>
      <c r="B97" s="57" t="str">
        <f>IF('Modell-Kalibrierung'!B119=0," ",'Modell-Kalibrierung'!B119)</f>
        <v xml:space="preserve"> </v>
      </c>
      <c r="C97" s="21" t="str">
        <f>IF('Modell-Kalibrierung'!C119=0," ",'Modell-Kalibrierung'!C119)</f>
        <v xml:space="preserve"> </v>
      </c>
      <c r="D97" s="59"/>
      <c r="E97" s="117"/>
      <c r="F97" s="54" t="str">
        <f>IF(C97=" "," ",(VLOOKUP(C97,'Modell-Kalibrierung'!$H$28:$I$32,2,FALSE))*D97)</f>
        <v xml:space="preserve"> </v>
      </c>
      <c r="G97" s="36"/>
      <c r="H97" s="36"/>
    </row>
    <row r="98" spans="1:8" x14ac:dyDescent="0.2">
      <c r="A98" s="36"/>
      <c r="B98" s="57" t="str">
        <f>IF('Modell-Kalibrierung'!B120=0," ",'Modell-Kalibrierung'!B120)</f>
        <v xml:space="preserve"> </v>
      </c>
      <c r="C98" s="21" t="str">
        <f>IF('Modell-Kalibrierung'!C120=0," ",'Modell-Kalibrierung'!C120)</f>
        <v xml:space="preserve"> </v>
      </c>
      <c r="D98" s="59"/>
      <c r="E98" s="117"/>
      <c r="F98" s="54" t="str">
        <f>IF(C98=" "," ",(VLOOKUP(C98,'Modell-Kalibrierung'!$H$28:$I$32,2,FALSE))*D98)</f>
        <v xml:space="preserve"> </v>
      </c>
      <c r="G98" s="36"/>
      <c r="H98" s="36"/>
    </row>
    <row r="99" spans="1:8" x14ac:dyDescent="0.2">
      <c r="A99" s="36"/>
      <c r="B99" s="57" t="str">
        <f>IF('Modell-Kalibrierung'!B121=0," ",'Modell-Kalibrierung'!B121)</f>
        <v xml:space="preserve"> </v>
      </c>
      <c r="C99" s="21" t="str">
        <f>IF('Modell-Kalibrierung'!C121=0," ",'Modell-Kalibrierung'!C121)</f>
        <v xml:space="preserve"> </v>
      </c>
      <c r="D99" s="59"/>
      <c r="E99" s="117"/>
      <c r="F99" s="54" t="str">
        <f>IF(C99=" "," ",(VLOOKUP(C99,'Modell-Kalibrierung'!$H$28:$I$32,2,FALSE))*D99)</f>
        <v xml:space="preserve"> </v>
      </c>
      <c r="G99" s="36"/>
      <c r="H99" s="36"/>
    </row>
    <row r="100" spans="1:8" x14ac:dyDescent="0.2">
      <c r="A100" s="36"/>
      <c r="B100" s="57" t="str">
        <f>IF('Modell-Kalibrierung'!B122=0," ",'Modell-Kalibrierung'!B122)</f>
        <v xml:space="preserve"> </v>
      </c>
      <c r="C100" s="21" t="str">
        <f>IF('Modell-Kalibrierung'!C122=0," ",'Modell-Kalibrierung'!C122)</f>
        <v xml:space="preserve"> </v>
      </c>
      <c r="D100" s="59"/>
      <c r="E100" s="117"/>
      <c r="F100" s="54" t="str">
        <f>IF(C100=" "," ",(VLOOKUP(C100,'Modell-Kalibrierung'!$H$28:$I$32,2,FALSE))*D100)</f>
        <v xml:space="preserve"> </v>
      </c>
      <c r="G100" s="36"/>
      <c r="H100" s="36"/>
    </row>
    <row r="101" spans="1:8" x14ac:dyDescent="0.2">
      <c r="A101" s="36"/>
      <c r="B101" s="57" t="str">
        <f>IF('Modell-Kalibrierung'!B123=0," ",'Modell-Kalibrierung'!B123)</f>
        <v xml:space="preserve"> </v>
      </c>
      <c r="C101" s="21" t="str">
        <f>IF('Modell-Kalibrierung'!C123=0," ",'Modell-Kalibrierung'!C123)</f>
        <v xml:space="preserve"> </v>
      </c>
      <c r="D101" s="59"/>
      <c r="E101" s="117"/>
      <c r="F101" s="54" t="str">
        <f>IF(C101=" "," ",(VLOOKUP(C101,'Modell-Kalibrierung'!$H$28:$I$32,2,FALSE))*D101)</f>
        <v xml:space="preserve"> </v>
      </c>
      <c r="G101" s="36"/>
      <c r="H101" s="36"/>
    </row>
    <row r="102" spans="1:8" x14ac:dyDescent="0.2">
      <c r="A102" s="36"/>
      <c r="B102" s="57" t="str">
        <f>IF('Modell-Kalibrierung'!B124=0," ",'Modell-Kalibrierung'!B124)</f>
        <v xml:space="preserve"> </v>
      </c>
      <c r="C102" s="21" t="str">
        <f>IF('Modell-Kalibrierung'!C124=0," ",'Modell-Kalibrierung'!C124)</f>
        <v xml:space="preserve"> </v>
      </c>
      <c r="D102" s="59"/>
      <c r="E102" s="117"/>
      <c r="F102" s="54" t="str">
        <f>IF(C102=" "," ",(VLOOKUP(C102,'Modell-Kalibrierung'!$H$28:$I$32,2,FALSE))*D102)</f>
        <v xml:space="preserve"> </v>
      </c>
      <c r="G102" s="36"/>
      <c r="H102" s="36"/>
    </row>
    <row r="103" spans="1:8" x14ac:dyDescent="0.2">
      <c r="A103" s="36"/>
      <c r="B103" s="57" t="str">
        <f>IF('Modell-Kalibrierung'!B125=0," ",'Modell-Kalibrierung'!B125)</f>
        <v xml:space="preserve"> </v>
      </c>
      <c r="C103" s="21" t="str">
        <f>IF('Modell-Kalibrierung'!C125=0," ",'Modell-Kalibrierung'!C125)</f>
        <v xml:space="preserve"> </v>
      </c>
      <c r="D103" s="59"/>
      <c r="E103" s="117"/>
      <c r="F103" s="54" t="str">
        <f>IF(C103=" "," ",(VLOOKUP(C103,'Modell-Kalibrierung'!$H$28:$I$32,2,FALSE))*D103)</f>
        <v xml:space="preserve"> </v>
      </c>
      <c r="G103" s="36"/>
      <c r="H103" s="36"/>
    </row>
    <row r="104" spans="1:8" x14ac:dyDescent="0.2">
      <c r="A104" s="36"/>
      <c r="B104" s="57" t="str">
        <f>IF('Modell-Kalibrierung'!B126=0," ",'Modell-Kalibrierung'!B126)</f>
        <v xml:space="preserve"> </v>
      </c>
      <c r="C104" s="21" t="str">
        <f>IF('Modell-Kalibrierung'!C126=0," ",'Modell-Kalibrierung'!C126)</f>
        <v xml:space="preserve"> </v>
      </c>
      <c r="D104" s="59"/>
      <c r="E104" s="117"/>
      <c r="F104" s="54" t="str">
        <f>IF(C104=" "," ",(VLOOKUP(C104,'Modell-Kalibrierung'!$H$28:$I$32,2,FALSE))*D104)</f>
        <v xml:space="preserve"> </v>
      </c>
      <c r="G104" s="36"/>
      <c r="H104" s="36"/>
    </row>
    <row r="105" spans="1:8" x14ac:dyDescent="0.2">
      <c r="A105" s="36"/>
      <c r="B105" s="57" t="str">
        <f>IF('Modell-Kalibrierung'!B127=0," ",'Modell-Kalibrierung'!B127)</f>
        <v xml:space="preserve"> </v>
      </c>
      <c r="C105" s="21" t="str">
        <f>IF('Modell-Kalibrierung'!C127=0," ",'Modell-Kalibrierung'!C127)</f>
        <v xml:space="preserve"> </v>
      </c>
      <c r="D105" s="59"/>
      <c r="E105" s="117"/>
      <c r="F105" s="54" t="str">
        <f>IF(C105=" "," ",(VLOOKUP(C105,'Modell-Kalibrierung'!$H$28:$I$32,2,FALSE))*D105)</f>
        <v xml:space="preserve"> </v>
      </c>
      <c r="G105" s="36"/>
      <c r="H105" s="36"/>
    </row>
    <row r="106" spans="1:8" x14ac:dyDescent="0.2">
      <c r="A106" s="36"/>
      <c r="B106" s="57" t="str">
        <f>IF('Modell-Kalibrierung'!B128=0," ",'Modell-Kalibrierung'!B128)</f>
        <v xml:space="preserve"> </v>
      </c>
      <c r="C106" s="21" t="str">
        <f>IF('Modell-Kalibrierung'!C128=0," ",'Modell-Kalibrierung'!C128)</f>
        <v xml:space="preserve"> </v>
      </c>
      <c r="D106" s="59"/>
      <c r="E106" s="117"/>
      <c r="F106" s="54" t="str">
        <f>IF(C106=" "," ",(VLOOKUP(C106,'Modell-Kalibrierung'!$H$28:$I$32,2,FALSE))*D106)</f>
        <v xml:space="preserve"> </v>
      </c>
      <c r="G106" s="36"/>
      <c r="H106" s="36"/>
    </row>
    <row r="107" spans="1:8" x14ac:dyDescent="0.2">
      <c r="A107" s="36"/>
      <c r="B107" s="57" t="str">
        <f>IF('Modell-Kalibrierung'!B129=0," ",'Modell-Kalibrierung'!B129)</f>
        <v xml:space="preserve"> </v>
      </c>
      <c r="C107" s="21" t="str">
        <f>IF('Modell-Kalibrierung'!C129=0," ",'Modell-Kalibrierung'!C129)</f>
        <v xml:space="preserve"> </v>
      </c>
      <c r="D107" s="59"/>
      <c r="E107" s="117"/>
      <c r="F107" s="54" t="str">
        <f>IF(C107=" "," ",(VLOOKUP(C107,'Modell-Kalibrierung'!$H$28:$I$32,2,FALSE))*D107)</f>
        <v xml:space="preserve"> </v>
      </c>
      <c r="G107" s="36"/>
      <c r="H107" s="36"/>
    </row>
    <row r="108" spans="1:8" x14ac:dyDescent="0.2">
      <c r="A108" s="36"/>
      <c r="B108" s="57" t="str">
        <f>IF('Modell-Kalibrierung'!B130=0," ",'Modell-Kalibrierung'!B130)</f>
        <v xml:space="preserve"> </v>
      </c>
      <c r="C108" s="21" t="str">
        <f>IF('Modell-Kalibrierung'!C130=0," ",'Modell-Kalibrierung'!C130)</f>
        <v xml:space="preserve"> </v>
      </c>
      <c r="D108" s="59"/>
      <c r="E108" s="117"/>
      <c r="F108" s="54" t="str">
        <f>IF(C108=" "," ",(VLOOKUP(C108,'Modell-Kalibrierung'!$H$28:$I$32,2,FALSE))*D108)</f>
        <v xml:space="preserve"> </v>
      </c>
      <c r="G108" s="36"/>
      <c r="H108" s="36"/>
    </row>
    <row r="109" spans="1:8" x14ac:dyDescent="0.2">
      <c r="A109" s="36"/>
      <c r="B109" s="57" t="str">
        <f>IF('Modell-Kalibrierung'!B131=0," ",'Modell-Kalibrierung'!B131)</f>
        <v xml:space="preserve"> </v>
      </c>
      <c r="C109" s="21" t="str">
        <f>IF('Modell-Kalibrierung'!C131=0," ",'Modell-Kalibrierung'!C131)</f>
        <v xml:space="preserve"> </v>
      </c>
      <c r="D109" s="59"/>
      <c r="E109" s="117"/>
      <c r="F109" s="54" t="str">
        <f>IF(C109=" "," ",(VLOOKUP(C109,'Modell-Kalibrierung'!$H$28:$I$32,2,FALSE))*D109)</f>
        <v xml:space="preserve"> </v>
      </c>
      <c r="G109" s="36"/>
      <c r="H109" s="36"/>
    </row>
    <row r="110" spans="1:8" x14ac:dyDescent="0.2">
      <c r="A110" s="36"/>
      <c r="B110" s="57" t="str">
        <f>IF('Modell-Kalibrierung'!B132=0," ",'Modell-Kalibrierung'!B132)</f>
        <v xml:space="preserve"> </v>
      </c>
      <c r="C110" s="21" t="str">
        <f>IF('Modell-Kalibrierung'!C132=0," ",'Modell-Kalibrierung'!C132)</f>
        <v xml:space="preserve"> </v>
      </c>
      <c r="D110" s="59"/>
      <c r="E110" s="117"/>
      <c r="F110" s="54" t="str">
        <f>IF(C110=" "," ",(VLOOKUP(C110,'Modell-Kalibrierung'!$H$28:$I$32,2,FALSE))*D110)</f>
        <v xml:space="preserve"> </v>
      </c>
      <c r="G110" s="36"/>
      <c r="H110" s="36"/>
    </row>
    <row r="111" spans="1:8" x14ac:dyDescent="0.2">
      <c r="A111" s="36"/>
      <c r="B111" s="57" t="str">
        <f>IF('Modell-Kalibrierung'!B133=0," ",'Modell-Kalibrierung'!B133)</f>
        <v xml:space="preserve"> </v>
      </c>
      <c r="C111" s="21" t="str">
        <f>IF('Modell-Kalibrierung'!C133=0," ",'Modell-Kalibrierung'!C133)</f>
        <v xml:space="preserve"> </v>
      </c>
      <c r="D111" s="59"/>
      <c r="E111" s="117"/>
      <c r="F111" s="54" t="str">
        <f>IF(C111=" "," ",(VLOOKUP(C111,'Modell-Kalibrierung'!$H$28:$I$32,2,FALSE))*D111)</f>
        <v xml:space="preserve"> </v>
      </c>
      <c r="G111" s="36"/>
      <c r="H111" s="36"/>
    </row>
    <row r="112" spans="1:8" x14ac:dyDescent="0.2">
      <c r="A112" s="36"/>
      <c r="B112" s="57" t="str">
        <f>IF('Modell-Kalibrierung'!B134=0," ",'Modell-Kalibrierung'!B134)</f>
        <v xml:space="preserve"> </v>
      </c>
      <c r="C112" s="21" t="str">
        <f>IF('Modell-Kalibrierung'!C134=0," ",'Modell-Kalibrierung'!C134)</f>
        <v xml:space="preserve"> </v>
      </c>
      <c r="D112" s="59"/>
      <c r="E112" s="117"/>
      <c r="F112" s="54" t="str">
        <f>IF(C112=" "," ",(VLOOKUP(C112,'Modell-Kalibrierung'!$H$28:$I$32,2,FALSE))*D112)</f>
        <v xml:space="preserve"> </v>
      </c>
      <c r="G112" s="36"/>
      <c r="H112" s="36"/>
    </row>
    <row r="113" spans="1:8" x14ac:dyDescent="0.2">
      <c r="A113" s="36"/>
      <c r="B113" s="57" t="str">
        <f>IF('Modell-Kalibrierung'!B135=0," ",'Modell-Kalibrierung'!B135)</f>
        <v xml:space="preserve"> </v>
      </c>
      <c r="C113" s="21" t="str">
        <f>IF('Modell-Kalibrierung'!C135=0," ",'Modell-Kalibrierung'!C135)</f>
        <v xml:space="preserve"> </v>
      </c>
      <c r="D113" s="59"/>
      <c r="E113" s="117"/>
      <c r="F113" s="54" t="str">
        <f>IF(C113=" "," ",(VLOOKUP(C113,'Modell-Kalibrierung'!$H$28:$I$32,2,FALSE))*D113)</f>
        <v xml:space="preserve"> </v>
      </c>
      <c r="G113" s="36"/>
      <c r="H113" s="36"/>
    </row>
    <row r="114" spans="1:8" x14ac:dyDescent="0.2">
      <c r="A114" s="36"/>
      <c r="B114" s="57" t="str">
        <f>IF('Modell-Kalibrierung'!B136=0," ",'Modell-Kalibrierung'!B136)</f>
        <v xml:space="preserve"> </v>
      </c>
      <c r="C114" s="21" t="str">
        <f>IF('Modell-Kalibrierung'!C136=0," ",'Modell-Kalibrierung'!C136)</f>
        <v xml:space="preserve"> </v>
      </c>
      <c r="D114" s="59"/>
      <c r="E114" s="117"/>
      <c r="F114" s="54" t="str">
        <f>IF(C114=" "," ",(VLOOKUP(C114,'Modell-Kalibrierung'!$H$28:$I$32,2,FALSE))*D114)</f>
        <v xml:space="preserve"> </v>
      </c>
      <c r="G114" s="36"/>
      <c r="H114" s="36"/>
    </row>
    <row r="115" spans="1:8" x14ac:dyDescent="0.2">
      <c r="A115" s="36"/>
      <c r="B115" s="57" t="str">
        <f>IF('Modell-Kalibrierung'!B137=0," ",'Modell-Kalibrierung'!B137)</f>
        <v xml:space="preserve"> </v>
      </c>
      <c r="C115" s="21" t="str">
        <f>IF('Modell-Kalibrierung'!C137=0," ",'Modell-Kalibrierung'!C137)</f>
        <v xml:space="preserve"> </v>
      </c>
      <c r="D115" s="59"/>
      <c r="E115" s="117"/>
      <c r="F115" s="54" t="str">
        <f>IF(C115=" "," ",(VLOOKUP(C115,'Modell-Kalibrierung'!$H$28:$I$32,2,FALSE))*D115)</f>
        <v xml:space="preserve"> </v>
      </c>
      <c r="G115" s="36"/>
      <c r="H115" s="36"/>
    </row>
    <row r="116" spans="1:8" x14ac:dyDescent="0.2">
      <c r="A116" s="36"/>
      <c r="B116" s="57" t="str">
        <f>IF('Modell-Kalibrierung'!B138=0," ",'Modell-Kalibrierung'!B138)</f>
        <v xml:space="preserve"> </v>
      </c>
      <c r="C116" s="21" t="str">
        <f>IF('Modell-Kalibrierung'!C138=0," ",'Modell-Kalibrierung'!C138)</f>
        <v xml:space="preserve"> </v>
      </c>
      <c r="D116" s="59"/>
      <c r="E116" s="117"/>
      <c r="F116" s="54" t="str">
        <f>IF(C116=" "," ",(VLOOKUP(C116,'Modell-Kalibrierung'!$H$28:$I$32,2,FALSE))*D116)</f>
        <v xml:space="preserve"> </v>
      </c>
      <c r="G116" s="36"/>
      <c r="H116" s="36"/>
    </row>
    <row r="117" spans="1:8" x14ac:dyDescent="0.2">
      <c r="A117" s="36"/>
      <c r="B117" s="57" t="str">
        <f>IF('Modell-Kalibrierung'!B139=0," ",'Modell-Kalibrierung'!B139)</f>
        <v xml:space="preserve"> </v>
      </c>
      <c r="C117" s="21" t="str">
        <f>IF('Modell-Kalibrierung'!C139=0," ",'Modell-Kalibrierung'!C139)</f>
        <v xml:space="preserve"> </v>
      </c>
      <c r="D117" s="59"/>
      <c r="E117" s="117"/>
      <c r="F117" s="54" t="str">
        <f>IF(C117=" "," ",(VLOOKUP(C117,'Modell-Kalibrierung'!$H$28:$I$32,2,FALSE))*D117)</f>
        <v xml:space="preserve"> </v>
      </c>
      <c r="G117" s="36"/>
      <c r="H117" s="36"/>
    </row>
    <row r="118" spans="1:8" x14ac:dyDescent="0.2">
      <c r="A118" s="36"/>
      <c r="B118" s="57" t="str">
        <f>IF('Modell-Kalibrierung'!B140=0," ",'Modell-Kalibrierung'!B140)</f>
        <v xml:space="preserve"> </v>
      </c>
      <c r="C118" s="21" t="str">
        <f>IF('Modell-Kalibrierung'!C140=0," ",'Modell-Kalibrierung'!C140)</f>
        <v xml:space="preserve"> </v>
      </c>
      <c r="D118" s="59"/>
      <c r="E118" s="117"/>
      <c r="F118" s="54" t="str">
        <f>IF(C118=" "," ",(VLOOKUP(C118,'Modell-Kalibrierung'!$H$28:$I$32,2,FALSE))*D118)</f>
        <v xml:space="preserve"> </v>
      </c>
      <c r="G118" s="36"/>
      <c r="H118" s="36"/>
    </row>
    <row r="119" spans="1:8" x14ac:dyDescent="0.2">
      <c r="A119" s="36"/>
      <c r="B119" s="36"/>
      <c r="C119" s="36"/>
      <c r="D119" s="44"/>
      <c r="E119" s="54"/>
      <c r="F119" s="36"/>
      <c r="G119" s="36"/>
      <c r="H119" s="36"/>
    </row>
    <row r="120" spans="1:8" x14ac:dyDescent="0.2">
      <c r="A120" s="36"/>
      <c r="B120" s="36"/>
      <c r="C120" s="36"/>
      <c r="D120" s="44"/>
      <c r="E120" s="54"/>
      <c r="F120" s="36"/>
      <c r="G120" s="36"/>
      <c r="H120" s="36"/>
    </row>
    <row r="121" spans="1:8" x14ac:dyDescent="0.2">
      <c r="A121" s="36"/>
      <c r="B121" s="36"/>
      <c r="C121" s="36"/>
      <c r="D121" s="44"/>
      <c r="E121" s="54"/>
      <c r="F121" s="36"/>
      <c r="G121" s="36"/>
      <c r="H121" s="36"/>
    </row>
    <row r="122" spans="1:8" x14ac:dyDescent="0.2">
      <c r="A122" s="36"/>
      <c r="B122" s="36"/>
      <c r="C122" s="36"/>
      <c r="D122" s="44"/>
      <c r="E122" s="54"/>
      <c r="F122" s="36"/>
      <c r="G122" s="36"/>
      <c r="H122" s="36"/>
    </row>
    <row r="123" spans="1:8" x14ac:dyDescent="0.2">
      <c r="A123" s="36"/>
      <c r="B123" s="36"/>
      <c r="C123" s="36"/>
      <c r="D123" s="44"/>
      <c r="E123" s="54"/>
      <c r="F123" s="36"/>
      <c r="G123" s="36"/>
      <c r="H123" s="36"/>
    </row>
    <row r="124" spans="1:8" x14ac:dyDescent="0.2">
      <c r="A124" s="36"/>
      <c r="B124" s="36"/>
      <c r="C124" s="36"/>
      <c r="D124" s="44"/>
      <c r="E124" s="54"/>
      <c r="F124" s="36"/>
      <c r="G124" s="36"/>
      <c r="H124" s="36"/>
    </row>
    <row r="125" spans="1:8" x14ac:dyDescent="0.2">
      <c r="A125" s="36"/>
      <c r="B125" s="36"/>
      <c r="C125" s="36"/>
      <c r="D125" s="44"/>
      <c r="E125" s="54"/>
      <c r="F125" s="36"/>
      <c r="G125" s="36"/>
      <c r="H125" s="36"/>
    </row>
    <row r="126" spans="1:8" x14ac:dyDescent="0.2">
      <c r="D126" s="13"/>
    </row>
    <row r="127" spans="1:8" x14ac:dyDescent="0.2">
      <c r="D127" s="13"/>
    </row>
    <row r="128" spans="1:8" x14ac:dyDescent="0.2">
      <c r="D128" s="13"/>
    </row>
    <row r="129" spans="4:4" x14ac:dyDescent="0.2">
      <c r="D129" s="13"/>
    </row>
    <row r="130" spans="4:4" x14ac:dyDescent="0.2">
      <c r="D130" s="13"/>
    </row>
    <row r="131" spans="4:4" x14ac:dyDescent="0.2">
      <c r="D131" s="13"/>
    </row>
    <row r="132" spans="4:4" x14ac:dyDescent="0.2">
      <c r="D132" s="13"/>
    </row>
    <row r="133" spans="4:4" x14ac:dyDescent="0.2">
      <c r="D133" s="13"/>
    </row>
    <row r="134" spans="4:4" x14ac:dyDescent="0.2">
      <c r="D134" s="13"/>
    </row>
    <row r="135" spans="4:4" x14ac:dyDescent="0.2">
      <c r="D135" s="13"/>
    </row>
    <row r="136" spans="4:4" x14ac:dyDescent="0.2">
      <c r="D136" s="13"/>
    </row>
    <row r="137" spans="4:4" x14ac:dyDescent="0.2">
      <c r="D137" s="13"/>
    </row>
    <row r="138" spans="4:4" x14ac:dyDescent="0.2">
      <c r="D138" s="13"/>
    </row>
    <row r="139" spans="4:4" x14ac:dyDescent="0.2">
      <c r="D139" s="13"/>
    </row>
    <row r="140" spans="4:4" x14ac:dyDescent="0.2">
      <c r="D140" s="13"/>
    </row>
    <row r="141" spans="4:4" x14ac:dyDescent="0.2">
      <c r="D141" s="13"/>
    </row>
    <row r="142" spans="4:4" x14ac:dyDescent="0.2">
      <c r="D142" s="13"/>
    </row>
    <row r="143" spans="4:4" x14ac:dyDescent="0.2">
      <c r="D143" s="13"/>
    </row>
    <row r="144" spans="4:4" x14ac:dyDescent="0.2">
      <c r="D144" s="13"/>
    </row>
    <row r="145" spans="4:4" x14ac:dyDescent="0.2">
      <c r="D145" s="13"/>
    </row>
    <row r="146" spans="4:4" x14ac:dyDescent="0.2">
      <c r="D146" s="13"/>
    </row>
    <row r="147" spans="4:4" x14ac:dyDescent="0.2">
      <c r="D147" s="13"/>
    </row>
    <row r="148" spans="4:4" x14ac:dyDescent="0.2">
      <c r="D148" s="13"/>
    </row>
    <row r="149" spans="4:4" x14ac:dyDescent="0.2">
      <c r="D149" s="13"/>
    </row>
    <row r="150" spans="4:4" x14ac:dyDescent="0.2">
      <c r="D150" s="13"/>
    </row>
    <row r="151" spans="4:4" x14ac:dyDescent="0.2">
      <c r="D151" s="13"/>
    </row>
    <row r="152" spans="4:4" x14ac:dyDescent="0.2">
      <c r="D152" s="13"/>
    </row>
    <row r="153" spans="4:4" x14ac:dyDescent="0.2">
      <c r="D153" s="13"/>
    </row>
    <row r="154" spans="4:4" x14ac:dyDescent="0.2">
      <c r="D154" s="13"/>
    </row>
    <row r="155" spans="4:4" x14ac:dyDescent="0.2">
      <c r="D155" s="13"/>
    </row>
    <row r="156" spans="4:4" x14ac:dyDescent="0.2">
      <c r="D156" s="13"/>
    </row>
    <row r="157" spans="4:4" x14ac:dyDescent="0.2">
      <c r="D157" s="13"/>
    </row>
    <row r="158" spans="4:4" x14ac:dyDescent="0.2">
      <c r="D158" s="13"/>
    </row>
    <row r="159" spans="4:4" x14ac:dyDescent="0.2">
      <c r="D159" s="13"/>
    </row>
    <row r="160" spans="4:4" x14ac:dyDescent="0.2">
      <c r="D160" s="13"/>
    </row>
    <row r="161" spans="4:4" x14ac:dyDescent="0.2">
      <c r="D161" s="13"/>
    </row>
    <row r="162" spans="4:4" x14ac:dyDescent="0.2">
      <c r="D162" s="13"/>
    </row>
    <row r="163" spans="4:4" x14ac:dyDescent="0.2">
      <c r="D163" s="13"/>
    </row>
    <row r="164" spans="4:4" x14ac:dyDescent="0.2">
      <c r="D164" s="13"/>
    </row>
    <row r="165" spans="4:4" x14ac:dyDescent="0.2">
      <c r="D165" s="13"/>
    </row>
    <row r="166" spans="4:4" x14ac:dyDescent="0.2">
      <c r="D166" s="13"/>
    </row>
    <row r="167" spans="4:4" x14ac:dyDescent="0.2">
      <c r="D167" s="13"/>
    </row>
    <row r="168" spans="4:4" x14ac:dyDescent="0.2">
      <c r="D168" s="13"/>
    </row>
    <row r="169" spans="4:4" x14ac:dyDescent="0.2">
      <c r="D169" s="13"/>
    </row>
    <row r="170" spans="4:4" x14ac:dyDescent="0.2">
      <c r="D170" s="13"/>
    </row>
    <row r="171" spans="4:4" x14ac:dyDescent="0.2">
      <c r="D171" s="13"/>
    </row>
    <row r="172" spans="4:4" x14ac:dyDescent="0.2">
      <c r="D172" s="13"/>
    </row>
    <row r="173" spans="4:4" x14ac:dyDescent="0.2">
      <c r="D173" s="13"/>
    </row>
    <row r="174" spans="4:4" x14ac:dyDescent="0.2">
      <c r="D174" s="13"/>
    </row>
    <row r="175" spans="4:4" x14ac:dyDescent="0.2">
      <c r="D175" s="13"/>
    </row>
    <row r="176" spans="4:4" x14ac:dyDescent="0.2">
      <c r="D176" s="13"/>
    </row>
    <row r="177" spans="4:4" x14ac:dyDescent="0.2">
      <c r="D177" s="13"/>
    </row>
    <row r="178" spans="4:4" x14ac:dyDescent="0.2">
      <c r="D178" s="13"/>
    </row>
    <row r="179" spans="4:4" x14ac:dyDescent="0.2">
      <c r="D179" s="13"/>
    </row>
    <row r="180" spans="4:4" x14ac:dyDescent="0.2">
      <c r="D180" s="13"/>
    </row>
    <row r="181" spans="4:4" x14ac:dyDescent="0.2">
      <c r="D181" s="13"/>
    </row>
    <row r="182" spans="4:4" x14ac:dyDescent="0.2">
      <c r="D182" s="13"/>
    </row>
    <row r="183" spans="4:4" x14ac:dyDescent="0.2">
      <c r="D183" s="13"/>
    </row>
    <row r="184" spans="4:4" x14ac:dyDescent="0.2">
      <c r="D184" s="13"/>
    </row>
    <row r="185" spans="4:4" x14ac:dyDescent="0.2">
      <c r="D185" s="13"/>
    </row>
    <row r="186" spans="4:4" x14ac:dyDescent="0.2">
      <c r="D186" s="13"/>
    </row>
    <row r="187" spans="4:4" x14ac:dyDescent="0.2">
      <c r="D187" s="13"/>
    </row>
    <row r="188" spans="4:4" x14ac:dyDescent="0.2">
      <c r="D188" s="13"/>
    </row>
    <row r="189" spans="4:4" x14ac:dyDescent="0.2">
      <c r="D189" s="13"/>
    </row>
    <row r="190" spans="4:4" x14ac:dyDescent="0.2">
      <c r="D190" s="13"/>
    </row>
    <row r="191" spans="4:4" x14ac:dyDescent="0.2">
      <c r="D191" s="13"/>
    </row>
    <row r="192" spans="4:4" x14ac:dyDescent="0.2">
      <c r="D192" s="13"/>
    </row>
    <row r="193" spans="4:4" x14ac:dyDescent="0.2">
      <c r="D193" s="13"/>
    </row>
    <row r="194" spans="4:4" x14ac:dyDescent="0.2">
      <c r="D194" s="13"/>
    </row>
    <row r="195" spans="4:4" x14ac:dyDescent="0.2">
      <c r="D195" s="13"/>
    </row>
    <row r="196" spans="4:4" x14ac:dyDescent="0.2">
      <c r="D196" s="13"/>
    </row>
    <row r="197" spans="4:4" x14ac:dyDescent="0.2">
      <c r="D197" s="13"/>
    </row>
    <row r="198" spans="4:4" x14ac:dyDescent="0.2">
      <c r="D198" s="13"/>
    </row>
    <row r="199" spans="4:4" x14ac:dyDescent="0.2">
      <c r="D199" s="13"/>
    </row>
    <row r="200" spans="4:4" x14ac:dyDescent="0.2">
      <c r="D200" s="13"/>
    </row>
    <row r="201" spans="4:4" x14ac:dyDescent="0.2">
      <c r="D201" s="13"/>
    </row>
    <row r="202" spans="4:4" x14ac:dyDescent="0.2">
      <c r="D202" s="13"/>
    </row>
    <row r="203" spans="4:4" x14ac:dyDescent="0.2">
      <c r="D203" s="13"/>
    </row>
    <row r="204" spans="4:4" x14ac:dyDescent="0.2">
      <c r="D204" s="13"/>
    </row>
    <row r="205" spans="4:4" x14ac:dyDescent="0.2">
      <c r="D205" s="13"/>
    </row>
    <row r="206" spans="4:4" x14ac:dyDescent="0.2">
      <c r="D206" s="13"/>
    </row>
    <row r="207" spans="4:4" x14ac:dyDescent="0.2">
      <c r="D207" s="13"/>
    </row>
    <row r="208" spans="4:4" x14ac:dyDescent="0.2">
      <c r="D208" s="13"/>
    </row>
    <row r="209" spans="4:4" x14ac:dyDescent="0.2">
      <c r="D209" s="13"/>
    </row>
    <row r="210" spans="4:4" x14ac:dyDescent="0.2">
      <c r="D210" s="13"/>
    </row>
    <row r="211" spans="4:4" x14ac:dyDescent="0.2">
      <c r="D211" s="13"/>
    </row>
    <row r="212" spans="4:4" x14ac:dyDescent="0.2">
      <c r="D212" s="13"/>
    </row>
    <row r="213" spans="4:4" x14ac:dyDescent="0.2">
      <c r="D213" s="13"/>
    </row>
    <row r="214" spans="4:4" x14ac:dyDescent="0.2">
      <c r="D214" s="13"/>
    </row>
    <row r="215" spans="4:4" x14ac:dyDescent="0.2">
      <c r="D215" s="13"/>
    </row>
    <row r="216" spans="4:4" x14ac:dyDescent="0.2">
      <c r="D216" s="13"/>
    </row>
    <row r="217" spans="4:4" x14ac:dyDescent="0.2">
      <c r="D217" s="13"/>
    </row>
    <row r="218" spans="4:4" x14ac:dyDescent="0.2">
      <c r="D218" s="13"/>
    </row>
    <row r="219" spans="4:4" x14ac:dyDescent="0.2">
      <c r="D219" s="13"/>
    </row>
    <row r="220" spans="4:4" x14ac:dyDescent="0.2">
      <c r="D220" s="13"/>
    </row>
    <row r="221" spans="4:4" x14ac:dyDescent="0.2">
      <c r="D221" s="13"/>
    </row>
    <row r="222" spans="4:4" x14ac:dyDescent="0.2">
      <c r="D222" s="13"/>
    </row>
    <row r="223" spans="4:4" x14ac:dyDescent="0.2">
      <c r="D223" s="13"/>
    </row>
    <row r="224" spans="4:4" x14ac:dyDescent="0.2">
      <c r="D224" s="13"/>
    </row>
    <row r="225" spans="4:4" x14ac:dyDescent="0.2">
      <c r="D225" s="13"/>
    </row>
    <row r="226" spans="4:4" x14ac:dyDescent="0.2">
      <c r="D226" s="13"/>
    </row>
    <row r="227" spans="4:4" x14ac:dyDescent="0.2">
      <c r="D227" s="13"/>
    </row>
    <row r="228" spans="4:4" x14ac:dyDescent="0.2">
      <c r="D228" s="13"/>
    </row>
    <row r="229" spans="4:4" x14ac:dyDescent="0.2">
      <c r="D229" s="13"/>
    </row>
    <row r="230" spans="4:4" x14ac:dyDescent="0.2">
      <c r="D230" s="13"/>
    </row>
    <row r="231" spans="4:4" x14ac:dyDescent="0.2">
      <c r="D231" s="13"/>
    </row>
    <row r="232" spans="4:4" x14ac:dyDescent="0.2">
      <c r="D232" s="13"/>
    </row>
    <row r="233" spans="4:4" x14ac:dyDescent="0.2">
      <c r="D233" s="13"/>
    </row>
    <row r="234" spans="4:4" x14ac:dyDescent="0.2">
      <c r="D234" s="13"/>
    </row>
    <row r="235" spans="4:4" x14ac:dyDescent="0.2">
      <c r="D235" s="13"/>
    </row>
    <row r="236" spans="4:4" x14ac:dyDescent="0.2">
      <c r="D236" s="13"/>
    </row>
    <row r="237" spans="4:4" x14ac:dyDescent="0.2">
      <c r="D237" s="13"/>
    </row>
    <row r="238" spans="4:4" x14ac:dyDescent="0.2">
      <c r="D238" s="13"/>
    </row>
    <row r="239" spans="4:4" x14ac:dyDescent="0.2">
      <c r="D239" s="13"/>
    </row>
    <row r="240" spans="4:4" x14ac:dyDescent="0.2">
      <c r="D240" s="13"/>
    </row>
    <row r="241" spans="4:4" x14ac:dyDescent="0.2">
      <c r="D241" s="13"/>
    </row>
    <row r="242" spans="4:4" x14ac:dyDescent="0.2">
      <c r="D242" s="13"/>
    </row>
    <row r="243" spans="4:4" x14ac:dyDescent="0.2">
      <c r="D243" s="13"/>
    </row>
    <row r="244" spans="4:4" x14ac:dyDescent="0.2">
      <c r="D244" s="13"/>
    </row>
    <row r="245" spans="4:4" x14ac:dyDescent="0.2">
      <c r="D245" s="13"/>
    </row>
    <row r="246" spans="4:4" x14ac:dyDescent="0.2">
      <c r="D246" s="13"/>
    </row>
    <row r="247" spans="4:4" x14ac:dyDescent="0.2">
      <c r="D247" s="13"/>
    </row>
    <row r="248" spans="4:4" x14ac:dyDescent="0.2">
      <c r="D248" s="13"/>
    </row>
    <row r="249" spans="4:4" x14ac:dyDescent="0.2">
      <c r="D249" s="13"/>
    </row>
  </sheetData>
  <sheetProtection sheet="1" objects="1" scenarios="1" selectLockedCells="1"/>
  <mergeCells count="2">
    <mergeCell ref="B1:H1"/>
    <mergeCell ref="G6:H6"/>
  </mergeCells>
  <pageMargins left="0.7" right="0.7" top="0.78740157499999996" bottom="0.78740157499999996" header="0.3" footer="0.3"/>
  <pageSetup paperSize="8" scale="62" orientation="portrait" r:id="rId1"/>
  <drawing r:id="rId2"/>
  <legacyDrawing r:id="rId3"/>
  <controls>
    <mc:AlternateContent xmlns:mc="http://schemas.openxmlformats.org/markup-compatibility/2006">
      <mc:Choice Requires="x14">
        <control shapeId="125953" r:id="rId4" name="ComboBox1">
          <controlPr defaultSize="0" autoLine="0" r:id="rId5">
            <anchor moveWithCells="1">
              <from>
                <xdr:col>1</xdr:col>
                <xdr:colOff>1600200</xdr:colOff>
                <xdr:row>0</xdr:row>
                <xdr:rowOff>28575</xdr:rowOff>
              </from>
              <to>
                <xdr:col>1</xdr:col>
                <xdr:colOff>3400425</xdr:colOff>
                <xdr:row>0</xdr:row>
                <xdr:rowOff>657225</xdr:rowOff>
              </to>
            </anchor>
          </controlPr>
        </control>
      </mc:Choice>
      <mc:Fallback>
        <control shapeId="125953" r:id="rId4" name="ComboBox1"/>
      </mc:Fallback>
    </mc:AlternateContent>
    <mc:AlternateContent xmlns:mc="http://schemas.openxmlformats.org/markup-compatibility/2006">
      <mc:Choice Requires="x14">
        <control shapeId="125954" r:id="rId6" name="Löschbutton">
          <controlPr defaultSize="0" autoLine="0" r:id="rId7">
            <anchor moveWithCells="1">
              <from>
                <xdr:col>0</xdr:col>
                <xdr:colOff>123825</xdr:colOff>
                <xdr:row>0</xdr:row>
                <xdr:rowOff>28575</xdr:rowOff>
              </from>
              <to>
                <xdr:col>1</xdr:col>
                <xdr:colOff>1524000</xdr:colOff>
                <xdr:row>0</xdr:row>
                <xdr:rowOff>657225</xdr:rowOff>
              </to>
            </anchor>
          </controlPr>
        </control>
      </mc:Choice>
      <mc:Fallback>
        <control shapeId="125954" r:id="rId6" name="Löschbutton"/>
      </mc:Fallback>
    </mc:AlternateContent>
    <mc:AlternateContent xmlns:mc="http://schemas.openxmlformats.org/markup-compatibility/2006">
      <mc:Choice Requires="x14">
        <control shapeId="125955" r:id="rId8" name="Portfolioview">
          <controlPr defaultSize="0" autoLine="0" r:id="rId9">
            <anchor moveWithCells="1">
              <from>
                <xdr:col>1</xdr:col>
                <xdr:colOff>1600200</xdr:colOff>
                <xdr:row>0</xdr:row>
                <xdr:rowOff>28575</xdr:rowOff>
              </from>
              <to>
                <xdr:col>1</xdr:col>
                <xdr:colOff>3238500</xdr:colOff>
                <xdr:row>0</xdr:row>
                <xdr:rowOff>657225</xdr:rowOff>
              </to>
            </anchor>
          </controlPr>
        </control>
      </mc:Choice>
      <mc:Fallback>
        <control shapeId="125955" r:id="rId8" name="Portfolioview"/>
      </mc:Fallback>
    </mc:AlternateContent>
  </controls>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'Modell-Kalibrierung'!$E$29:$E$36</xm:f>
          </x14:formula1>
          <xm:sqref>D7:D59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4">
    <tabColor rgb="FF00B050"/>
    <pageSetUpPr fitToPage="1"/>
  </sheetPr>
  <dimension ref="A1:AJ189"/>
  <sheetViews>
    <sheetView view="pageBreakPreview" zoomScale="55" zoomScaleNormal="55" zoomScaleSheetLayoutView="55" zoomScalePageLayoutView="50" workbookViewId="0">
      <pane ySplit="32" topLeftCell="A33" activePane="bottomLeft" state="frozen"/>
      <selection activeCell="D31" sqref="D31"/>
      <selection pane="bottomLeft" activeCell="L35" sqref="L35"/>
    </sheetView>
  </sheetViews>
  <sheetFormatPr baseColWidth="10" defaultRowHeight="14.25" x14ac:dyDescent="0.2"/>
  <cols>
    <col min="1" max="1" width="3.75" customWidth="1"/>
    <col min="2" max="2" width="37.25" customWidth="1"/>
    <col min="3" max="3" width="44.125" customWidth="1"/>
    <col min="4" max="4" width="44.75" customWidth="1"/>
    <col min="5" max="5" width="38.75" customWidth="1"/>
    <col min="6" max="6" width="37.125" customWidth="1"/>
    <col min="7" max="7" width="26.375" customWidth="1"/>
    <col min="8" max="8" width="26.625" customWidth="1"/>
    <col min="9" max="9" width="26.375" customWidth="1"/>
    <col min="10" max="10" width="35.75" customWidth="1"/>
    <col min="11" max="11" width="15.25" bestFit="1" customWidth="1"/>
    <col min="12" max="12" width="62.375" bestFit="1" customWidth="1"/>
    <col min="13" max="13" width="3.75" style="54" customWidth="1"/>
    <col min="14" max="14" width="4.125" style="54" customWidth="1"/>
    <col min="15" max="15" width="11" style="99"/>
    <col min="16" max="16" width="17.875" style="99" customWidth="1"/>
    <col min="17" max="17" width="13.75" style="99" bestFit="1" customWidth="1"/>
    <col min="18" max="18" width="18.125" style="99" bestFit="1" customWidth="1"/>
    <col min="19" max="19" width="16.5" style="99" bestFit="1" customWidth="1"/>
    <col min="20" max="20" width="11" style="99"/>
    <col min="21" max="21" width="17.375" style="99" customWidth="1"/>
    <col min="22" max="23" width="11" style="99"/>
    <col min="24" max="24" width="22.125" style="99" bestFit="1" customWidth="1"/>
    <col min="25" max="25" width="18" style="99" customWidth="1"/>
    <col min="26" max="31" width="11" style="99"/>
  </cols>
  <sheetData>
    <row r="1" spans="1:16" s="100" customFormat="1" ht="46.5" hidden="1" customHeight="1" x14ac:dyDescent="0.2">
      <c r="B1" s="101" t="str">
        <f>B33</f>
        <v xml:space="preserve">Gesetzgebung </v>
      </c>
      <c r="C1" s="101" t="str">
        <f>B39</f>
        <v>politische Stabilität/ Rechtssicherheit</v>
      </c>
      <c r="D1" s="101" t="str">
        <f>B45</f>
        <v xml:space="preserve">Handelshemmnisse (Zölle/ Schranken/ regolatorische Hemmnisse ...) </v>
      </c>
      <c r="E1" s="101" t="str">
        <f>B51</f>
        <v xml:space="preserve">Wirtschaftswachstum </v>
      </c>
      <c r="F1" s="101" t="str">
        <f>B57</f>
        <v xml:space="preserve">Inflation, Zinsen, Wechselkurse </v>
      </c>
      <c r="G1" s="101" t="str">
        <f>B63</f>
        <v xml:space="preserve">Arbeitsmarkt (Quantität/ Qualität ...) </v>
      </c>
      <c r="H1" s="101" t="str">
        <f>B69</f>
        <v xml:space="preserve">Globalisierung/ Internationalisierung </v>
      </c>
      <c r="I1" s="101" t="str">
        <f>B75</f>
        <v xml:space="preserve">Ressourcenverfügbarkeit </v>
      </c>
      <c r="J1" s="101" t="str">
        <f>B81</f>
        <v xml:space="preserve">Werte </v>
      </c>
      <c r="K1" s="101" t="str">
        <f>B87</f>
        <v xml:space="preserve">Lebensstil/ Mentalitäten </v>
      </c>
      <c r="L1" s="101" t="str">
        <f>B93</f>
        <v>Bildung</v>
      </c>
      <c r="M1" s="100" t="str">
        <f>B99</f>
        <v xml:space="preserve">Forschung </v>
      </c>
      <c r="N1" s="102" t="str">
        <f>B105</f>
        <v xml:space="preserve">neue Technologien und Produkte </v>
      </c>
      <c r="O1" s="102" t="str">
        <f>B111</f>
        <v>neue Prozesse</v>
      </c>
      <c r="P1" s="102" t="str">
        <f>B117</f>
        <v>Produktlebenszyklen</v>
      </c>
    </row>
    <row r="2" spans="1:16" s="100" customFormat="1" hidden="1" x14ac:dyDescent="0.2">
      <c r="A2" s="100" t="str">
        <f>'Modell-Kalibrierung'!B16</f>
        <v>nicht vorhanden</v>
      </c>
      <c r="B2" s="100">
        <f t="shared" ref="B2:B8" si="0">COUNTIF(G$33:G$37,A2)+COUNTIF(I$33:I$37,A2)</f>
        <v>0</v>
      </c>
      <c r="C2" s="100">
        <f t="shared" ref="C2:C8" si="1">COUNTIF(G$39:G$43,A2)+COUNTIF(I$39:I$43,A2)</f>
        <v>0</v>
      </c>
      <c r="D2" s="100">
        <f t="shared" ref="D2:D8" si="2">COUNTIF(G$45:G$49,A2)+COUNTIF(I$45:I$49,A2)</f>
        <v>0</v>
      </c>
      <c r="E2" s="100">
        <f t="shared" ref="E2:E8" si="3">COUNTIF(G$51:G$55,A2)+COUNTIF(I$51:I$55,A2)</f>
        <v>0</v>
      </c>
      <c r="F2" s="100">
        <f t="shared" ref="F2:F8" si="4">COUNTIF(G$57:G$61,A2)+COUNTIF(I$57:I$61,A2)</f>
        <v>0</v>
      </c>
      <c r="G2" s="100">
        <f t="shared" ref="G2:G8" si="5">COUNTIF(G$63:G$67,A2)+COUNTIF(I$63:I$67,A2)</f>
        <v>0</v>
      </c>
      <c r="H2" s="100">
        <f t="shared" ref="H2:H8" si="6">COUNTIF(G$69:G$73,A2)+COUNTIF(I$69:I$73,A2)</f>
        <v>0</v>
      </c>
      <c r="I2" s="100">
        <f t="shared" ref="I2:I8" si="7">COUNTIF(G$75:G$79,A2)+COUNTIF(I$75:I$79,A2)</f>
        <v>0</v>
      </c>
      <c r="J2" s="100">
        <f t="shared" ref="J2:J8" si="8">COUNTIF(G$81:G$85,A2)+COUNTIF(I$81:I$85,A2)</f>
        <v>0</v>
      </c>
      <c r="K2" s="100">
        <f t="shared" ref="K2:K8" si="9">COUNTIF(G$87:G$91,A2)+COUNTIF(I$87:I$91,A2)</f>
        <v>0</v>
      </c>
      <c r="L2" s="100">
        <f t="shared" ref="L2:L8" si="10">COUNTIF(G$93:G$97,A2)+COUNTIF(I$93:I$97,A2)</f>
        <v>0</v>
      </c>
      <c r="M2" s="100">
        <f t="shared" ref="M2:M8" si="11">COUNTIF(G$99:G$103,A2)+COUNTIF(I$99:I$103,A2)</f>
        <v>0</v>
      </c>
      <c r="N2" s="100">
        <f t="shared" ref="N2:N8" si="12">COUNTIF(G$105:G$109,A2)+COUNTIF(I$105:I$109,A2)</f>
        <v>0</v>
      </c>
      <c r="O2" s="100">
        <f t="shared" ref="O2:O8" si="13">COUNTIF(G$111:G$115,A2)+COUNTIF(I$111:I$115,A2)</f>
        <v>0</v>
      </c>
      <c r="P2" s="100">
        <f t="shared" ref="P2:P8" si="14">COUNTIF(G$117:G$121,A2)+COUNTIF(I$117:I$121,A2)</f>
        <v>0</v>
      </c>
    </row>
    <row r="3" spans="1:16" s="100" customFormat="1" hidden="1" x14ac:dyDescent="0.2">
      <c r="A3" s="100" t="str">
        <f>'Modell-Kalibrierung'!B17</f>
        <v>sehr gering</v>
      </c>
      <c r="B3" s="100">
        <f t="shared" si="0"/>
        <v>0</v>
      </c>
      <c r="C3" s="100">
        <f t="shared" si="1"/>
        <v>0</v>
      </c>
      <c r="D3" s="100">
        <f t="shared" si="2"/>
        <v>0</v>
      </c>
      <c r="E3" s="100">
        <f t="shared" si="3"/>
        <v>0</v>
      </c>
      <c r="F3" s="100">
        <f t="shared" si="4"/>
        <v>0</v>
      </c>
      <c r="G3" s="100">
        <f t="shared" si="5"/>
        <v>0</v>
      </c>
      <c r="H3" s="100">
        <f t="shared" si="6"/>
        <v>0</v>
      </c>
      <c r="I3" s="100">
        <f t="shared" si="7"/>
        <v>0</v>
      </c>
      <c r="J3" s="100">
        <f t="shared" si="8"/>
        <v>0</v>
      </c>
      <c r="K3" s="100">
        <f t="shared" si="9"/>
        <v>0</v>
      </c>
      <c r="L3" s="100">
        <f t="shared" si="10"/>
        <v>0</v>
      </c>
      <c r="M3" s="100">
        <f t="shared" si="11"/>
        <v>0</v>
      </c>
      <c r="N3" s="100">
        <f t="shared" si="12"/>
        <v>0</v>
      </c>
      <c r="O3" s="100">
        <f t="shared" si="13"/>
        <v>0</v>
      </c>
      <c r="P3" s="100">
        <f t="shared" si="14"/>
        <v>0</v>
      </c>
    </row>
    <row r="4" spans="1:16" s="100" customFormat="1" hidden="1" x14ac:dyDescent="0.2">
      <c r="A4" s="100" t="str">
        <f>'Modell-Kalibrierung'!B18</f>
        <v>gering</v>
      </c>
      <c r="B4" s="100">
        <f t="shared" si="0"/>
        <v>0</v>
      </c>
      <c r="C4" s="100">
        <f t="shared" si="1"/>
        <v>0</v>
      </c>
      <c r="D4" s="100">
        <f t="shared" si="2"/>
        <v>0</v>
      </c>
      <c r="E4" s="100">
        <f t="shared" si="3"/>
        <v>0</v>
      </c>
      <c r="F4" s="100">
        <f t="shared" si="4"/>
        <v>0</v>
      </c>
      <c r="G4" s="100">
        <f t="shared" si="5"/>
        <v>0</v>
      </c>
      <c r="H4" s="100">
        <f t="shared" si="6"/>
        <v>0</v>
      </c>
      <c r="I4" s="100">
        <f t="shared" si="7"/>
        <v>0</v>
      </c>
      <c r="J4" s="100">
        <f t="shared" si="8"/>
        <v>0</v>
      </c>
      <c r="K4" s="100">
        <f t="shared" si="9"/>
        <v>0</v>
      </c>
      <c r="L4" s="100">
        <f t="shared" si="10"/>
        <v>0</v>
      </c>
      <c r="M4" s="100">
        <f t="shared" si="11"/>
        <v>0</v>
      </c>
      <c r="N4" s="100">
        <f t="shared" si="12"/>
        <v>0</v>
      </c>
      <c r="O4" s="100">
        <f t="shared" si="13"/>
        <v>0</v>
      </c>
      <c r="P4" s="100">
        <f t="shared" si="14"/>
        <v>0</v>
      </c>
    </row>
    <row r="5" spans="1:16" s="100" customFormat="1" hidden="1" x14ac:dyDescent="0.2">
      <c r="A5" s="100" t="str">
        <f>'Modell-Kalibrierung'!B19</f>
        <v>mittel</v>
      </c>
      <c r="B5" s="100">
        <f t="shared" si="0"/>
        <v>0</v>
      </c>
      <c r="C5" s="100">
        <f t="shared" si="1"/>
        <v>0</v>
      </c>
      <c r="D5" s="100">
        <f t="shared" si="2"/>
        <v>0</v>
      </c>
      <c r="E5" s="100">
        <f t="shared" si="3"/>
        <v>0</v>
      </c>
      <c r="F5" s="100">
        <f t="shared" si="4"/>
        <v>0</v>
      </c>
      <c r="G5" s="100">
        <f t="shared" si="5"/>
        <v>0</v>
      </c>
      <c r="H5" s="100">
        <f t="shared" si="6"/>
        <v>0</v>
      </c>
      <c r="I5" s="100">
        <f t="shared" si="7"/>
        <v>0</v>
      </c>
      <c r="J5" s="100">
        <f t="shared" si="8"/>
        <v>0</v>
      </c>
      <c r="K5" s="100">
        <f t="shared" si="9"/>
        <v>0</v>
      </c>
      <c r="L5" s="100">
        <f t="shared" si="10"/>
        <v>0</v>
      </c>
      <c r="M5" s="100">
        <f t="shared" si="11"/>
        <v>0</v>
      </c>
      <c r="N5" s="100">
        <f t="shared" si="12"/>
        <v>0</v>
      </c>
      <c r="O5" s="100">
        <f t="shared" si="13"/>
        <v>0</v>
      </c>
      <c r="P5" s="100">
        <f t="shared" si="14"/>
        <v>0</v>
      </c>
    </row>
    <row r="6" spans="1:16" s="100" customFormat="1" hidden="1" x14ac:dyDescent="0.2">
      <c r="A6" s="100" t="str">
        <f>'Modell-Kalibrierung'!B20</f>
        <v>hoch</v>
      </c>
      <c r="B6" s="100">
        <f t="shared" si="0"/>
        <v>0</v>
      </c>
      <c r="C6" s="100">
        <f t="shared" si="1"/>
        <v>0</v>
      </c>
      <c r="D6" s="100">
        <f t="shared" si="2"/>
        <v>0</v>
      </c>
      <c r="E6" s="100">
        <f t="shared" si="3"/>
        <v>0</v>
      </c>
      <c r="F6" s="100">
        <f t="shared" si="4"/>
        <v>0</v>
      </c>
      <c r="G6" s="100">
        <f t="shared" si="5"/>
        <v>0</v>
      </c>
      <c r="H6" s="100">
        <f t="shared" si="6"/>
        <v>0</v>
      </c>
      <c r="I6" s="100">
        <f t="shared" si="7"/>
        <v>0</v>
      </c>
      <c r="J6" s="100">
        <f t="shared" si="8"/>
        <v>0</v>
      </c>
      <c r="K6" s="100">
        <f t="shared" si="9"/>
        <v>0</v>
      </c>
      <c r="L6" s="100">
        <f t="shared" si="10"/>
        <v>0</v>
      </c>
      <c r="M6" s="100">
        <f t="shared" si="11"/>
        <v>0</v>
      </c>
      <c r="N6" s="100">
        <f t="shared" si="12"/>
        <v>0</v>
      </c>
      <c r="O6" s="100">
        <f t="shared" si="13"/>
        <v>0</v>
      </c>
      <c r="P6" s="100">
        <f t="shared" si="14"/>
        <v>0</v>
      </c>
    </row>
    <row r="7" spans="1:16" s="100" customFormat="1" hidden="1" x14ac:dyDescent="0.2">
      <c r="A7" s="100" t="str">
        <f>'Modell-Kalibrierung'!B21</f>
        <v>sehr hoch</v>
      </c>
      <c r="B7" s="100">
        <f t="shared" si="0"/>
        <v>0</v>
      </c>
      <c r="C7" s="100">
        <f t="shared" si="1"/>
        <v>0</v>
      </c>
      <c r="D7" s="100">
        <f t="shared" si="2"/>
        <v>0</v>
      </c>
      <c r="E7" s="100">
        <f t="shared" si="3"/>
        <v>0</v>
      </c>
      <c r="F7" s="100">
        <f t="shared" si="4"/>
        <v>0</v>
      </c>
      <c r="G7" s="100">
        <f t="shared" si="5"/>
        <v>0</v>
      </c>
      <c r="H7" s="100">
        <f t="shared" si="6"/>
        <v>0</v>
      </c>
      <c r="I7" s="100">
        <f t="shared" si="7"/>
        <v>0</v>
      </c>
      <c r="J7" s="100">
        <f t="shared" si="8"/>
        <v>0</v>
      </c>
      <c r="K7" s="100">
        <f t="shared" si="9"/>
        <v>0</v>
      </c>
      <c r="L7" s="100">
        <f t="shared" si="10"/>
        <v>0</v>
      </c>
      <c r="M7" s="100">
        <f t="shared" si="11"/>
        <v>0</v>
      </c>
      <c r="N7" s="100">
        <f t="shared" si="12"/>
        <v>0</v>
      </c>
      <c r="O7" s="100">
        <f t="shared" si="13"/>
        <v>0</v>
      </c>
      <c r="P7" s="100">
        <f t="shared" si="14"/>
        <v>0</v>
      </c>
    </row>
    <row r="8" spans="1:16" s="100" customFormat="1" hidden="1" x14ac:dyDescent="0.2">
      <c r="A8" s="100" t="str">
        <f>'Modell-Kalibrierung'!B22</f>
        <v>führt zum Abbruch</v>
      </c>
      <c r="B8" s="100">
        <f t="shared" si="0"/>
        <v>0</v>
      </c>
      <c r="C8" s="100">
        <f t="shared" si="1"/>
        <v>0</v>
      </c>
      <c r="D8" s="100">
        <f t="shared" si="2"/>
        <v>0</v>
      </c>
      <c r="E8" s="100">
        <f t="shared" si="3"/>
        <v>0</v>
      </c>
      <c r="F8" s="100">
        <f t="shared" si="4"/>
        <v>0</v>
      </c>
      <c r="G8" s="100">
        <f t="shared" si="5"/>
        <v>0</v>
      </c>
      <c r="H8" s="100">
        <f t="shared" si="6"/>
        <v>0</v>
      </c>
      <c r="I8" s="100">
        <f t="shared" si="7"/>
        <v>0</v>
      </c>
      <c r="J8" s="100">
        <f t="shared" si="8"/>
        <v>0</v>
      </c>
      <c r="K8" s="100">
        <f t="shared" si="9"/>
        <v>0</v>
      </c>
      <c r="L8" s="100">
        <f t="shared" si="10"/>
        <v>0</v>
      </c>
      <c r="M8" s="100">
        <f t="shared" si="11"/>
        <v>0</v>
      </c>
      <c r="N8" s="100">
        <f t="shared" si="12"/>
        <v>0</v>
      </c>
      <c r="O8" s="100">
        <f t="shared" si="13"/>
        <v>0</v>
      </c>
      <c r="P8" s="100">
        <f t="shared" si="14"/>
        <v>0</v>
      </c>
    </row>
    <row r="9" spans="1:16" s="100" customFormat="1" hidden="1" x14ac:dyDescent="0.2">
      <c r="A9" s="100" t="s">
        <v>82</v>
      </c>
      <c r="B9" s="100">
        <f t="shared" ref="B9:P9" si="15">IF(B8&gt;0,6,IF(B7&gt;0,5,IF(B6&gt;0,4,IF(B5&gt;0,3,IF(B4&gt;0,2,IF(B3&gt;0,1,IF(B2&gt;0,0,0)))))))</f>
        <v>0</v>
      </c>
      <c r="C9" s="100">
        <f t="shared" si="15"/>
        <v>0</v>
      </c>
      <c r="D9" s="100">
        <f t="shared" si="15"/>
        <v>0</v>
      </c>
      <c r="E9" s="100">
        <f t="shared" si="15"/>
        <v>0</v>
      </c>
      <c r="F9" s="100">
        <f t="shared" si="15"/>
        <v>0</v>
      </c>
      <c r="G9" s="100">
        <f t="shared" si="15"/>
        <v>0</v>
      </c>
      <c r="H9" s="100">
        <f t="shared" si="15"/>
        <v>0</v>
      </c>
      <c r="I9" s="100">
        <f t="shared" si="15"/>
        <v>0</v>
      </c>
      <c r="J9" s="100">
        <f t="shared" si="15"/>
        <v>0</v>
      </c>
      <c r="K9" s="100">
        <f t="shared" si="15"/>
        <v>0</v>
      </c>
      <c r="L9" s="100">
        <f t="shared" si="15"/>
        <v>0</v>
      </c>
      <c r="M9" s="100">
        <f t="shared" si="15"/>
        <v>0</v>
      </c>
      <c r="N9" s="100">
        <f t="shared" si="15"/>
        <v>0</v>
      </c>
      <c r="O9" s="100">
        <f t="shared" si="15"/>
        <v>0</v>
      </c>
      <c r="P9" s="100">
        <f t="shared" si="15"/>
        <v>0</v>
      </c>
    </row>
    <row r="10" spans="1:16" s="100" customFormat="1" hidden="1" x14ac:dyDescent="0.2"/>
    <row r="11" spans="1:16" s="100" customFormat="1" hidden="1" x14ac:dyDescent="0.2"/>
    <row r="12" spans="1:16" s="100" customFormat="1" hidden="1" x14ac:dyDescent="0.2"/>
    <row r="13" spans="1:16" s="100" customFormat="1" hidden="1" x14ac:dyDescent="0.2">
      <c r="C13" s="100" t="s">
        <v>23</v>
      </c>
      <c r="D13" s="100" t="s">
        <v>82</v>
      </c>
      <c r="E13" s="100" t="s">
        <v>83</v>
      </c>
    </row>
    <row r="14" spans="1:16" s="100" customFormat="1" hidden="1" x14ac:dyDescent="0.2">
      <c r="B14" s="102" t="str">
        <f t="array" ref="B14:B28">TRANSPOSE(B1:P1)</f>
        <v xml:space="preserve">Gesetzgebung </v>
      </c>
      <c r="C14" s="100">
        <f>K38</f>
        <v>0</v>
      </c>
      <c r="D14" s="100">
        <f t="array" ref="D14:D28">TRANSPOSE($B$9:$P$9)</f>
        <v>0</v>
      </c>
      <c r="E14" s="103">
        <f t="shared" ref="E14:E28" si="16">IF(C14&gt;0,C14/$M$31,0)</f>
        <v>0</v>
      </c>
      <c r="F14" s="100" t="s">
        <v>65</v>
      </c>
    </row>
    <row r="15" spans="1:16" s="100" customFormat="1" hidden="1" x14ac:dyDescent="0.2">
      <c r="B15" s="102" t="str">
        <v>politische Stabilität/ Rechtssicherheit</v>
      </c>
      <c r="C15" s="100">
        <f>K44</f>
        <v>0</v>
      </c>
      <c r="D15" s="100">
        <v>0</v>
      </c>
      <c r="E15" s="103">
        <f t="shared" si="16"/>
        <v>0</v>
      </c>
      <c r="F15" s="100" t="s">
        <v>65</v>
      </c>
    </row>
    <row r="16" spans="1:16" s="100" customFormat="1" ht="28.5" hidden="1" x14ac:dyDescent="0.2">
      <c r="B16" s="102" t="str">
        <v xml:space="preserve">Handelshemmnisse (Zölle/ Schranken/ regolatorische Hemmnisse ...) </v>
      </c>
      <c r="C16" s="100">
        <f>K50</f>
        <v>0</v>
      </c>
      <c r="D16" s="100">
        <v>0</v>
      </c>
      <c r="E16" s="103">
        <f t="shared" si="16"/>
        <v>0</v>
      </c>
      <c r="F16" s="100" t="s">
        <v>65</v>
      </c>
    </row>
    <row r="17" spans="1:14" s="100" customFormat="1" hidden="1" x14ac:dyDescent="0.2">
      <c r="B17" s="102" t="str">
        <v xml:space="preserve">Wirtschaftswachstum </v>
      </c>
      <c r="C17" s="100">
        <f>K56</f>
        <v>0</v>
      </c>
      <c r="D17" s="100">
        <v>0</v>
      </c>
      <c r="E17" s="103">
        <f t="shared" si="16"/>
        <v>0</v>
      </c>
      <c r="F17" s="100" t="s">
        <v>3</v>
      </c>
    </row>
    <row r="18" spans="1:14" s="100" customFormat="1" hidden="1" x14ac:dyDescent="0.2">
      <c r="B18" s="102" t="str">
        <v xml:space="preserve">Inflation, Zinsen, Wechselkurse </v>
      </c>
      <c r="C18" s="100">
        <f>K62</f>
        <v>0</v>
      </c>
      <c r="D18" s="100">
        <v>0</v>
      </c>
      <c r="E18" s="103">
        <f t="shared" si="16"/>
        <v>0</v>
      </c>
      <c r="F18" s="100" t="s">
        <v>3</v>
      </c>
    </row>
    <row r="19" spans="1:14" s="100" customFormat="1" hidden="1" x14ac:dyDescent="0.2">
      <c r="B19" s="102" t="str">
        <v xml:space="preserve">Arbeitsmarkt (Quantität/ Qualität ...) </v>
      </c>
      <c r="C19" s="100">
        <f>K68</f>
        <v>0</v>
      </c>
      <c r="D19" s="100">
        <v>0</v>
      </c>
      <c r="E19" s="103">
        <f t="shared" si="16"/>
        <v>0</v>
      </c>
      <c r="F19" s="100" t="s">
        <v>3</v>
      </c>
    </row>
    <row r="20" spans="1:14" s="100" customFormat="1" hidden="1" x14ac:dyDescent="0.2">
      <c r="B20" s="102" t="str">
        <v xml:space="preserve">Globalisierung/ Internationalisierung </v>
      </c>
      <c r="C20" s="100">
        <f>K74</f>
        <v>0</v>
      </c>
      <c r="D20" s="100">
        <v>0</v>
      </c>
      <c r="E20" s="103">
        <f t="shared" si="16"/>
        <v>0</v>
      </c>
      <c r="F20" s="100" t="s">
        <v>3</v>
      </c>
    </row>
    <row r="21" spans="1:14" s="100" customFormat="1" hidden="1" x14ac:dyDescent="0.2">
      <c r="B21" s="102" t="str">
        <v xml:space="preserve">Ressourcenverfügbarkeit </v>
      </c>
      <c r="C21" s="100">
        <f>K80</f>
        <v>0</v>
      </c>
      <c r="D21" s="100">
        <v>0</v>
      </c>
      <c r="E21" s="103">
        <f t="shared" si="16"/>
        <v>0</v>
      </c>
      <c r="F21" s="100" t="s">
        <v>3</v>
      </c>
    </row>
    <row r="22" spans="1:14" s="100" customFormat="1" hidden="1" x14ac:dyDescent="0.2">
      <c r="B22" s="102" t="str">
        <v xml:space="preserve">Werte </v>
      </c>
      <c r="C22" s="100">
        <f>K86</f>
        <v>0</v>
      </c>
      <c r="D22" s="100">
        <v>0</v>
      </c>
      <c r="E22" s="103">
        <f t="shared" si="16"/>
        <v>0</v>
      </c>
      <c r="F22" s="100" t="s">
        <v>4</v>
      </c>
    </row>
    <row r="23" spans="1:14" s="100" customFormat="1" hidden="1" x14ac:dyDescent="0.2">
      <c r="B23" s="102" t="str">
        <v xml:space="preserve">Lebensstil/ Mentalitäten </v>
      </c>
      <c r="C23" s="100">
        <f>K92</f>
        <v>0</v>
      </c>
      <c r="D23" s="100">
        <v>0</v>
      </c>
      <c r="E23" s="103">
        <f t="shared" si="16"/>
        <v>0</v>
      </c>
      <c r="F23" s="100" t="s">
        <v>4</v>
      </c>
    </row>
    <row r="24" spans="1:14" s="100" customFormat="1" hidden="1" x14ac:dyDescent="0.2">
      <c r="B24" s="102" t="str">
        <v>Bildung</v>
      </c>
      <c r="C24" s="100">
        <f>K98</f>
        <v>0</v>
      </c>
      <c r="D24" s="100">
        <v>0</v>
      </c>
      <c r="E24" s="103">
        <f t="shared" si="16"/>
        <v>0</v>
      </c>
      <c r="F24" s="100" t="s">
        <v>4</v>
      </c>
    </row>
    <row r="25" spans="1:14" s="100" customFormat="1" hidden="1" x14ac:dyDescent="0.2">
      <c r="B25" s="102" t="str">
        <v xml:space="preserve">Forschung </v>
      </c>
      <c r="C25" s="100">
        <f>K104</f>
        <v>0</v>
      </c>
      <c r="D25" s="100">
        <v>0</v>
      </c>
      <c r="E25" s="103">
        <f t="shared" si="16"/>
        <v>0</v>
      </c>
      <c r="F25" s="100" t="s">
        <v>5</v>
      </c>
    </row>
    <row r="26" spans="1:14" s="100" customFormat="1" hidden="1" x14ac:dyDescent="0.2">
      <c r="B26" s="102" t="str">
        <v xml:space="preserve">neue Technologien und Produkte </v>
      </c>
      <c r="C26" s="100">
        <f>K110</f>
        <v>0</v>
      </c>
      <c r="D26" s="100">
        <v>0</v>
      </c>
      <c r="E26" s="103">
        <f t="shared" si="16"/>
        <v>0</v>
      </c>
      <c r="F26" s="100" t="s">
        <v>5</v>
      </c>
    </row>
    <row r="27" spans="1:14" s="100" customFormat="1" hidden="1" x14ac:dyDescent="0.2">
      <c r="B27" s="102" t="str">
        <v>neue Prozesse</v>
      </c>
      <c r="C27" s="100">
        <f>K116</f>
        <v>0</v>
      </c>
      <c r="D27" s="100">
        <v>0</v>
      </c>
      <c r="E27" s="103">
        <f t="shared" si="16"/>
        <v>0</v>
      </c>
      <c r="F27" s="100" t="s">
        <v>5</v>
      </c>
    </row>
    <row r="28" spans="1:14" s="100" customFormat="1" hidden="1" x14ac:dyDescent="0.2">
      <c r="B28" s="102" t="str">
        <v>Produktlebenszyklen</v>
      </c>
      <c r="C28" s="100">
        <f>K122</f>
        <v>0</v>
      </c>
      <c r="D28" s="100">
        <v>0</v>
      </c>
      <c r="E28" s="103">
        <f t="shared" si="16"/>
        <v>0</v>
      </c>
      <c r="F28" s="100" t="s">
        <v>5</v>
      </c>
    </row>
    <row r="29" spans="1:14" s="100" customFormat="1" hidden="1" x14ac:dyDescent="0.2">
      <c r="M29" s="48"/>
      <c r="N29" s="48"/>
    </row>
    <row r="30" spans="1:14" s="100" customFormat="1" ht="33" hidden="1" customHeight="1" x14ac:dyDescent="0.2">
      <c r="M30" s="48"/>
      <c r="N30" s="48"/>
    </row>
    <row r="31" spans="1:14" ht="69.75" customHeight="1" thickBot="1" x14ac:dyDescent="0.25">
      <c r="A31" s="36"/>
      <c r="B31" s="149" t="s">
        <v>69</v>
      </c>
      <c r="C31" s="149"/>
      <c r="D31" s="149"/>
      <c r="E31" s="149"/>
      <c r="F31" s="149"/>
      <c r="G31" s="149"/>
      <c r="H31" s="149"/>
      <c r="I31" s="149"/>
      <c r="J31" s="149"/>
      <c r="K31" s="149"/>
      <c r="L31" s="149"/>
      <c r="M31" s="54">
        <f>SUM(K122,K116,K110,K104,K98,K92,K86,K80,K74,K68,K62,K56,K50,K44,K38)</f>
        <v>0</v>
      </c>
      <c r="N31" s="54">
        <f>MAX(K38,K44,K50,K56,K62,K68,K74,K80,K86,K92,K98,K104,K110,K116,K122,)+5</f>
        <v>5</v>
      </c>
    </row>
    <row r="32" spans="1:14" ht="63.75" customHeight="1" thickBot="1" x14ac:dyDescent="0.25">
      <c r="A32" s="36"/>
      <c r="B32" s="61" t="s">
        <v>0</v>
      </c>
      <c r="C32" s="61" t="s">
        <v>40</v>
      </c>
      <c r="D32" s="61" t="s">
        <v>1</v>
      </c>
      <c r="E32" s="61" t="s">
        <v>2</v>
      </c>
      <c r="F32" s="61" t="s">
        <v>6</v>
      </c>
      <c r="G32" s="61" t="s">
        <v>21</v>
      </c>
      <c r="H32" s="61" t="s">
        <v>7</v>
      </c>
      <c r="I32" s="61" t="s">
        <v>20</v>
      </c>
      <c r="J32" s="61" t="s">
        <v>10</v>
      </c>
      <c r="K32" s="61" t="s">
        <v>23</v>
      </c>
      <c r="L32" s="61" t="s">
        <v>93</v>
      </c>
      <c r="M32" s="54">
        <f>SUM(M33:M2033)</f>
        <v>5</v>
      </c>
    </row>
    <row r="33" spans="1:13" ht="20.25" x14ac:dyDescent="0.2">
      <c r="A33" s="136" t="s">
        <v>65</v>
      </c>
      <c r="B33" s="148" t="s">
        <v>9</v>
      </c>
      <c r="C33" s="11"/>
      <c r="D33" s="11"/>
      <c r="E33" s="6"/>
      <c r="F33" s="10"/>
      <c r="G33" s="8"/>
      <c r="H33" s="9"/>
      <c r="I33" s="8"/>
      <c r="J33" s="1" t="e">
        <f>1-VLOOKUP(H33,'Modell-Kalibrierung'!$B$3:$C$8,2,0)</f>
        <v>#N/A</v>
      </c>
      <c r="K33" s="93">
        <f>IF(ISNA(J33),0,VLOOKUP(G33,'Modell-Kalibrierung'!$B$16:$C$22,2,FALSE)*VLOOKUP(H33,'Modell-Kalibrierung'!$B$3:$C$8,2,0)+VLOOKUP(I33,'Modell-Kalibrierung'!$B$16:$C$22,2,0)*'STEP-Analyse Nigeria'!J33)</f>
        <v>0</v>
      </c>
      <c r="L33" s="6"/>
      <c r="M33" s="54">
        <v>1</v>
      </c>
    </row>
    <row r="34" spans="1:13" ht="20.25" x14ac:dyDescent="0.2">
      <c r="A34" s="137"/>
      <c r="B34" s="139"/>
      <c r="C34" s="10"/>
      <c r="D34" s="10"/>
      <c r="E34" s="6"/>
      <c r="F34" s="10"/>
      <c r="G34" s="8"/>
      <c r="H34" s="9"/>
      <c r="I34" s="8"/>
      <c r="J34" s="1" t="e">
        <f>1-VLOOKUP(H34,'Modell-Kalibrierung'!$B$3:$C$8,2,0)</f>
        <v>#N/A</v>
      </c>
      <c r="K34" s="93">
        <f>IF(ISNA(J34),0,VLOOKUP(G34,'Modell-Kalibrierung'!$B$16:$C$22,2,FALSE)*VLOOKUP(H34,'Modell-Kalibrierung'!$B$3:$C$8,2,0)+VLOOKUP(I34,'Modell-Kalibrierung'!$B$16:$C$22,2,0)*'STEP-Analyse Nigeria'!J34)</f>
        <v>0</v>
      </c>
      <c r="L34" s="6"/>
      <c r="M34" s="54">
        <v>1</v>
      </c>
    </row>
    <row r="35" spans="1:13" ht="20.25" x14ac:dyDescent="0.2">
      <c r="A35" s="137"/>
      <c r="B35" s="139"/>
      <c r="C35" s="10"/>
      <c r="D35" s="10"/>
      <c r="E35" s="6"/>
      <c r="F35" s="10"/>
      <c r="G35" s="8"/>
      <c r="H35" s="9"/>
      <c r="I35" s="8"/>
      <c r="J35" s="1" t="e">
        <f>1-VLOOKUP(H35,'Modell-Kalibrierung'!$B$3:$C$8,2,0)</f>
        <v>#N/A</v>
      </c>
      <c r="K35" s="93">
        <f>IF(ISNA(J35),0,VLOOKUP(G35,'Modell-Kalibrierung'!$B$16:$C$22,2,FALSE)*VLOOKUP(H35,'Modell-Kalibrierung'!$B$3:$C$8,2,0)+VLOOKUP(I35,'Modell-Kalibrierung'!$B$16:$C$22,2,0)*'STEP-Analyse Nigeria'!J35)</f>
        <v>0</v>
      </c>
      <c r="L35" s="6"/>
      <c r="M35" s="54">
        <v>1</v>
      </c>
    </row>
    <row r="36" spans="1:13" ht="29.25" customHeight="1" x14ac:dyDescent="0.2">
      <c r="A36" s="137"/>
      <c r="B36" s="139"/>
      <c r="C36" s="24"/>
      <c r="D36" s="10"/>
      <c r="E36" s="6"/>
      <c r="F36" s="10"/>
      <c r="G36" s="8"/>
      <c r="H36" s="9"/>
      <c r="I36" s="8"/>
      <c r="J36" s="1" t="e">
        <f>1-VLOOKUP(H36,'Modell-Kalibrierung'!$B$3:$C$8,2,0)</f>
        <v>#N/A</v>
      </c>
      <c r="K36" s="93">
        <f>IF(ISNA(J36),0,VLOOKUP(G36,'Modell-Kalibrierung'!$B$16:$C$22,2,FALSE)*VLOOKUP(H36,'Modell-Kalibrierung'!$B$3:$C$8,2,0)+VLOOKUP(I36,'Modell-Kalibrierung'!$B$16:$C$22,2,0)*'STEP-Analyse Nigeria'!J36)</f>
        <v>0</v>
      </c>
      <c r="L36" s="6"/>
      <c r="M36" s="54">
        <v>1</v>
      </c>
    </row>
    <row r="37" spans="1:13" ht="30" customHeight="1" thickBot="1" x14ac:dyDescent="0.25">
      <c r="A37" s="137"/>
      <c r="B37" s="139"/>
      <c r="C37" s="10"/>
      <c r="D37" s="10"/>
      <c r="E37" s="6"/>
      <c r="F37" s="10"/>
      <c r="G37" s="8"/>
      <c r="H37" s="9"/>
      <c r="I37" s="8"/>
      <c r="J37" s="1" t="e">
        <f>1-VLOOKUP(H37,'Modell-Kalibrierung'!$B$3:$C$8,2,0)</f>
        <v>#N/A</v>
      </c>
      <c r="K37" s="93">
        <f>IF(ISNA(J37),0,VLOOKUP(G37,'Modell-Kalibrierung'!$B$16:$C$22,2,FALSE)*VLOOKUP(H37,'Modell-Kalibrierung'!$B$3:$C$8,2,0)+VLOOKUP(I37,'Modell-Kalibrierung'!$B$16:$C$22,2,0)*'STEP-Analyse Nigeria'!J37)</f>
        <v>0</v>
      </c>
      <c r="L37" s="14"/>
      <c r="M37" s="54">
        <v>1</v>
      </c>
    </row>
    <row r="38" spans="1:13" ht="36" thickBot="1" x14ac:dyDescent="0.25">
      <c r="A38" s="137"/>
      <c r="B38" s="139"/>
      <c r="C38" s="125" t="str">
        <f>B33</f>
        <v xml:space="preserve">Gesetzgebung </v>
      </c>
      <c r="D38" s="126"/>
      <c r="E38" s="126"/>
      <c r="F38" s="126"/>
      <c r="G38" s="127"/>
      <c r="H38" s="127"/>
      <c r="I38" s="127"/>
      <c r="J38" s="128"/>
      <c r="K38" s="3">
        <f>SUM(K33:K37)</f>
        <v>0</v>
      </c>
      <c r="L38" s="16" t="str">
        <f>IF(K38=0,"0% Anteil am Gesamtprojektrisiko",(K38/$K$123))</f>
        <v>0% Anteil am Gesamtprojektrisiko</v>
      </c>
    </row>
    <row r="39" spans="1:13" ht="20.25" x14ac:dyDescent="0.2">
      <c r="A39" s="137"/>
      <c r="B39" s="141" t="s">
        <v>24</v>
      </c>
      <c r="C39" s="11"/>
      <c r="D39" s="11"/>
      <c r="E39" s="6"/>
      <c r="F39" s="10"/>
      <c r="G39" s="8"/>
      <c r="H39" s="9"/>
      <c r="I39" s="8"/>
      <c r="J39" s="12" t="e">
        <f>1-VLOOKUP(H39,'Modell-Kalibrierung'!$B$3:$C$8,2,0)</f>
        <v>#N/A</v>
      </c>
      <c r="K39" s="93">
        <f>IF(ISNA(J39),0,VLOOKUP(G39,'Modell-Kalibrierung'!$B$16:$C$22,2,FALSE)*VLOOKUP(H39,'Modell-Kalibrierung'!$B$3:$C$8,2,0)+VLOOKUP(I39,'Modell-Kalibrierung'!$B$16:$C$22,2,0)*'STEP-Analyse Nigeria'!J39)</f>
        <v>0</v>
      </c>
      <c r="L39" s="6"/>
    </row>
    <row r="40" spans="1:13" ht="20.25" x14ac:dyDescent="0.2">
      <c r="A40" s="137"/>
      <c r="B40" s="139"/>
      <c r="C40" s="11"/>
      <c r="D40" s="11"/>
      <c r="E40" s="6"/>
      <c r="F40" s="10"/>
      <c r="G40" s="8"/>
      <c r="H40" s="9"/>
      <c r="I40" s="8"/>
      <c r="J40" s="12" t="e">
        <f>1-VLOOKUP(H40,'Modell-Kalibrierung'!$B$3:$C$8,2,0)</f>
        <v>#N/A</v>
      </c>
      <c r="K40" s="93">
        <f>IF(ISNA(J40),0,VLOOKUP(G40,'Modell-Kalibrierung'!$B$16:$C$22,2,FALSE)*VLOOKUP(H40,'Modell-Kalibrierung'!$B$3:$C$8,2,0)+VLOOKUP(I40,'Modell-Kalibrierung'!$B$16:$C$22,2,0)*'STEP-Analyse Nigeria'!J40)</f>
        <v>0</v>
      </c>
      <c r="L40" s="6"/>
    </row>
    <row r="41" spans="1:13" ht="20.25" x14ac:dyDescent="0.2">
      <c r="A41" s="137"/>
      <c r="B41" s="139"/>
      <c r="C41" s="11"/>
      <c r="D41" s="11"/>
      <c r="E41" s="6"/>
      <c r="F41" s="10"/>
      <c r="G41" s="8"/>
      <c r="H41" s="9"/>
      <c r="I41" s="8"/>
      <c r="J41" s="12" t="e">
        <f>1-VLOOKUP(H41,'Modell-Kalibrierung'!$B$3:$C$8,2,0)</f>
        <v>#N/A</v>
      </c>
      <c r="K41" s="93">
        <f>IF(ISNA(J41),0,VLOOKUP(G41,'Modell-Kalibrierung'!$B$16:$C$22,2,FALSE)*VLOOKUP(H41,'Modell-Kalibrierung'!$B$3:$C$8,2,0)+VLOOKUP(I41,'Modell-Kalibrierung'!$B$16:$C$22,2,0)*'STEP-Analyse Nigeria'!J41)</f>
        <v>0</v>
      </c>
      <c r="L41" s="6"/>
    </row>
    <row r="42" spans="1:13" ht="20.25" x14ac:dyDescent="0.2">
      <c r="A42" s="137"/>
      <c r="B42" s="139"/>
      <c r="C42" s="11"/>
      <c r="D42" s="11"/>
      <c r="E42" s="6"/>
      <c r="F42" s="10"/>
      <c r="G42" s="8"/>
      <c r="H42" s="9"/>
      <c r="I42" s="8"/>
      <c r="J42" s="12" t="e">
        <f>1-VLOOKUP(H42,'Modell-Kalibrierung'!$B$3:$C$8,2,0)</f>
        <v>#N/A</v>
      </c>
      <c r="K42" s="93">
        <f>IF(ISNA(J42),0,VLOOKUP(G42,'Modell-Kalibrierung'!$B$16:$C$22,2,FALSE)*VLOOKUP(H42,'Modell-Kalibrierung'!$B$3:$C$8,2,0)+VLOOKUP(I42,'Modell-Kalibrierung'!$B$16:$C$22,2,0)*'STEP-Analyse Nigeria'!J42)</f>
        <v>0</v>
      </c>
      <c r="L42" s="6"/>
    </row>
    <row r="43" spans="1:13" ht="21" thickBot="1" x14ac:dyDescent="0.25">
      <c r="A43" s="137"/>
      <c r="B43" s="139"/>
      <c r="C43" s="11"/>
      <c r="D43" s="11"/>
      <c r="E43" s="6"/>
      <c r="F43" s="10"/>
      <c r="G43" s="8"/>
      <c r="H43" s="9"/>
      <c r="I43" s="8"/>
      <c r="J43" s="12" t="e">
        <f>1-VLOOKUP(H43,'Modell-Kalibrierung'!$B$3:$C$8,2,0)</f>
        <v>#N/A</v>
      </c>
      <c r="K43" s="93">
        <f>IF(ISNA(J43),0,VLOOKUP(G43,'Modell-Kalibrierung'!$B$16:$C$22,2,FALSE)*VLOOKUP(H43,'Modell-Kalibrierung'!$B$3:$C$8,2,0)+VLOOKUP(I43,'Modell-Kalibrierung'!$B$16:$C$22,2,0)*'STEP-Analyse Nigeria'!J43)</f>
        <v>0</v>
      </c>
      <c r="L43" s="6"/>
    </row>
    <row r="44" spans="1:13" ht="36" customHeight="1" thickBot="1" x14ac:dyDescent="0.25">
      <c r="A44" s="137"/>
      <c r="B44" s="140"/>
      <c r="C44" s="125" t="str">
        <f>B39</f>
        <v>politische Stabilität/ Rechtssicherheit</v>
      </c>
      <c r="D44" s="126"/>
      <c r="E44" s="126"/>
      <c r="F44" s="126"/>
      <c r="G44" s="127"/>
      <c r="H44" s="127"/>
      <c r="I44" s="127"/>
      <c r="J44" s="128"/>
      <c r="K44" s="3">
        <f>SUM(K39:K43)</f>
        <v>0</v>
      </c>
      <c r="L44" s="16" t="str">
        <f>IF(K44=0,"0% Anteil am Gesamtprojektrisiko",(K44/$K$123))</f>
        <v>0% Anteil am Gesamtprojektrisiko</v>
      </c>
    </row>
    <row r="45" spans="1:13" ht="20.25" x14ac:dyDescent="0.2">
      <c r="A45" s="137"/>
      <c r="B45" s="129" t="s">
        <v>25</v>
      </c>
      <c r="C45" s="11"/>
      <c r="D45" s="11"/>
      <c r="E45" s="6"/>
      <c r="F45" s="10"/>
      <c r="G45" s="8"/>
      <c r="H45" s="9"/>
      <c r="I45" s="8"/>
      <c r="J45" s="1" t="e">
        <f>1-VLOOKUP(H45,'Modell-Kalibrierung'!$B$3:$C$8,2,0)</f>
        <v>#N/A</v>
      </c>
      <c r="K45" s="93">
        <f>IF(ISNA(J45),0,VLOOKUP(G45,'Modell-Kalibrierung'!$B$16:$C$22,2,FALSE)*VLOOKUP(H45,'Modell-Kalibrierung'!$B$3:$C$8,2,0)+VLOOKUP(I45,'Modell-Kalibrierung'!$B$16:$C$22,2,0)*'STEP-Analyse Nigeria'!J45)</f>
        <v>0</v>
      </c>
      <c r="L45" s="6"/>
    </row>
    <row r="46" spans="1:13" ht="20.25" x14ac:dyDescent="0.2">
      <c r="A46" s="151"/>
      <c r="B46" s="130"/>
      <c r="C46" s="11"/>
      <c r="D46" s="11"/>
      <c r="E46" s="6"/>
      <c r="F46" s="10"/>
      <c r="G46" s="8"/>
      <c r="H46" s="9"/>
      <c r="I46" s="8"/>
      <c r="J46" s="1" t="e">
        <f>1-VLOOKUP(H46,'Modell-Kalibrierung'!$B$3:$C$8,2,0)</f>
        <v>#N/A</v>
      </c>
      <c r="K46" s="93">
        <f>IF(ISNA(J46),0,VLOOKUP(G46,'Modell-Kalibrierung'!$B$16:$C$22,2,FALSE)*VLOOKUP(H46,'Modell-Kalibrierung'!$B$3:$C$8,2,0)+VLOOKUP(I46,'Modell-Kalibrierung'!$B$16:$C$22,2,0)*'STEP-Analyse Nigeria'!J46)</f>
        <v>0</v>
      </c>
      <c r="L46" s="6"/>
    </row>
    <row r="47" spans="1:13" ht="20.25" x14ac:dyDescent="0.2">
      <c r="A47" s="151"/>
      <c r="B47" s="130"/>
      <c r="C47" s="11"/>
      <c r="D47" s="11"/>
      <c r="E47" s="6"/>
      <c r="F47" s="10"/>
      <c r="G47" s="8"/>
      <c r="H47" s="9"/>
      <c r="I47" s="8"/>
      <c r="J47" s="1" t="e">
        <f>1-VLOOKUP(H47,'Modell-Kalibrierung'!$B$3:$C$8,2,0)</f>
        <v>#N/A</v>
      </c>
      <c r="K47" s="93">
        <f>IF(ISNA(J47),0,VLOOKUP(G47,'Modell-Kalibrierung'!$B$16:$C$22,2,FALSE)*VLOOKUP(H47,'Modell-Kalibrierung'!$B$3:$C$8,2,0)+VLOOKUP(I47,'Modell-Kalibrierung'!$B$16:$C$22,2,0)*'STEP-Analyse Nigeria'!J47)</f>
        <v>0</v>
      </c>
      <c r="L47" s="6"/>
    </row>
    <row r="48" spans="1:13" ht="20.25" x14ac:dyDescent="0.2">
      <c r="A48" s="151"/>
      <c r="B48" s="130"/>
      <c r="C48" s="11"/>
      <c r="D48" s="11"/>
      <c r="E48" s="6"/>
      <c r="F48" s="10"/>
      <c r="G48" s="8"/>
      <c r="H48" s="9"/>
      <c r="I48" s="8"/>
      <c r="J48" s="1" t="e">
        <f>1-VLOOKUP(H48,'Modell-Kalibrierung'!$B$3:$C$8,2,0)</f>
        <v>#N/A</v>
      </c>
      <c r="K48" s="93">
        <f>IF(ISNA(J48),0,VLOOKUP(G48,'Modell-Kalibrierung'!$B$16:$C$22,2,FALSE)*VLOOKUP(H48,'Modell-Kalibrierung'!$B$3:$C$8,2,0)+VLOOKUP(I48,'Modell-Kalibrierung'!$B$16:$C$22,2,0)*'STEP-Analyse Nigeria'!J48)</f>
        <v>0</v>
      </c>
      <c r="L48" s="6"/>
    </row>
    <row r="49" spans="1:12" ht="21" thickBot="1" x14ac:dyDescent="0.25">
      <c r="A49" s="151"/>
      <c r="B49" s="130"/>
      <c r="C49" s="11"/>
      <c r="D49" s="11"/>
      <c r="E49" s="6"/>
      <c r="F49" s="10"/>
      <c r="G49" s="8"/>
      <c r="H49" s="9"/>
      <c r="I49" s="8"/>
      <c r="J49" s="1" t="e">
        <f>1-VLOOKUP(H49,'Modell-Kalibrierung'!$B$3:$C$8,2,0)</f>
        <v>#N/A</v>
      </c>
      <c r="K49" s="93">
        <f>IF(ISNA(J49),0,VLOOKUP(G49,'Modell-Kalibrierung'!$B$16:$C$22,2,FALSE)*VLOOKUP(H49,'Modell-Kalibrierung'!$B$3:$C$8,2,0)+VLOOKUP(I49,'Modell-Kalibrierung'!$B$16:$C$22,2,0)*'STEP-Analyse Nigeria'!J49)</f>
        <v>0</v>
      </c>
      <c r="L49" s="6"/>
    </row>
    <row r="50" spans="1:12" ht="36" customHeight="1" thickBot="1" x14ac:dyDescent="0.25">
      <c r="A50" s="138"/>
      <c r="B50" s="131"/>
      <c r="C50" s="132" t="str">
        <f>B45</f>
        <v xml:space="preserve">Handelshemmnisse (Zölle/ Schranken/ regolatorische Hemmnisse ...) </v>
      </c>
      <c r="D50" s="133"/>
      <c r="E50" s="133"/>
      <c r="F50" s="133"/>
      <c r="G50" s="134"/>
      <c r="H50" s="134"/>
      <c r="I50" s="134"/>
      <c r="J50" s="135"/>
      <c r="K50" s="3">
        <f>SUM(K45:K49)</f>
        <v>0</v>
      </c>
      <c r="L50" s="16" t="str">
        <f>IF(K50=0,"0% Anteil am Gesamtprojektrisiko",(K50/$K$123))</f>
        <v>0% Anteil am Gesamtprojektrisiko</v>
      </c>
    </row>
    <row r="51" spans="1:12" ht="20.25" x14ac:dyDescent="0.2">
      <c r="A51" s="136" t="s">
        <v>3</v>
      </c>
      <c r="B51" s="139" t="s">
        <v>26</v>
      </c>
      <c r="C51" s="7"/>
      <c r="D51" s="7"/>
      <c r="E51" s="6"/>
      <c r="F51" s="6"/>
      <c r="G51" s="8"/>
      <c r="H51" s="9"/>
      <c r="I51" s="8"/>
      <c r="J51" s="1" t="e">
        <f>1-VLOOKUP(H51,'Modell-Kalibrierung'!$B$3:$C$8,2,0)</f>
        <v>#N/A</v>
      </c>
      <c r="K51" s="93">
        <f>IF(ISNA(J51),0,VLOOKUP(G51,'Modell-Kalibrierung'!$B$16:$C$22,2,FALSE)*VLOOKUP(H51,'Modell-Kalibrierung'!$B$3:$C$8,2,0)+VLOOKUP(I51,'Modell-Kalibrierung'!$B$16:$C$22,2,0)*'STEP-Analyse Nigeria'!J51)</f>
        <v>0</v>
      </c>
      <c r="L51" s="6"/>
    </row>
    <row r="52" spans="1:12" ht="20.25" x14ac:dyDescent="0.2">
      <c r="A52" s="137"/>
      <c r="B52" s="139"/>
      <c r="C52" s="11"/>
      <c r="D52" s="11"/>
      <c r="E52" s="6"/>
      <c r="F52" s="10"/>
      <c r="G52" s="8"/>
      <c r="H52" s="9"/>
      <c r="I52" s="8"/>
      <c r="J52" s="1" t="e">
        <f>1-VLOOKUP(H52,'Modell-Kalibrierung'!$B$3:$C$8,2,0)</f>
        <v>#N/A</v>
      </c>
      <c r="K52" s="93">
        <f>IF(ISNA(J52),0,VLOOKUP(G52,'Modell-Kalibrierung'!$B$16:$C$22,2,FALSE)*VLOOKUP(H52,'Modell-Kalibrierung'!$B$3:$C$8,2,0)+VLOOKUP(I52,'Modell-Kalibrierung'!$B$16:$C$22,2,0)*'STEP-Analyse Nigeria'!J52)</f>
        <v>0</v>
      </c>
      <c r="L52" s="6"/>
    </row>
    <row r="53" spans="1:12" ht="20.25" x14ac:dyDescent="0.2">
      <c r="A53" s="137"/>
      <c r="B53" s="139"/>
      <c r="C53" s="11"/>
      <c r="D53" s="11"/>
      <c r="E53" s="6"/>
      <c r="F53" s="10"/>
      <c r="G53" s="8"/>
      <c r="H53" s="9"/>
      <c r="I53" s="8"/>
      <c r="J53" s="1" t="e">
        <f>1-VLOOKUP(H53,'Modell-Kalibrierung'!$B$3:$C$8,2,0)</f>
        <v>#N/A</v>
      </c>
      <c r="K53" s="93">
        <f>IF(ISNA(J53),0,VLOOKUP(G53,'Modell-Kalibrierung'!$B$16:$C$22,2,FALSE)*VLOOKUP(H53,'Modell-Kalibrierung'!$B$3:$C$8,2,0)+VLOOKUP(I53,'Modell-Kalibrierung'!$B$16:$C$22,2,0)*'STEP-Analyse Nigeria'!J53)</f>
        <v>0</v>
      </c>
      <c r="L53" s="6"/>
    </row>
    <row r="54" spans="1:12" ht="20.25" x14ac:dyDescent="0.2">
      <c r="A54" s="137"/>
      <c r="B54" s="139"/>
      <c r="C54" s="11"/>
      <c r="D54" s="11"/>
      <c r="E54" s="6"/>
      <c r="F54" s="10"/>
      <c r="G54" s="8"/>
      <c r="H54" s="9"/>
      <c r="I54" s="8"/>
      <c r="J54" s="1" t="e">
        <f>1-VLOOKUP(H54,'Modell-Kalibrierung'!$B$3:$C$8,2,0)</f>
        <v>#N/A</v>
      </c>
      <c r="K54" s="93">
        <f>IF(ISNA(J54),0,VLOOKUP(G54,'Modell-Kalibrierung'!$B$16:$C$22,2,FALSE)*VLOOKUP(H54,'Modell-Kalibrierung'!$B$3:$C$8,2,0)+VLOOKUP(I54,'Modell-Kalibrierung'!$B$16:$C$22,2,0)*'STEP-Analyse Nigeria'!J54)</f>
        <v>0</v>
      </c>
      <c r="L54" s="6"/>
    </row>
    <row r="55" spans="1:12" ht="21" thickBot="1" x14ac:dyDescent="0.25">
      <c r="A55" s="137"/>
      <c r="B55" s="139"/>
      <c r="C55" s="11"/>
      <c r="D55" s="11"/>
      <c r="E55" s="6"/>
      <c r="F55" s="10"/>
      <c r="G55" s="8"/>
      <c r="H55" s="9"/>
      <c r="I55" s="8"/>
      <c r="J55" s="1" t="e">
        <f>1-VLOOKUP(H55,'Modell-Kalibrierung'!$B$3:$C$8,2,0)</f>
        <v>#N/A</v>
      </c>
      <c r="K55" s="93">
        <f>IF(ISNA(J55),0,VLOOKUP(G55,'Modell-Kalibrierung'!$B$16:$C$22,2,FALSE)*VLOOKUP(H55,'Modell-Kalibrierung'!$B$3:$C$8,2,0)+VLOOKUP(I55,'Modell-Kalibrierung'!$B$16:$C$22,2,0)*'STEP-Analyse Nigeria'!J55)</f>
        <v>0</v>
      </c>
      <c r="L55" s="6"/>
    </row>
    <row r="56" spans="1:12" ht="36" customHeight="1" thickBot="1" x14ac:dyDescent="0.25">
      <c r="A56" s="137"/>
      <c r="B56" s="140"/>
      <c r="C56" s="125" t="str">
        <f>B51</f>
        <v xml:space="preserve">Wirtschaftswachstum </v>
      </c>
      <c r="D56" s="126"/>
      <c r="E56" s="126"/>
      <c r="F56" s="126"/>
      <c r="G56" s="127"/>
      <c r="H56" s="127"/>
      <c r="I56" s="127"/>
      <c r="J56" s="128"/>
      <c r="K56" s="3">
        <f>SUM(K51:K55)</f>
        <v>0</v>
      </c>
      <c r="L56" s="16" t="str">
        <f>IF(K56=0,"0% Anteil am Gesamtprojektrisiko",(K56/$K$123))</f>
        <v>0% Anteil am Gesamtprojektrisiko</v>
      </c>
    </row>
    <row r="57" spans="1:12" ht="20.25" x14ac:dyDescent="0.2">
      <c r="A57" s="137"/>
      <c r="B57" s="141" t="s">
        <v>27</v>
      </c>
      <c r="C57" s="7"/>
      <c r="D57" s="7"/>
      <c r="E57" s="6"/>
      <c r="F57" s="6"/>
      <c r="G57" s="8"/>
      <c r="H57" s="9"/>
      <c r="I57" s="8"/>
      <c r="J57" s="1" t="e">
        <f>1-VLOOKUP(H57,'Modell-Kalibrierung'!$B$3:$C$8,2,0)</f>
        <v>#N/A</v>
      </c>
      <c r="K57" s="93">
        <f>IF(ISNA(J57),0,VLOOKUP(G57,'Modell-Kalibrierung'!$B$16:$C$22,2,FALSE)*VLOOKUP(H57,'Modell-Kalibrierung'!$B$3:$C$8,2,0)+VLOOKUP(I57,'Modell-Kalibrierung'!$B$16:$C$22,2,0)*'STEP-Analyse Nigeria'!J57)</f>
        <v>0</v>
      </c>
      <c r="L57" s="6"/>
    </row>
    <row r="58" spans="1:12" ht="20.25" x14ac:dyDescent="0.2">
      <c r="A58" s="137"/>
      <c r="B58" s="139"/>
      <c r="C58" s="11"/>
      <c r="D58" s="11"/>
      <c r="E58" s="6"/>
      <c r="F58" s="10"/>
      <c r="G58" s="8"/>
      <c r="H58" s="9"/>
      <c r="I58" s="8"/>
      <c r="J58" s="1" t="e">
        <f>1-VLOOKUP(H58,'Modell-Kalibrierung'!$B$3:$C$8,2,0)</f>
        <v>#N/A</v>
      </c>
      <c r="K58" s="93">
        <f>IF(ISNA(J58),0,VLOOKUP(G58,'Modell-Kalibrierung'!$B$16:$C$22,2,FALSE)*VLOOKUP(H58,'Modell-Kalibrierung'!$B$3:$C$8,2,0)+VLOOKUP(I58,'Modell-Kalibrierung'!$B$16:$C$22,2,0)*'STEP-Analyse Nigeria'!J58)</f>
        <v>0</v>
      </c>
      <c r="L58" s="6"/>
    </row>
    <row r="59" spans="1:12" ht="20.25" x14ac:dyDescent="0.2">
      <c r="A59" s="137"/>
      <c r="B59" s="139"/>
      <c r="C59" s="11"/>
      <c r="D59" s="11"/>
      <c r="E59" s="6"/>
      <c r="F59" s="10"/>
      <c r="G59" s="8"/>
      <c r="H59" s="9"/>
      <c r="I59" s="8"/>
      <c r="J59" s="1" t="e">
        <f>1-VLOOKUP(H59,'Modell-Kalibrierung'!$B$3:$C$8,2,0)</f>
        <v>#N/A</v>
      </c>
      <c r="K59" s="93">
        <f>IF(ISNA(J59),0,VLOOKUP(G59,'Modell-Kalibrierung'!$B$16:$C$22,2,FALSE)*VLOOKUP(H59,'Modell-Kalibrierung'!$B$3:$C$8,2,0)+VLOOKUP(I59,'Modell-Kalibrierung'!$B$16:$C$22,2,0)*'STEP-Analyse Nigeria'!J59)</f>
        <v>0</v>
      </c>
      <c r="L59" s="6"/>
    </row>
    <row r="60" spans="1:12" ht="20.25" x14ac:dyDescent="0.2">
      <c r="A60" s="137"/>
      <c r="B60" s="139"/>
      <c r="C60" s="11"/>
      <c r="D60" s="11"/>
      <c r="E60" s="6"/>
      <c r="F60" s="10"/>
      <c r="G60" s="8"/>
      <c r="H60" s="9"/>
      <c r="I60" s="8"/>
      <c r="J60" s="1" t="e">
        <f>1-VLOOKUP(H60,'Modell-Kalibrierung'!$B$3:$C$8,2,0)</f>
        <v>#N/A</v>
      </c>
      <c r="K60" s="93">
        <f>IF(ISNA(J60),0,VLOOKUP(G60,'Modell-Kalibrierung'!$B$16:$C$22,2,FALSE)*VLOOKUP(H60,'Modell-Kalibrierung'!$B$3:$C$8,2,0)+VLOOKUP(I60,'Modell-Kalibrierung'!$B$16:$C$22,2,0)*'STEP-Analyse Nigeria'!J60)</f>
        <v>0</v>
      </c>
      <c r="L60" s="6"/>
    </row>
    <row r="61" spans="1:12" ht="21" thickBot="1" x14ac:dyDescent="0.25">
      <c r="A61" s="137"/>
      <c r="B61" s="139"/>
      <c r="C61" s="11"/>
      <c r="D61" s="11"/>
      <c r="E61" s="6"/>
      <c r="F61" s="10"/>
      <c r="G61" s="8"/>
      <c r="H61" s="9"/>
      <c r="I61" s="8"/>
      <c r="J61" s="1" t="e">
        <f>1-VLOOKUP(H61,'Modell-Kalibrierung'!$B$3:$C$8,2,0)</f>
        <v>#N/A</v>
      </c>
      <c r="K61" s="93">
        <f>IF(ISNA(J61),0,VLOOKUP(G61,'Modell-Kalibrierung'!$B$16:$C$22,2,FALSE)*VLOOKUP(H61,'Modell-Kalibrierung'!$B$3:$C$8,2,0)+VLOOKUP(I61,'Modell-Kalibrierung'!$B$16:$C$22,2,0)*'STEP-Analyse Nigeria'!J61)</f>
        <v>0</v>
      </c>
      <c r="L61" s="6"/>
    </row>
    <row r="62" spans="1:12" ht="36" customHeight="1" thickBot="1" x14ac:dyDescent="0.25">
      <c r="A62" s="137"/>
      <c r="B62" s="140"/>
      <c r="C62" s="125" t="str">
        <f>B57</f>
        <v xml:space="preserve">Inflation, Zinsen, Wechselkurse </v>
      </c>
      <c r="D62" s="126"/>
      <c r="E62" s="126"/>
      <c r="F62" s="126"/>
      <c r="G62" s="127"/>
      <c r="H62" s="127"/>
      <c r="I62" s="127"/>
      <c r="J62" s="128"/>
      <c r="K62" s="3">
        <f>SUM(K57:K61)</f>
        <v>0</v>
      </c>
      <c r="L62" s="16" t="str">
        <f>IF(K62=0,"0% Anteil am Gesamtprojektrisiko",(K62/$K$123))</f>
        <v>0% Anteil am Gesamtprojektrisiko</v>
      </c>
    </row>
    <row r="63" spans="1:12" ht="20.25" x14ac:dyDescent="0.2">
      <c r="A63" s="137"/>
      <c r="B63" s="141" t="s">
        <v>28</v>
      </c>
      <c r="C63" s="7"/>
      <c r="D63" s="7"/>
      <c r="E63" s="6"/>
      <c r="F63" s="6"/>
      <c r="G63" s="8"/>
      <c r="H63" s="9"/>
      <c r="I63" s="8"/>
      <c r="J63" s="1" t="e">
        <f>1-VLOOKUP(H63,'Modell-Kalibrierung'!$B$3:$C$8,2,0)</f>
        <v>#N/A</v>
      </c>
      <c r="K63" s="93">
        <f>IF(ISNA(J63),0,VLOOKUP(G63,'Modell-Kalibrierung'!$B$16:$C$22,2,FALSE)*VLOOKUP(H63,'Modell-Kalibrierung'!$B$3:$C$8,2,0)+VLOOKUP(I63,'Modell-Kalibrierung'!$B$16:$C$22,2,0)*'STEP-Analyse Nigeria'!J63)</f>
        <v>0</v>
      </c>
      <c r="L63" s="6"/>
    </row>
    <row r="64" spans="1:12" ht="20.25" x14ac:dyDescent="0.2">
      <c r="A64" s="137"/>
      <c r="B64" s="139"/>
      <c r="C64" s="11"/>
      <c r="D64" s="11"/>
      <c r="E64" s="6"/>
      <c r="F64" s="10"/>
      <c r="G64" s="8"/>
      <c r="H64" s="9"/>
      <c r="I64" s="8"/>
      <c r="J64" s="1" t="e">
        <f>1-VLOOKUP(H64,'Modell-Kalibrierung'!$B$3:$C$8,2,0)</f>
        <v>#N/A</v>
      </c>
      <c r="K64" s="93">
        <f>IF(ISNA(J64),0,VLOOKUP(G64,'Modell-Kalibrierung'!$B$16:$C$22,2,FALSE)*VLOOKUP(H64,'Modell-Kalibrierung'!$B$3:$C$8,2,0)+VLOOKUP(I64,'Modell-Kalibrierung'!$B$16:$C$22,2,0)*'STEP-Analyse Nigeria'!J64)</f>
        <v>0</v>
      </c>
      <c r="L64" s="6"/>
    </row>
    <row r="65" spans="1:12" ht="20.25" x14ac:dyDescent="0.2">
      <c r="A65" s="137"/>
      <c r="B65" s="139"/>
      <c r="C65" s="11"/>
      <c r="D65" s="11"/>
      <c r="E65" s="6"/>
      <c r="F65" s="10"/>
      <c r="G65" s="8"/>
      <c r="H65" s="9"/>
      <c r="I65" s="8"/>
      <c r="J65" s="1" t="e">
        <f>1-VLOOKUP(H65,'Modell-Kalibrierung'!$B$3:$C$8,2,0)</f>
        <v>#N/A</v>
      </c>
      <c r="K65" s="93">
        <f>IF(ISNA(J65),0,VLOOKUP(G65,'Modell-Kalibrierung'!$B$16:$C$22,2,FALSE)*VLOOKUP(H65,'Modell-Kalibrierung'!$B$3:$C$8,2,0)+VLOOKUP(I65,'Modell-Kalibrierung'!$B$16:$C$22,2,0)*'STEP-Analyse Nigeria'!J65)</f>
        <v>0</v>
      </c>
      <c r="L65" s="6"/>
    </row>
    <row r="66" spans="1:12" ht="20.25" x14ac:dyDescent="0.2">
      <c r="A66" s="137"/>
      <c r="B66" s="139"/>
      <c r="C66" s="11"/>
      <c r="D66" s="11"/>
      <c r="E66" s="6"/>
      <c r="F66" s="10"/>
      <c r="G66" s="8"/>
      <c r="H66" s="9"/>
      <c r="I66" s="8"/>
      <c r="J66" s="1" t="e">
        <f>1-VLOOKUP(H66,'Modell-Kalibrierung'!$B$3:$C$8,2,0)</f>
        <v>#N/A</v>
      </c>
      <c r="K66" s="93">
        <f>IF(ISNA(J66),0,VLOOKUP(G66,'Modell-Kalibrierung'!$B$16:$C$22,2,FALSE)*VLOOKUP(H66,'Modell-Kalibrierung'!$B$3:$C$8,2,0)+VLOOKUP(I66,'Modell-Kalibrierung'!$B$16:$C$22,2,0)*'STEP-Analyse Nigeria'!J66)</f>
        <v>0</v>
      </c>
      <c r="L66" s="6"/>
    </row>
    <row r="67" spans="1:12" ht="21" thickBot="1" x14ac:dyDescent="0.25">
      <c r="A67" s="137"/>
      <c r="B67" s="139"/>
      <c r="C67" s="11"/>
      <c r="D67" s="11"/>
      <c r="E67" s="6"/>
      <c r="F67" s="10"/>
      <c r="G67" s="8"/>
      <c r="H67" s="9"/>
      <c r="I67" s="8"/>
      <c r="J67" s="1" t="e">
        <f>1-VLOOKUP(H67,'Modell-Kalibrierung'!$B$3:$C$8,2,0)</f>
        <v>#N/A</v>
      </c>
      <c r="K67" s="93">
        <f>IF(ISNA(J67),0,VLOOKUP(G67,'Modell-Kalibrierung'!$B$16:$C$22,2,FALSE)*VLOOKUP(H67,'Modell-Kalibrierung'!$B$3:$C$8,2,0)+VLOOKUP(I67,'Modell-Kalibrierung'!$B$16:$C$22,2,0)*'STEP-Analyse Nigeria'!J67)</f>
        <v>0</v>
      </c>
      <c r="L67" s="6"/>
    </row>
    <row r="68" spans="1:12" ht="36" customHeight="1" thickBot="1" x14ac:dyDescent="0.25">
      <c r="A68" s="137"/>
      <c r="B68" s="140"/>
      <c r="C68" s="125" t="str">
        <f>B63</f>
        <v xml:space="preserve">Arbeitsmarkt (Quantität/ Qualität ...) </v>
      </c>
      <c r="D68" s="126"/>
      <c r="E68" s="126"/>
      <c r="F68" s="126"/>
      <c r="G68" s="127"/>
      <c r="H68" s="127"/>
      <c r="I68" s="127"/>
      <c r="J68" s="128"/>
      <c r="K68" s="3">
        <f>SUM(K63:K67)</f>
        <v>0</v>
      </c>
      <c r="L68" s="16" t="str">
        <f>IF(K68=0,"0% Anteil am Gesamtprojektrisiko",(K68/$K$123))</f>
        <v>0% Anteil am Gesamtprojektrisiko</v>
      </c>
    </row>
    <row r="69" spans="1:12" ht="20.25" x14ac:dyDescent="0.2">
      <c r="A69" s="137"/>
      <c r="B69" s="141" t="s">
        <v>29</v>
      </c>
      <c r="C69" s="7"/>
      <c r="D69" s="7"/>
      <c r="E69" s="6"/>
      <c r="F69" s="6"/>
      <c r="G69" s="8"/>
      <c r="H69" s="9"/>
      <c r="I69" s="8"/>
      <c r="J69" s="1" t="e">
        <f>1-VLOOKUP(H69,'Modell-Kalibrierung'!$B$3:$C$8,2,0)</f>
        <v>#N/A</v>
      </c>
      <c r="K69" s="93">
        <f>IF(ISNA(J69),0,VLOOKUP(G69,'Modell-Kalibrierung'!$B$16:$C$22,2,FALSE)*VLOOKUP(H69,'Modell-Kalibrierung'!$B$3:$C$8,2,0)+VLOOKUP(I69,'Modell-Kalibrierung'!$B$16:$C$22,2,0)*'STEP-Analyse Nigeria'!J69)</f>
        <v>0</v>
      </c>
      <c r="L69" s="6"/>
    </row>
    <row r="70" spans="1:12" ht="20.25" x14ac:dyDescent="0.2">
      <c r="A70" s="137"/>
      <c r="B70" s="139"/>
      <c r="C70" s="11"/>
      <c r="D70" s="11"/>
      <c r="E70" s="6"/>
      <c r="F70" s="10"/>
      <c r="G70" s="8"/>
      <c r="H70" s="9"/>
      <c r="I70" s="8"/>
      <c r="J70" s="1" t="e">
        <f>1-VLOOKUP(H70,'Modell-Kalibrierung'!$B$3:$C$8,2,0)</f>
        <v>#N/A</v>
      </c>
      <c r="K70" s="93">
        <f>IF(ISNA(J70),0,VLOOKUP(G70,'Modell-Kalibrierung'!$B$16:$C$22,2,FALSE)*VLOOKUP(H70,'Modell-Kalibrierung'!$B$3:$C$8,2,0)+VLOOKUP(I70,'Modell-Kalibrierung'!$B$16:$C$22,2,0)*'STEP-Analyse Nigeria'!J70)</f>
        <v>0</v>
      </c>
      <c r="L70" s="6"/>
    </row>
    <row r="71" spans="1:12" ht="20.25" x14ac:dyDescent="0.2">
      <c r="A71" s="137"/>
      <c r="B71" s="139"/>
      <c r="C71" s="11"/>
      <c r="D71" s="11"/>
      <c r="E71" s="6"/>
      <c r="F71" s="10"/>
      <c r="G71" s="8"/>
      <c r="H71" s="9"/>
      <c r="I71" s="8"/>
      <c r="J71" s="1" t="e">
        <f>1-VLOOKUP(H71,'Modell-Kalibrierung'!$B$3:$C$8,2,0)</f>
        <v>#N/A</v>
      </c>
      <c r="K71" s="93">
        <f>IF(ISNA(J71),0,VLOOKUP(G71,'Modell-Kalibrierung'!$B$16:$C$22,2,FALSE)*VLOOKUP(H71,'Modell-Kalibrierung'!$B$3:$C$8,2,0)+VLOOKUP(I71,'Modell-Kalibrierung'!$B$16:$C$22,2,0)*'STEP-Analyse Nigeria'!J71)</f>
        <v>0</v>
      </c>
      <c r="L71" s="6"/>
    </row>
    <row r="72" spans="1:12" ht="20.25" x14ac:dyDescent="0.2">
      <c r="A72" s="137"/>
      <c r="B72" s="139"/>
      <c r="C72" s="11"/>
      <c r="D72" s="11"/>
      <c r="E72" s="6"/>
      <c r="F72" s="10"/>
      <c r="G72" s="8"/>
      <c r="H72" s="9"/>
      <c r="I72" s="8"/>
      <c r="J72" s="1" t="e">
        <f>1-VLOOKUP(H72,'Modell-Kalibrierung'!$B$3:$C$8,2,0)</f>
        <v>#N/A</v>
      </c>
      <c r="K72" s="93">
        <f>IF(ISNA(J72),0,VLOOKUP(G72,'Modell-Kalibrierung'!$B$16:$C$22,2,FALSE)*VLOOKUP(H72,'Modell-Kalibrierung'!$B$3:$C$8,2,0)+VLOOKUP(I72,'Modell-Kalibrierung'!$B$16:$C$22,2,0)*'STEP-Analyse Nigeria'!J72)</f>
        <v>0</v>
      </c>
      <c r="L72" s="6"/>
    </row>
    <row r="73" spans="1:12" ht="21" thickBot="1" x14ac:dyDescent="0.25">
      <c r="A73" s="137"/>
      <c r="B73" s="139"/>
      <c r="C73" s="11"/>
      <c r="D73" s="11"/>
      <c r="E73" s="6"/>
      <c r="F73" s="10"/>
      <c r="G73" s="8"/>
      <c r="H73" s="9"/>
      <c r="I73" s="8"/>
      <c r="J73" s="1" t="e">
        <f>1-VLOOKUP(H73,'Modell-Kalibrierung'!$B$3:$C$8,2,0)</f>
        <v>#N/A</v>
      </c>
      <c r="K73" s="93">
        <f>IF(ISNA(J73),0,VLOOKUP(G73,'Modell-Kalibrierung'!$B$16:$C$22,2,FALSE)*VLOOKUP(H73,'Modell-Kalibrierung'!$B$3:$C$8,2,0)+VLOOKUP(I73,'Modell-Kalibrierung'!$B$16:$C$22,2,0)*'STEP-Analyse Nigeria'!J73)</f>
        <v>0</v>
      </c>
      <c r="L73" s="6"/>
    </row>
    <row r="74" spans="1:12" ht="36" customHeight="1" thickBot="1" x14ac:dyDescent="0.25">
      <c r="A74" s="137"/>
      <c r="B74" s="139"/>
      <c r="C74" s="125" t="str">
        <f>B69</f>
        <v xml:space="preserve">Globalisierung/ Internationalisierung </v>
      </c>
      <c r="D74" s="126"/>
      <c r="E74" s="126"/>
      <c r="F74" s="126"/>
      <c r="G74" s="127"/>
      <c r="H74" s="127"/>
      <c r="I74" s="127"/>
      <c r="J74" s="128"/>
      <c r="K74" s="3">
        <f>SUM(K69:K73)</f>
        <v>0</v>
      </c>
      <c r="L74" s="16" t="str">
        <f>IF(K74=0,"0% Anteil am Gesamtprojektrisiko",(K74/$K$123))</f>
        <v>0% Anteil am Gesamtprojektrisiko</v>
      </c>
    </row>
    <row r="75" spans="1:12" ht="20.25" x14ac:dyDescent="0.2">
      <c r="A75" s="137"/>
      <c r="B75" s="141" t="s">
        <v>30</v>
      </c>
      <c r="C75" s="11"/>
      <c r="D75" s="11"/>
      <c r="E75" s="10"/>
      <c r="F75" s="10"/>
      <c r="G75" s="8"/>
      <c r="H75" s="9"/>
      <c r="I75" s="8"/>
      <c r="J75" s="5" t="e">
        <f>1-VLOOKUP(H75,'Modell-Kalibrierung'!$B$3:$C$8,2,0)</f>
        <v>#N/A</v>
      </c>
      <c r="K75" s="93">
        <f>IF(ISNA(J75),0,VLOOKUP(G75,'Modell-Kalibrierung'!$B$16:$C$22,2,FALSE)*VLOOKUP(H75,'Modell-Kalibrierung'!$B$3:$C$8,2,0)+VLOOKUP(I75,'Modell-Kalibrierung'!$B$16:$C$22,2,0)*'STEP-Analyse Nigeria'!J75)</f>
        <v>0</v>
      </c>
      <c r="L75" s="10"/>
    </row>
    <row r="76" spans="1:12" ht="20.25" x14ac:dyDescent="0.2">
      <c r="A76" s="137"/>
      <c r="B76" s="139"/>
      <c r="C76" s="11"/>
      <c r="D76" s="11"/>
      <c r="E76" s="6"/>
      <c r="F76" s="10"/>
      <c r="G76" s="8"/>
      <c r="H76" s="9"/>
      <c r="I76" s="8"/>
      <c r="J76" s="1" t="e">
        <f>1-VLOOKUP(H76,'Modell-Kalibrierung'!$B$3:$C$8,2,0)</f>
        <v>#N/A</v>
      </c>
      <c r="K76" s="93">
        <f>IF(ISNA(J76),0,VLOOKUP(G76,'Modell-Kalibrierung'!$B$16:$C$22,2,FALSE)*VLOOKUP(H76,'Modell-Kalibrierung'!$B$3:$C$8,2,0)+VLOOKUP(I76,'Modell-Kalibrierung'!$B$16:$C$22,2,0)*'STEP-Analyse Nigeria'!J76)</f>
        <v>0</v>
      </c>
      <c r="L76" s="6"/>
    </row>
    <row r="77" spans="1:12" ht="20.25" x14ac:dyDescent="0.2">
      <c r="A77" s="137"/>
      <c r="B77" s="139"/>
      <c r="C77" s="11"/>
      <c r="D77" s="11"/>
      <c r="E77" s="6"/>
      <c r="F77" s="10"/>
      <c r="G77" s="8"/>
      <c r="H77" s="9"/>
      <c r="I77" s="8"/>
      <c r="J77" s="1" t="e">
        <f>1-VLOOKUP(H77,'Modell-Kalibrierung'!$B$3:$C$8,2,0)</f>
        <v>#N/A</v>
      </c>
      <c r="K77" s="93">
        <f>IF(ISNA(J77),0,VLOOKUP(G77,'Modell-Kalibrierung'!$B$16:$C$22,2,FALSE)*VLOOKUP(H77,'Modell-Kalibrierung'!$B$3:$C$8,2,0)+VLOOKUP(I77,'Modell-Kalibrierung'!$B$16:$C$22,2,0)*'STEP-Analyse Nigeria'!J77)</f>
        <v>0</v>
      </c>
      <c r="L77" s="6"/>
    </row>
    <row r="78" spans="1:12" ht="20.25" x14ac:dyDescent="0.2">
      <c r="A78" s="137"/>
      <c r="B78" s="139"/>
      <c r="C78" s="11"/>
      <c r="D78" s="11"/>
      <c r="E78" s="6"/>
      <c r="F78" s="10"/>
      <c r="G78" s="8"/>
      <c r="H78" s="9"/>
      <c r="I78" s="8"/>
      <c r="J78" s="1" t="e">
        <f>1-VLOOKUP(H78,'Modell-Kalibrierung'!$B$3:$C$8,2,0)</f>
        <v>#N/A</v>
      </c>
      <c r="K78" s="93">
        <f>IF(ISNA(J78),0,VLOOKUP(G78,'Modell-Kalibrierung'!$B$16:$C$22,2,FALSE)*VLOOKUP(H78,'Modell-Kalibrierung'!$B$3:$C$8,2,0)+VLOOKUP(I78,'Modell-Kalibrierung'!$B$16:$C$22,2,0)*'STEP-Analyse Nigeria'!J78)</f>
        <v>0</v>
      </c>
      <c r="L78" s="6"/>
    </row>
    <row r="79" spans="1:12" ht="21" thickBot="1" x14ac:dyDescent="0.25">
      <c r="A79" s="137"/>
      <c r="B79" s="139"/>
      <c r="C79" s="11"/>
      <c r="D79" s="11"/>
      <c r="E79" s="6"/>
      <c r="F79" s="10"/>
      <c r="G79" s="8"/>
      <c r="H79" s="9"/>
      <c r="I79" s="8"/>
      <c r="J79" s="1" t="e">
        <f>1-VLOOKUP(H79,'Modell-Kalibrierung'!$B$3:$C$8,2,0)</f>
        <v>#N/A</v>
      </c>
      <c r="K79" s="93">
        <f>IF(ISNA(J79),0,VLOOKUP(G79,'Modell-Kalibrierung'!$B$16:$C$22,2,FALSE)*VLOOKUP(H79,'Modell-Kalibrierung'!$B$3:$C$8,2,0)+VLOOKUP(I79,'Modell-Kalibrierung'!$B$16:$C$22,2,0)*'STEP-Analyse Nigeria'!J79)</f>
        <v>0</v>
      </c>
      <c r="L79" s="6"/>
    </row>
    <row r="80" spans="1:12" ht="36" customHeight="1" thickBot="1" x14ac:dyDescent="0.25">
      <c r="A80" s="138"/>
      <c r="B80" s="150"/>
      <c r="C80" s="132" t="str">
        <f>B75</f>
        <v xml:space="preserve">Ressourcenverfügbarkeit </v>
      </c>
      <c r="D80" s="133"/>
      <c r="E80" s="133"/>
      <c r="F80" s="133"/>
      <c r="G80" s="134"/>
      <c r="H80" s="134"/>
      <c r="I80" s="134"/>
      <c r="J80" s="135"/>
      <c r="K80" s="3">
        <f>SUM(K75:K79)</f>
        <v>0</v>
      </c>
      <c r="L80" s="16" t="str">
        <f>IF(K80=0,"0% Anteil am Gesamtprojektrisiko",(K80/$K$123))</f>
        <v>0% Anteil am Gesamtprojektrisiko</v>
      </c>
    </row>
    <row r="81" spans="1:12" ht="20.25" x14ac:dyDescent="0.2">
      <c r="A81" s="144" t="s">
        <v>4</v>
      </c>
      <c r="B81" s="139" t="s">
        <v>31</v>
      </c>
      <c r="C81" s="6"/>
      <c r="D81" s="7"/>
      <c r="E81" s="6"/>
      <c r="F81" s="6"/>
      <c r="G81" s="9"/>
      <c r="H81" s="9"/>
      <c r="I81" s="9"/>
      <c r="J81" s="1" t="e">
        <f>1-VLOOKUP(H81,'Modell-Kalibrierung'!$B$3:$C$8,2,0)</f>
        <v>#N/A</v>
      </c>
      <c r="K81" s="93">
        <f>IF(ISNA(J81),0,VLOOKUP(G81,'Modell-Kalibrierung'!$B$16:$C$22,2,FALSE)*VLOOKUP(H81,'Modell-Kalibrierung'!$B$3:$C$8,2,0)+VLOOKUP(I81,'Modell-Kalibrierung'!$B$16:$C$22,2,0)*'STEP-Analyse Nigeria'!J81)</f>
        <v>0</v>
      </c>
      <c r="L81" s="6"/>
    </row>
    <row r="82" spans="1:12" ht="20.25" x14ac:dyDescent="0.2">
      <c r="A82" s="145"/>
      <c r="B82" s="139"/>
      <c r="C82" s="10"/>
      <c r="D82" s="11"/>
      <c r="E82" s="6"/>
      <c r="F82" s="10"/>
      <c r="G82" s="8"/>
      <c r="H82" s="9"/>
      <c r="I82" s="8"/>
      <c r="J82" s="1" t="e">
        <f>1-VLOOKUP(H82,'Modell-Kalibrierung'!$B$3:$C$8,2,0)</f>
        <v>#N/A</v>
      </c>
      <c r="K82" s="93">
        <f>IF(ISNA(J82),0,VLOOKUP(G82,'Modell-Kalibrierung'!$B$16:$C$22,2,FALSE)*VLOOKUP(H82,'Modell-Kalibrierung'!$B$3:$C$8,2,0)+VLOOKUP(I82,'Modell-Kalibrierung'!$B$16:$C$22,2,0)*'STEP-Analyse Nigeria'!J82)</f>
        <v>0</v>
      </c>
      <c r="L82" s="6"/>
    </row>
    <row r="83" spans="1:12" ht="20.25" x14ac:dyDescent="0.2">
      <c r="A83" s="145"/>
      <c r="B83" s="139"/>
      <c r="C83" s="10"/>
      <c r="D83" s="11"/>
      <c r="E83" s="6"/>
      <c r="F83" s="10"/>
      <c r="G83" s="8"/>
      <c r="H83" s="9"/>
      <c r="I83" s="8"/>
      <c r="J83" s="1" t="e">
        <f>1-VLOOKUP(H83,'Modell-Kalibrierung'!$B$3:$C$8,2,0)</f>
        <v>#N/A</v>
      </c>
      <c r="K83" s="93">
        <f>IF(ISNA(J83),0,VLOOKUP(G83,'Modell-Kalibrierung'!$B$16:$C$22,2,FALSE)*VLOOKUP(H83,'Modell-Kalibrierung'!$B$3:$C$8,2,0)+VLOOKUP(I83,'Modell-Kalibrierung'!$B$16:$C$22,2,0)*'STEP-Analyse Nigeria'!J83)</f>
        <v>0</v>
      </c>
      <c r="L83" s="6"/>
    </row>
    <row r="84" spans="1:12" ht="20.25" x14ac:dyDescent="0.2">
      <c r="A84" s="145"/>
      <c r="B84" s="139"/>
      <c r="C84" s="10"/>
      <c r="D84" s="11"/>
      <c r="E84" s="6"/>
      <c r="F84" s="10"/>
      <c r="G84" s="8"/>
      <c r="H84" s="9"/>
      <c r="I84" s="8"/>
      <c r="J84" s="1" t="e">
        <f>1-VLOOKUP(H84,'Modell-Kalibrierung'!$B$3:$C$8,2,0)</f>
        <v>#N/A</v>
      </c>
      <c r="K84" s="93">
        <f>IF(ISNA(J84),0,VLOOKUP(G84,'Modell-Kalibrierung'!$B$16:$C$22,2,FALSE)*VLOOKUP(H84,'Modell-Kalibrierung'!$B$3:$C$8,2,0)+VLOOKUP(I84,'Modell-Kalibrierung'!$B$16:$C$22,2,0)*'STEP-Analyse Nigeria'!J84)</f>
        <v>0</v>
      </c>
      <c r="L84" s="6"/>
    </row>
    <row r="85" spans="1:12" ht="21" thickBot="1" x14ac:dyDescent="0.25">
      <c r="A85" s="145"/>
      <c r="B85" s="139"/>
      <c r="C85" s="10"/>
      <c r="D85" s="11"/>
      <c r="E85" s="6"/>
      <c r="F85" s="10"/>
      <c r="G85" s="8"/>
      <c r="H85" s="9"/>
      <c r="I85" s="8"/>
      <c r="J85" s="1" t="e">
        <f>1-VLOOKUP(H85,'Modell-Kalibrierung'!$B$3:$C$8,2,0)</f>
        <v>#N/A</v>
      </c>
      <c r="K85" s="93">
        <f>IF(ISNA(J85),0,VLOOKUP(G85,'Modell-Kalibrierung'!$B$16:$C$22,2,FALSE)*VLOOKUP(H85,'Modell-Kalibrierung'!$B$3:$C$8,2,0)+VLOOKUP(I85,'Modell-Kalibrierung'!$B$16:$C$22,2,0)*'STEP-Analyse Nigeria'!J85)</f>
        <v>0</v>
      </c>
      <c r="L85" s="6"/>
    </row>
    <row r="86" spans="1:12" ht="36" customHeight="1" thickBot="1" x14ac:dyDescent="0.25">
      <c r="A86" s="145"/>
      <c r="B86" s="140"/>
      <c r="C86" s="125" t="str">
        <f>B81</f>
        <v xml:space="preserve">Werte </v>
      </c>
      <c r="D86" s="126"/>
      <c r="E86" s="126"/>
      <c r="F86" s="126"/>
      <c r="G86" s="127"/>
      <c r="H86" s="127"/>
      <c r="I86" s="127"/>
      <c r="J86" s="128"/>
      <c r="K86" s="3">
        <f>SUM(K81:K85)</f>
        <v>0</v>
      </c>
      <c r="L86" s="16" t="str">
        <f>IF(K86=0,"0% Anteil am Gesamtprojektrisiko",(K86/$K$123))</f>
        <v>0% Anteil am Gesamtprojektrisiko</v>
      </c>
    </row>
    <row r="87" spans="1:12" ht="20.25" x14ac:dyDescent="0.2">
      <c r="A87" s="146"/>
      <c r="B87" s="141" t="s">
        <v>8</v>
      </c>
      <c r="C87" s="7"/>
      <c r="D87" s="7"/>
      <c r="E87" s="6"/>
      <c r="F87" s="6"/>
      <c r="G87" s="8"/>
      <c r="H87" s="9"/>
      <c r="I87" s="8"/>
      <c r="J87" s="1" t="e">
        <f>1-VLOOKUP(H87,'Modell-Kalibrierung'!$B$3:$C$8,2,0)</f>
        <v>#N/A</v>
      </c>
      <c r="K87" s="93">
        <f>IF(ISNA(J87),0,VLOOKUP(G87,'Modell-Kalibrierung'!$B$16:$C$22,2,FALSE)*VLOOKUP(H87,'Modell-Kalibrierung'!$B$3:$C$8,2,0)+VLOOKUP(I87,'Modell-Kalibrierung'!$B$16:$C$22,2,0)*'STEP-Analyse Nigeria'!J87)</f>
        <v>0</v>
      </c>
      <c r="L87" s="6"/>
    </row>
    <row r="88" spans="1:12" ht="20.25" x14ac:dyDescent="0.2">
      <c r="A88" s="146"/>
      <c r="B88" s="139"/>
      <c r="C88" s="11"/>
      <c r="D88" s="11"/>
      <c r="E88" s="6"/>
      <c r="F88" s="10"/>
      <c r="G88" s="8"/>
      <c r="H88" s="9"/>
      <c r="I88" s="8"/>
      <c r="J88" s="1" t="e">
        <f>1-VLOOKUP(H88,'Modell-Kalibrierung'!$B$3:$C$8,2,0)</f>
        <v>#N/A</v>
      </c>
      <c r="K88" s="93">
        <f>IF(ISNA(J88),0,VLOOKUP(G88,'Modell-Kalibrierung'!$B$16:$C$22,2,FALSE)*VLOOKUP(H88,'Modell-Kalibrierung'!$B$3:$C$8,2,0)+VLOOKUP(I88,'Modell-Kalibrierung'!$B$16:$C$22,2,0)*'STEP-Analyse Nigeria'!J88)</f>
        <v>0</v>
      </c>
      <c r="L88" s="6"/>
    </row>
    <row r="89" spans="1:12" ht="20.25" x14ac:dyDescent="0.2">
      <c r="A89" s="146"/>
      <c r="B89" s="139"/>
      <c r="C89" s="11"/>
      <c r="D89" s="11"/>
      <c r="E89" s="6"/>
      <c r="F89" s="10"/>
      <c r="G89" s="8"/>
      <c r="H89" s="9"/>
      <c r="I89" s="8"/>
      <c r="J89" s="1" t="e">
        <f>1-VLOOKUP(H89,'Modell-Kalibrierung'!$B$3:$C$8,2,0)</f>
        <v>#N/A</v>
      </c>
      <c r="K89" s="93">
        <f>IF(ISNA(J89),0,VLOOKUP(G89,'Modell-Kalibrierung'!$B$16:$C$22,2,FALSE)*VLOOKUP(H89,'Modell-Kalibrierung'!$B$3:$C$8,2,0)+VLOOKUP(I89,'Modell-Kalibrierung'!$B$16:$C$22,2,0)*'STEP-Analyse Nigeria'!J89)</f>
        <v>0</v>
      </c>
      <c r="L89" s="6"/>
    </row>
    <row r="90" spans="1:12" ht="20.25" x14ac:dyDescent="0.2">
      <c r="A90" s="146"/>
      <c r="B90" s="139"/>
      <c r="C90" s="11"/>
      <c r="D90" s="11"/>
      <c r="E90" s="6"/>
      <c r="F90" s="10"/>
      <c r="G90" s="8"/>
      <c r="H90" s="9"/>
      <c r="I90" s="8"/>
      <c r="J90" s="1" t="e">
        <f>1-VLOOKUP(H90,'Modell-Kalibrierung'!$B$3:$C$8,2,0)</f>
        <v>#N/A</v>
      </c>
      <c r="K90" s="93">
        <f>IF(ISNA(J90),0,VLOOKUP(G90,'Modell-Kalibrierung'!$B$16:$C$22,2,FALSE)*VLOOKUP(H90,'Modell-Kalibrierung'!$B$3:$C$8,2,0)+VLOOKUP(I90,'Modell-Kalibrierung'!$B$16:$C$22,2,0)*'STEP-Analyse Nigeria'!J90)</f>
        <v>0</v>
      </c>
      <c r="L90" s="6"/>
    </row>
    <row r="91" spans="1:12" ht="21" thickBot="1" x14ac:dyDescent="0.25">
      <c r="A91" s="146"/>
      <c r="B91" s="139"/>
      <c r="C91" s="11"/>
      <c r="D91" s="11"/>
      <c r="E91" s="6"/>
      <c r="F91" s="10"/>
      <c r="G91" s="8"/>
      <c r="H91" s="9"/>
      <c r="I91" s="8"/>
      <c r="J91" s="1" t="e">
        <f>1-VLOOKUP(H91,'Modell-Kalibrierung'!$B$3:$C$8,2,0)</f>
        <v>#N/A</v>
      </c>
      <c r="K91" s="93">
        <f>IF(ISNA(J91),0,VLOOKUP(G91,'Modell-Kalibrierung'!$B$16:$C$22,2,FALSE)*VLOOKUP(H91,'Modell-Kalibrierung'!$B$3:$C$8,2,0)+VLOOKUP(I91,'Modell-Kalibrierung'!$B$16:$C$22,2,0)*'STEP-Analyse Nigeria'!J91)</f>
        <v>0</v>
      </c>
      <c r="L91" s="6"/>
    </row>
    <row r="92" spans="1:12" ht="36" customHeight="1" thickBot="1" x14ac:dyDescent="0.25">
      <c r="A92" s="146"/>
      <c r="B92" s="139"/>
      <c r="C92" s="125" t="str">
        <f>B87</f>
        <v xml:space="preserve">Lebensstil/ Mentalitäten </v>
      </c>
      <c r="D92" s="126"/>
      <c r="E92" s="126"/>
      <c r="F92" s="126"/>
      <c r="G92" s="127"/>
      <c r="H92" s="127"/>
      <c r="I92" s="127"/>
      <c r="J92" s="128"/>
      <c r="K92" s="3">
        <f>SUM(K87:K91)</f>
        <v>0</v>
      </c>
      <c r="L92" s="16" t="str">
        <f>IF(K92=0,"0% Anteil am Gesamtprojektrisiko",(K92/$K$123))</f>
        <v>0% Anteil am Gesamtprojektrisiko</v>
      </c>
    </row>
    <row r="93" spans="1:12" ht="20.25" x14ac:dyDescent="0.2">
      <c r="A93" s="146"/>
      <c r="B93" s="141" t="s">
        <v>36</v>
      </c>
      <c r="C93" s="11"/>
      <c r="D93" s="11"/>
      <c r="E93" s="10"/>
      <c r="F93" s="10"/>
      <c r="G93" s="8"/>
      <c r="H93" s="9"/>
      <c r="I93" s="8"/>
      <c r="J93" s="5" t="e">
        <f>1-VLOOKUP(H93,'Modell-Kalibrierung'!$B$3:$C$8,2,0)</f>
        <v>#N/A</v>
      </c>
      <c r="K93" s="93">
        <f>IF(ISNA(J93),0,VLOOKUP(G93,'Modell-Kalibrierung'!$B$16:$C$22,2,FALSE)*VLOOKUP(H93,'Modell-Kalibrierung'!$B$3:$C$8,2,0)+VLOOKUP(I93,'Modell-Kalibrierung'!$B$16:$C$22,2,0)*'STEP-Analyse Nigeria'!J93)</f>
        <v>0</v>
      </c>
      <c r="L93" s="10"/>
    </row>
    <row r="94" spans="1:12" ht="20.25" x14ac:dyDescent="0.2">
      <c r="A94" s="146"/>
      <c r="B94" s="139"/>
      <c r="C94" s="11"/>
      <c r="D94" s="11"/>
      <c r="E94" s="6"/>
      <c r="F94" s="10"/>
      <c r="G94" s="8"/>
      <c r="H94" s="9"/>
      <c r="I94" s="8"/>
      <c r="J94" s="1" t="e">
        <f>1-VLOOKUP(H94,'Modell-Kalibrierung'!$B$3:$C$8,2,0)</f>
        <v>#N/A</v>
      </c>
      <c r="K94" s="93">
        <f>IF(ISNA(J94),0,VLOOKUP(G94,'Modell-Kalibrierung'!$B$16:$C$22,2,FALSE)*VLOOKUP(H94,'Modell-Kalibrierung'!$B$3:$C$8,2,0)+VLOOKUP(I94,'Modell-Kalibrierung'!$B$16:$C$22,2,0)*'STEP-Analyse Nigeria'!J94)</f>
        <v>0</v>
      </c>
      <c r="L94" s="6"/>
    </row>
    <row r="95" spans="1:12" ht="20.25" x14ac:dyDescent="0.2">
      <c r="A95" s="146"/>
      <c r="B95" s="139"/>
      <c r="C95" s="11"/>
      <c r="D95" s="11"/>
      <c r="E95" s="6"/>
      <c r="F95" s="10"/>
      <c r="G95" s="8"/>
      <c r="H95" s="9"/>
      <c r="I95" s="8"/>
      <c r="J95" s="1" t="e">
        <f>1-VLOOKUP(H95,'Modell-Kalibrierung'!$B$3:$C$8,2,0)</f>
        <v>#N/A</v>
      </c>
      <c r="K95" s="93">
        <f>IF(ISNA(J95),0,VLOOKUP(G95,'Modell-Kalibrierung'!$B$16:$C$22,2,FALSE)*VLOOKUP(H95,'Modell-Kalibrierung'!$B$3:$C$8,2,0)+VLOOKUP(I95,'Modell-Kalibrierung'!$B$16:$C$22,2,0)*'STEP-Analyse Nigeria'!J95)</f>
        <v>0</v>
      </c>
      <c r="L95" s="6"/>
    </row>
    <row r="96" spans="1:12" ht="20.25" x14ac:dyDescent="0.2">
      <c r="A96" s="146"/>
      <c r="B96" s="139"/>
      <c r="C96" s="11"/>
      <c r="D96" s="11"/>
      <c r="E96" s="6"/>
      <c r="F96" s="10"/>
      <c r="G96" s="8"/>
      <c r="H96" s="9"/>
      <c r="I96" s="8"/>
      <c r="J96" s="1" t="e">
        <f>1-VLOOKUP(H96,'Modell-Kalibrierung'!$B$3:$C$8,2,0)</f>
        <v>#N/A</v>
      </c>
      <c r="K96" s="93">
        <f>IF(ISNA(J96),0,VLOOKUP(G96,'Modell-Kalibrierung'!$B$16:$C$22,2,FALSE)*VLOOKUP(H96,'Modell-Kalibrierung'!$B$3:$C$8,2,0)+VLOOKUP(I96,'Modell-Kalibrierung'!$B$16:$C$22,2,0)*'STEP-Analyse Nigeria'!J96)</f>
        <v>0</v>
      </c>
      <c r="L96" s="6"/>
    </row>
    <row r="97" spans="1:12" ht="21" thickBot="1" x14ac:dyDescent="0.25">
      <c r="A97" s="146"/>
      <c r="B97" s="139"/>
      <c r="C97" s="11"/>
      <c r="D97" s="11"/>
      <c r="E97" s="6"/>
      <c r="F97" s="10"/>
      <c r="G97" s="8"/>
      <c r="H97" s="9"/>
      <c r="I97" s="8"/>
      <c r="J97" s="1" t="e">
        <f>1-VLOOKUP(H97,'Modell-Kalibrierung'!$B$3:$C$8,2,0)</f>
        <v>#N/A</v>
      </c>
      <c r="K97" s="93">
        <f>IF(ISNA(J97),0,VLOOKUP(G97,'Modell-Kalibrierung'!$B$16:$C$22,2,FALSE)*VLOOKUP(H97,'Modell-Kalibrierung'!$B$3:$C$8,2,0)+VLOOKUP(I97,'Modell-Kalibrierung'!$B$16:$C$22,2,0)*'STEP-Analyse Nigeria'!J97)</f>
        <v>0</v>
      </c>
      <c r="L97" s="6"/>
    </row>
    <row r="98" spans="1:12" ht="36" customHeight="1" thickBot="1" x14ac:dyDescent="0.25">
      <c r="A98" s="146"/>
      <c r="B98" s="150"/>
      <c r="C98" s="132" t="str">
        <f>B93</f>
        <v>Bildung</v>
      </c>
      <c r="D98" s="133"/>
      <c r="E98" s="133"/>
      <c r="F98" s="133"/>
      <c r="G98" s="134"/>
      <c r="H98" s="134"/>
      <c r="I98" s="134"/>
      <c r="J98" s="135"/>
      <c r="K98" s="3">
        <f>SUM(K93:K97)</f>
        <v>0</v>
      </c>
      <c r="L98" s="16" t="str">
        <f>IF(K98=0,"0% Anteil am Gesamtprojektrisiko",(K98/$K$123))</f>
        <v>0% Anteil am Gesamtprojektrisiko</v>
      </c>
    </row>
    <row r="99" spans="1:12" ht="20.25" x14ac:dyDescent="0.2">
      <c r="A99" s="144" t="s">
        <v>5</v>
      </c>
      <c r="B99" s="148" t="s">
        <v>37</v>
      </c>
      <c r="C99" s="6"/>
      <c r="D99" s="7"/>
      <c r="E99" s="6"/>
      <c r="F99" s="6"/>
      <c r="G99" s="9"/>
      <c r="H99" s="9"/>
      <c r="I99" s="9"/>
      <c r="J99" s="1" t="e">
        <f>1-VLOOKUP(H99,'Modell-Kalibrierung'!$B$3:$C$8,2,0)</f>
        <v>#N/A</v>
      </c>
      <c r="K99" s="93">
        <f>IF(ISNA(J99),0,VLOOKUP(G99,'Modell-Kalibrierung'!$B$16:$C$22,2,FALSE)*VLOOKUP(H99,'Modell-Kalibrierung'!$B$3:$C$8,2,0)+VLOOKUP(I99,'Modell-Kalibrierung'!$B$16:$C$22,2,0)*'STEP-Analyse Nigeria'!J99)</f>
        <v>0</v>
      </c>
      <c r="L99" s="6"/>
    </row>
    <row r="100" spans="1:12" ht="20.25" x14ac:dyDescent="0.2">
      <c r="A100" s="145"/>
      <c r="B100" s="139"/>
      <c r="C100" s="10"/>
      <c r="D100" s="11"/>
      <c r="E100" s="6"/>
      <c r="F100" s="10"/>
      <c r="G100" s="8"/>
      <c r="H100" s="9"/>
      <c r="I100" s="8"/>
      <c r="J100" s="1" t="e">
        <f>1-VLOOKUP(H100,'Modell-Kalibrierung'!$B$3:$C$8,2,0)</f>
        <v>#N/A</v>
      </c>
      <c r="K100" s="93">
        <f>IF(ISNA(J100),0,VLOOKUP(G100,'Modell-Kalibrierung'!$B$16:$C$22,2,FALSE)*VLOOKUP(H100,'Modell-Kalibrierung'!$B$3:$C$8,2,0)+VLOOKUP(I100,'Modell-Kalibrierung'!$B$16:$C$22,2,0)*'STEP-Analyse Nigeria'!J100)</f>
        <v>0</v>
      </c>
      <c r="L100" s="6"/>
    </row>
    <row r="101" spans="1:12" ht="20.25" x14ac:dyDescent="0.2">
      <c r="A101" s="145"/>
      <c r="B101" s="139"/>
      <c r="C101" s="10"/>
      <c r="D101" s="11"/>
      <c r="E101" s="6"/>
      <c r="F101" s="10"/>
      <c r="G101" s="8"/>
      <c r="H101" s="9"/>
      <c r="I101" s="8"/>
      <c r="J101" s="1" t="e">
        <f>1-VLOOKUP(H101,'Modell-Kalibrierung'!$B$3:$C$8,2,0)</f>
        <v>#N/A</v>
      </c>
      <c r="K101" s="93">
        <f>IF(ISNA(J101),0,VLOOKUP(G101,'Modell-Kalibrierung'!$B$16:$C$22,2,FALSE)*VLOOKUP(H101,'Modell-Kalibrierung'!$B$3:$C$8,2,0)+VLOOKUP(I101,'Modell-Kalibrierung'!$B$16:$C$22,2,0)*'STEP-Analyse Nigeria'!J101)</f>
        <v>0</v>
      </c>
      <c r="L101" s="6"/>
    </row>
    <row r="102" spans="1:12" ht="20.25" x14ac:dyDescent="0.2">
      <c r="A102" s="145"/>
      <c r="B102" s="139"/>
      <c r="C102" s="10"/>
      <c r="D102" s="11"/>
      <c r="E102" s="6"/>
      <c r="F102" s="10"/>
      <c r="G102" s="8"/>
      <c r="H102" s="9"/>
      <c r="I102" s="8"/>
      <c r="J102" s="1" t="e">
        <f>1-VLOOKUP(H102,'Modell-Kalibrierung'!$B$3:$C$8,2,0)</f>
        <v>#N/A</v>
      </c>
      <c r="K102" s="93">
        <f>IF(ISNA(J102),0,VLOOKUP(G102,'Modell-Kalibrierung'!$B$16:$C$22,2,FALSE)*VLOOKUP(H102,'Modell-Kalibrierung'!$B$3:$C$8,2,0)+VLOOKUP(I102,'Modell-Kalibrierung'!$B$16:$C$22,2,0)*'STEP-Analyse Nigeria'!J102)</f>
        <v>0</v>
      </c>
      <c r="L102" s="6"/>
    </row>
    <row r="103" spans="1:12" ht="21" thickBot="1" x14ac:dyDescent="0.25">
      <c r="A103" s="145"/>
      <c r="B103" s="139"/>
      <c r="C103" s="10"/>
      <c r="D103" s="11"/>
      <c r="E103" s="6"/>
      <c r="F103" s="10"/>
      <c r="G103" s="8"/>
      <c r="H103" s="9"/>
      <c r="I103" s="8"/>
      <c r="J103" s="1" t="e">
        <f>1-VLOOKUP(H103,'Modell-Kalibrierung'!$B$3:$C$8,2,0)</f>
        <v>#N/A</v>
      </c>
      <c r="K103" s="93">
        <f>IF(ISNA(J103),0,VLOOKUP(G103,'Modell-Kalibrierung'!$B$16:$C$22,2,FALSE)*VLOOKUP(H103,'Modell-Kalibrierung'!$B$3:$C$8,2,0)+VLOOKUP(I103,'Modell-Kalibrierung'!$B$16:$C$22,2,0)*'STEP-Analyse Nigeria'!J103)</f>
        <v>0</v>
      </c>
      <c r="L103" s="6"/>
    </row>
    <row r="104" spans="1:12" ht="36" customHeight="1" thickBot="1" x14ac:dyDescent="0.25">
      <c r="A104" s="145"/>
      <c r="B104" s="140"/>
      <c r="C104" s="125" t="str">
        <f>B99</f>
        <v xml:space="preserve">Forschung </v>
      </c>
      <c r="D104" s="126"/>
      <c r="E104" s="126"/>
      <c r="F104" s="126"/>
      <c r="G104" s="127"/>
      <c r="H104" s="127"/>
      <c r="I104" s="127"/>
      <c r="J104" s="128"/>
      <c r="K104" s="3">
        <f>SUM(K99:K103)</f>
        <v>0</v>
      </c>
      <c r="L104" s="16" t="str">
        <f>IF(K104=0,"0% Anteil am Gesamtprojektrisiko",(K104/$K$123))</f>
        <v>0% Anteil am Gesamtprojektrisiko</v>
      </c>
    </row>
    <row r="105" spans="1:12" ht="20.25" x14ac:dyDescent="0.2">
      <c r="A105" s="146"/>
      <c r="B105" s="141" t="s">
        <v>38</v>
      </c>
      <c r="C105" s="6"/>
      <c r="D105" s="7"/>
      <c r="E105" s="6"/>
      <c r="F105" s="6"/>
      <c r="G105" s="8"/>
      <c r="H105" s="9"/>
      <c r="I105" s="8"/>
      <c r="J105" s="1" t="e">
        <f>1-VLOOKUP(H105,'Modell-Kalibrierung'!$B$3:$C$8,2,0)</f>
        <v>#N/A</v>
      </c>
      <c r="K105" s="93">
        <f>IF(ISNA(J105),0,VLOOKUP(G105,'Modell-Kalibrierung'!$B$16:$C$22,2,FALSE)*VLOOKUP(H105,'Modell-Kalibrierung'!$B$3:$C$8,2,0)+VLOOKUP(I105,'Modell-Kalibrierung'!$B$16:$C$22,2,0)*'STEP-Analyse Nigeria'!J105)</f>
        <v>0</v>
      </c>
      <c r="L105" s="6"/>
    </row>
    <row r="106" spans="1:12" ht="20.25" x14ac:dyDescent="0.2">
      <c r="A106" s="146"/>
      <c r="B106" s="139"/>
      <c r="C106" s="10"/>
      <c r="D106" s="11"/>
      <c r="E106" s="6"/>
      <c r="F106" s="10"/>
      <c r="G106" s="8"/>
      <c r="H106" s="9"/>
      <c r="I106" s="8"/>
      <c r="J106" s="1" t="e">
        <f>1-VLOOKUP(H106,'Modell-Kalibrierung'!$B$3:$C$8,2,0)</f>
        <v>#N/A</v>
      </c>
      <c r="K106" s="93">
        <f>IF(ISNA(J106),0,VLOOKUP(G106,'Modell-Kalibrierung'!$B$16:$C$22,2,FALSE)*VLOOKUP(H106,'Modell-Kalibrierung'!$B$3:$C$8,2,0)+VLOOKUP(I106,'Modell-Kalibrierung'!$B$16:$C$22,2,0)*'STEP-Analyse Nigeria'!J106)</f>
        <v>0</v>
      </c>
      <c r="L106" s="6"/>
    </row>
    <row r="107" spans="1:12" ht="20.25" x14ac:dyDescent="0.2">
      <c r="A107" s="146"/>
      <c r="B107" s="139"/>
      <c r="C107" s="10"/>
      <c r="D107" s="11"/>
      <c r="E107" s="6"/>
      <c r="F107" s="10"/>
      <c r="G107" s="8"/>
      <c r="H107" s="9"/>
      <c r="I107" s="8"/>
      <c r="J107" s="1" t="e">
        <f>1-VLOOKUP(H107,'Modell-Kalibrierung'!$B$3:$C$8,2,0)</f>
        <v>#N/A</v>
      </c>
      <c r="K107" s="93">
        <f>IF(ISNA(J107),0,VLOOKUP(G107,'Modell-Kalibrierung'!$B$16:$C$22,2,FALSE)*VLOOKUP(H107,'Modell-Kalibrierung'!$B$3:$C$8,2,0)+VLOOKUP(I107,'Modell-Kalibrierung'!$B$16:$C$22,2,0)*'STEP-Analyse Nigeria'!J107)</f>
        <v>0</v>
      </c>
      <c r="L107" s="6"/>
    </row>
    <row r="108" spans="1:12" ht="20.25" x14ac:dyDescent="0.2">
      <c r="A108" s="146"/>
      <c r="B108" s="139"/>
      <c r="C108" s="10"/>
      <c r="D108" s="11"/>
      <c r="E108" s="6"/>
      <c r="F108" s="10"/>
      <c r="G108" s="8"/>
      <c r="H108" s="9"/>
      <c r="I108" s="8"/>
      <c r="J108" s="1" t="e">
        <f>1-VLOOKUP(H108,'Modell-Kalibrierung'!$B$3:$C$8,2,0)</f>
        <v>#N/A</v>
      </c>
      <c r="K108" s="93">
        <f>IF(ISNA(J108),0,VLOOKUP(G108,'Modell-Kalibrierung'!$B$16:$C$22,2,FALSE)*VLOOKUP(H108,'Modell-Kalibrierung'!$B$3:$C$8,2,0)+VLOOKUP(I108,'Modell-Kalibrierung'!$B$16:$C$22,2,0)*'STEP-Analyse Nigeria'!J108)</f>
        <v>0</v>
      </c>
      <c r="L108" s="6"/>
    </row>
    <row r="109" spans="1:12" ht="21" thickBot="1" x14ac:dyDescent="0.25">
      <c r="A109" s="146"/>
      <c r="B109" s="139"/>
      <c r="C109" s="10"/>
      <c r="D109" s="11"/>
      <c r="E109" s="6"/>
      <c r="F109" s="10"/>
      <c r="G109" s="8"/>
      <c r="H109" s="9"/>
      <c r="I109" s="8"/>
      <c r="J109" s="1" t="e">
        <f>1-VLOOKUP(H109,'Modell-Kalibrierung'!$B$3:$C$8,2,0)</f>
        <v>#N/A</v>
      </c>
      <c r="K109" s="93">
        <f>IF(ISNA(J109),0,VLOOKUP(G109,'Modell-Kalibrierung'!$B$16:$C$22,2,FALSE)*VLOOKUP(H109,'Modell-Kalibrierung'!$B$3:$C$8,2,0)+VLOOKUP(I109,'Modell-Kalibrierung'!$B$16:$C$22,2,0)*'STEP-Analyse Nigeria'!J109)</f>
        <v>0</v>
      </c>
      <c r="L109" s="6"/>
    </row>
    <row r="110" spans="1:12" ht="36" customHeight="1" thickBot="1" x14ac:dyDescent="0.25">
      <c r="A110" s="146"/>
      <c r="B110" s="140"/>
      <c r="C110" s="125" t="str">
        <f>B105</f>
        <v xml:space="preserve">neue Technologien und Produkte </v>
      </c>
      <c r="D110" s="126"/>
      <c r="E110" s="126"/>
      <c r="F110" s="126"/>
      <c r="G110" s="127"/>
      <c r="H110" s="127"/>
      <c r="I110" s="127"/>
      <c r="J110" s="128"/>
      <c r="K110" s="3">
        <f>SUM(K105:K109)</f>
        <v>0</v>
      </c>
      <c r="L110" s="16" t="str">
        <f>IF(K110=0,"0% Anteil am Gesamtprojektrisiko",(K110/$K$123))</f>
        <v>0% Anteil am Gesamtprojektrisiko</v>
      </c>
    </row>
    <row r="111" spans="1:12" ht="20.25" x14ac:dyDescent="0.2">
      <c r="A111" s="146"/>
      <c r="B111" s="141" t="s">
        <v>39</v>
      </c>
      <c r="C111" s="6"/>
      <c r="D111" s="7"/>
      <c r="E111" s="6"/>
      <c r="F111" s="6"/>
      <c r="G111" s="8"/>
      <c r="H111" s="9"/>
      <c r="I111" s="8"/>
      <c r="J111" s="1" t="e">
        <f>1-VLOOKUP(H111,'Modell-Kalibrierung'!$B$3:$C$8,2,0)</f>
        <v>#N/A</v>
      </c>
      <c r="K111" s="93">
        <f>IF(ISNA(J111),0,VLOOKUP(G111,'Modell-Kalibrierung'!$B$16:$C$22,2,FALSE)*VLOOKUP(H111,'Modell-Kalibrierung'!$B$3:$C$8,2,0)+VLOOKUP(I111,'Modell-Kalibrierung'!$B$16:$C$22,2,0)*'STEP-Analyse Nigeria'!J111)</f>
        <v>0</v>
      </c>
      <c r="L111" s="6"/>
    </row>
    <row r="112" spans="1:12" ht="20.25" x14ac:dyDescent="0.2">
      <c r="A112" s="147"/>
      <c r="B112" s="139"/>
      <c r="C112" s="10"/>
      <c r="D112" s="11"/>
      <c r="E112" s="6"/>
      <c r="F112" s="10"/>
      <c r="G112" s="8"/>
      <c r="H112" s="9"/>
      <c r="I112" s="8"/>
      <c r="J112" s="1" t="e">
        <f>1-VLOOKUP(H112,'Modell-Kalibrierung'!$B$3:$C$8,2,0)</f>
        <v>#N/A</v>
      </c>
      <c r="K112" s="93">
        <f>IF(ISNA(J112),0,VLOOKUP(G112,'Modell-Kalibrierung'!$B$16:$C$22,2,FALSE)*VLOOKUP(H112,'Modell-Kalibrierung'!$B$3:$C$8,2,0)+VLOOKUP(I112,'Modell-Kalibrierung'!$B$16:$C$22,2,0)*'STEP-Analyse Nigeria'!J112)</f>
        <v>0</v>
      </c>
      <c r="L112" s="6"/>
    </row>
    <row r="113" spans="1:12" ht="20.25" x14ac:dyDescent="0.2">
      <c r="A113" s="147"/>
      <c r="B113" s="139"/>
      <c r="C113" s="10"/>
      <c r="D113" s="11"/>
      <c r="E113" s="6"/>
      <c r="F113" s="10"/>
      <c r="G113" s="8"/>
      <c r="H113" s="9"/>
      <c r="I113" s="8"/>
      <c r="J113" s="1" t="e">
        <f>1-VLOOKUP(H113,'Modell-Kalibrierung'!$B$3:$C$8,2,0)</f>
        <v>#N/A</v>
      </c>
      <c r="K113" s="93">
        <f>IF(ISNA(J113),0,VLOOKUP(G113,'Modell-Kalibrierung'!$B$16:$C$22,2,FALSE)*VLOOKUP(H113,'Modell-Kalibrierung'!$B$3:$C$8,2,0)+VLOOKUP(I113,'Modell-Kalibrierung'!$B$16:$C$22,2,0)*'STEP-Analyse Nigeria'!J113)</f>
        <v>0</v>
      </c>
      <c r="L113" s="6"/>
    </row>
    <row r="114" spans="1:12" ht="20.25" x14ac:dyDescent="0.2">
      <c r="A114" s="147"/>
      <c r="B114" s="139"/>
      <c r="C114" s="10"/>
      <c r="D114" s="11"/>
      <c r="E114" s="6"/>
      <c r="F114" s="10"/>
      <c r="G114" s="8"/>
      <c r="H114" s="9"/>
      <c r="I114" s="8"/>
      <c r="J114" s="1" t="e">
        <f>1-VLOOKUP(H114,'Modell-Kalibrierung'!$B$3:$C$8,2,0)</f>
        <v>#N/A</v>
      </c>
      <c r="K114" s="93">
        <f>IF(ISNA(J114),0,VLOOKUP(G114,'Modell-Kalibrierung'!$B$16:$C$22,2,FALSE)*VLOOKUP(H114,'Modell-Kalibrierung'!$B$3:$C$8,2,0)+VLOOKUP(I114,'Modell-Kalibrierung'!$B$16:$C$22,2,0)*'STEP-Analyse Nigeria'!J114)</f>
        <v>0</v>
      </c>
      <c r="L114" s="6"/>
    </row>
    <row r="115" spans="1:12" ht="21" thickBot="1" x14ac:dyDescent="0.25">
      <c r="A115" s="147"/>
      <c r="B115" s="139"/>
      <c r="C115" s="10"/>
      <c r="D115" s="11"/>
      <c r="E115" s="6"/>
      <c r="F115" s="10"/>
      <c r="G115" s="8"/>
      <c r="H115" s="9"/>
      <c r="I115" s="8"/>
      <c r="J115" s="1" t="e">
        <f>1-VLOOKUP(H115,'Modell-Kalibrierung'!$B$3:$C$8,2,0)</f>
        <v>#N/A</v>
      </c>
      <c r="K115" s="93">
        <f>IF(ISNA(J115),0,VLOOKUP(G115,'Modell-Kalibrierung'!$B$16:$C$22,2,FALSE)*VLOOKUP(H115,'Modell-Kalibrierung'!$B$3:$C$8,2,0)+VLOOKUP(I115,'Modell-Kalibrierung'!$B$16:$C$22,2,0)*'STEP-Analyse Nigeria'!J115)</f>
        <v>0</v>
      </c>
      <c r="L115" s="6"/>
    </row>
    <row r="116" spans="1:12" ht="36" customHeight="1" thickBot="1" x14ac:dyDescent="0.25">
      <c r="A116" s="147"/>
      <c r="B116" s="140"/>
      <c r="C116" s="125" t="str">
        <f>B111</f>
        <v>neue Prozesse</v>
      </c>
      <c r="D116" s="126"/>
      <c r="E116" s="126"/>
      <c r="F116" s="126"/>
      <c r="G116" s="127"/>
      <c r="H116" s="127"/>
      <c r="I116" s="127"/>
      <c r="J116" s="128"/>
      <c r="K116" s="3">
        <f>SUM(K111:K115)</f>
        <v>0</v>
      </c>
      <c r="L116" s="16" t="str">
        <f>IF(K116=0,"0% Anteil am Gesamtprojektrisiko",(K116/$K$123))</f>
        <v>0% Anteil am Gesamtprojektrisiko</v>
      </c>
    </row>
    <row r="117" spans="1:12" ht="20.25" x14ac:dyDescent="0.2">
      <c r="A117" s="147"/>
      <c r="B117" s="141" t="s">
        <v>64</v>
      </c>
      <c r="C117" s="6"/>
      <c r="D117" s="7"/>
      <c r="E117" s="6"/>
      <c r="F117" s="6"/>
      <c r="G117" s="8"/>
      <c r="H117" s="9"/>
      <c r="I117" s="8"/>
      <c r="J117" s="1" t="e">
        <f>1-VLOOKUP(H117,'Modell-Kalibrierung'!$B$3:$C$8,2,0)</f>
        <v>#N/A</v>
      </c>
      <c r="K117" s="93">
        <f>IF(ISNA(J117),0,VLOOKUP(G117,'Modell-Kalibrierung'!$B$16:$C$22,2,FALSE)*VLOOKUP(H117,'Modell-Kalibrierung'!$B$3:$C$8,2,0)+VLOOKUP(I117,'Modell-Kalibrierung'!$B$16:$C$22,2,0)*'STEP-Analyse Nigeria'!J117)</f>
        <v>0</v>
      </c>
      <c r="L117" s="6"/>
    </row>
    <row r="118" spans="1:12" ht="20.25" x14ac:dyDescent="0.2">
      <c r="A118" s="147"/>
      <c r="B118" s="139"/>
      <c r="C118" s="10"/>
      <c r="D118" s="11"/>
      <c r="E118" s="6"/>
      <c r="F118" s="10"/>
      <c r="G118" s="8"/>
      <c r="H118" s="9"/>
      <c r="I118" s="8"/>
      <c r="J118" s="1" t="e">
        <f>1-VLOOKUP(H118,'Modell-Kalibrierung'!$B$3:$C$8,2,0)</f>
        <v>#N/A</v>
      </c>
      <c r="K118" s="93">
        <f>IF(ISNA(J118),0,VLOOKUP(G118,'Modell-Kalibrierung'!$B$16:$C$22,2,FALSE)*VLOOKUP(H118,'Modell-Kalibrierung'!$B$3:$C$8,2,0)+VLOOKUP(I118,'Modell-Kalibrierung'!$B$16:$C$22,2,0)*'STEP-Analyse Nigeria'!J118)</f>
        <v>0</v>
      </c>
      <c r="L118" s="6"/>
    </row>
    <row r="119" spans="1:12" ht="20.25" x14ac:dyDescent="0.2">
      <c r="A119" s="147"/>
      <c r="B119" s="139"/>
      <c r="C119" s="10"/>
      <c r="D119" s="11"/>
      <c r="E119" s="6"/>
      <c r="F119" s="10"/>
      <c r="G119" s="8"/>
      <c r="H119" s="9"/>
      <c r="I119" s="8"/>
      <c r="J119" s="1" t="e">
        <f>1-VLOOKUP(H119,'Modell-Kalibrierung'!$B$3:$C$8,2,0)</f>
        <v>#N/A</v>
      </c>
      <c r="K119" s="93">
        <f>IF(ISNA(J119),0,VLOOKUP(G119,'Modell-Kalibrierung'!$B$16:$C$22,2,FALSE)*VLOOKUP(H119,'Modell-Kalibrierung'!$B$3:$C$8,2,0)+VLOOKUP(I119,'Modell-Kalibrierung'!$B$16:$C$22,2,0)*'STEP-Analyse Nigeria'!J119)</f>
        <v>0</v>
      </c>
      <c r="L119" s="6"/>
    </row>
    <row r="120" spans="1:12" ht="20.25" x14ac:dyDescent="0.2">
      <c r="A120" s="147"/>
      <c r="B120" s="139"/>
      <c r="C120" s="10"/>
      <c r="D120" s="11"/>
      <c r="E120" s="6"/>
      <c r="F120" s="10"/>
      <c r="G120" s="8"/>
      <c r="H120" s="9"/>
      <c r="I120" s="8"/>
      <c r="J120" s="1" t="e">
        <f>1-VLOOKUP(H120,'Modell-Kalibrierung'!$B$3:$C$8,2,0)</f>
        <v>#N/A</v>
      </c>
      <c r="K120" s="93">
        <f>IF(ISNA(J120),0,VLOOKUP(G120,'Modell-Kalibrierung'!$B$16:$C$22,2,FALSE)*VLOOKUP(H120,'Modell-Kalibrierung'!$B$3:$C$8,2,0)+VLOOKUP(I120,'Modell-Kalibrierung'!$B$16:$C$22,2,0)*'STEP-Analyse Nigeria'!J120)</f>
        <v>0</v>
      </c>
      <c r="L120" s="6"/>
    </row>
    <row r="121" spans="1:12" ht="21" thickBot="1" x14ac:dyDescent="0.25">
      <c r="A121" s="147"/>
      <c r="B121" s="139"/>
      <c r="C121" s="10"/>
      <c r="D121" s="11"/>
      <c r="E121" s="6"/>
      <c r="F121" s="10"/>
      <c r="G121" s="8"/>
      <c r="H121" s="9"/>
      <c r="I121" s="8"/>
      <c r="J121" s="1" t="e">
        <f>1-VLOOKUP(H121,'Modell-Kalibrierung'!$B$3:$C$8,2,0)</f>
        <v>#N/A</v>
      </c>
      <c r="K121" s="93">
        <f>IF(ISNA(J121),0,VLOOKUP(G121,'Modell-Kalibrierung'!$B$16:$C$22,2,FALSE)*VLOOKUP(H121,'Modell-Kalibrierung'!$B$3:$C$8,2,0)+VLOOKUP(I121,'Modell-Kalibrierung'!$B$16:$C$22,2,0)*'STEP-Analyse Nigeria'!J121)</f>
        <v>0</v>
      </c>
      <c r="L121" s="6"/>
    </row>
    <row r="122" spans="1:12" ht="36" customHeight="1" thickBot="1" x14ac:dyDescent="0.25">
      <c r="A122" s="147"/>
      <c r="B122" s="139"/>
      <c r="C122" s="125" t="str">
        <f>B117</f>
        <v>Produktlebenszyklen</v>
      </c>
      <c r="D122" s="126"/>
      <c r="E122" s="126"/>
      <c r="F122" s="126"/>
      <c r="G122" s="127"/>
      <c r="H122" s="127"/>
      <c r="I122" s="127"/>
      <c r="J122" s="128"/>
      <c r="K122" s="4">
        <f>SUM(K117:K121)</f>
        <v>0</v>
      </c>
      <c r="L122" s="16" t="str">
        <f>IF(K122=0,"0% Anteil am Gesamtprojektrisiko",(K122/$K$123))</f>
        <v>0% Anteil am Gesamtprojektrisiko</v>
      </c>
    </row>
    <row r="123" spans="1:12" ht="63.75" customHeight="1" thickBot="1" x14ac:dyDescent="0.25">
      <c r="A123" s="142" t="s">
        <v>32</v>
      </c>
      <c r="B123" s="143"/>
      <c r="C123" s="143"/>
      <c r="D123" s="143"/>
      <c r="E123" s="143"/>
      <c r="F123" s="143"/>
      <c r="G123" s="143"/>
      <c r="H123" s="143"/>
      <c r="I123" s="143"/>
      <c r="J123" s="143"/>
      <c r="K123" s="60">
        <f>M31</f>
        <v>0</v>
      </c>
      <c r="L123" s="15"/>
    </row>
    <row r="124" spans="1:12" x14ac:dyDescent="0.2">
      <c r="A124" s="36"/>
      <c r="B124" s="36"/>
      <c r="C124" s="36"/>
      <c r="D124" s="36"/>
      <c r="E124" s="36"/>
      <c r="F124" s="36"/>
      <c r="G124" s="36"/>
      <c r="H124" s="36"/>
      <c r="I124" s="36"/>
      <c r="J124" s="36"/>
      <c r="K124" s="36"/>
    </row>
    <row r="125" spans="1:12" x14ac:dyDescent="0.2">
      <c r="A125" s="36"/>
      <c r="B125" s="36"/>
      <c r="C125" s="36"/>
      <c r="D125" s="36"/>
      <c r="E125" s="36"/>
      <c r="F125" s="36"/>
      <c r="G125" s="36"/>
      <c r="H125" s="36"/>
      <c r="I125" s="36"/>
      <c r="J125" s="94"/>
      <c r="K125" s="94"/>
      <c r="L125" s="94"/>
    </row>
    <row r="126" spans="1:12" ht="20.25" x14ac:dyDescent="0.2">
      <c r="A126" s="36"/>
      <c r="B126" s="36"/>
      <c r="C126" s="36"/>
      <c r="D126" s="36"/>
      <c r="E126" s="36"/>
      <c r="F126" s="36"/>
      <c r="G126" s="36"/>
      <c r="H126" s="36"/>
      <c r="I126" s="36"/>
      <c r="J126" s="95"/>
      <c r="K126" s="96"/>
      <c r="L126" s="94"/>
    </row>
    <row r="127" spans="1:12" x14ac:dyDescent="0.2">
      <c r="A127" s="36"/>
      <c r="B127" s="36"/>
      <c r="C127" s="36"/>
      <c r="D127" s="36"/>
      <c r="E127" s="36"/>
      <c r="F127" s="36"/>
      <c r="G127" s="36"/>
      <c r="H127" s="36"/>
      <c r="I127" s="36"/>
      <c r="J127" s="94"/>
      <c r="K127" s="94"/>
      <c r="L127" s="94"/>
    </row>
    <row r="128" spans="1:12" x14ac:dyDescent="0.2">
      <c r="A128" s="36"/>
      <c r="B128" s="36"/>
      <c r="C128" s="36"/>
      <c r="D128" s="36"/>
      <c r="E128" s="36"/>
      <c r="F128" s="36"/>
      <c r="G128" s="36"/>
      <c r="H128" s="36"/>
      <c r="I128" s="36"/>
      <c r="J128" s="94"/>
      <c r="K128" s="94"/>
      <c r="L128" s="94"/>
    </row>
    <row r="129" spans="1:36" x14ac:dyDescent="0.2">
      <c r="A129" s="36"/>
      <c r="B129" s="36"/>
      <c r="C129" s="36"/>
      <c r="D129" s="36"/>
      <c r="E129" s="36"/>
      <c r="F129" s="36"/>
      <c r="G129" s="36"/>
      <c r="H129" s="36"/>
      <c r="I129" s="36"/>
      <c r="J129" s="94"/>
      <c r="K129" s="94"/>
      <c r="L129" s="94"/>
    </row>
    <row r="130" spans="1:36" x14ac:dyDescent="0.2">
      <c r="A130" s="36"/>
      <c r="B130" s="36"/>
      <c r="C130" s="36"/>
      <c r="D130" s="36"/>
      <c r="E130" s="36"/>
      <c r="F130" s="36"/>
      <c r="G130" s="36"/>
      <c r="H130" s="36"/>
      <c r="I130" s="36"/>
      <c r="J130" s="94"/>
      <c r="K130" s="94"/>
      <c r="L130" s="94"/>
    </row>
    <row r="131" spans="1:36" x14ac:dyDescent="0.2">
      <c r="A131" s="36"/>
      <c r="B131" s="36"/>
      <c r="C131" s="36"/>
      <c r="D131" s="36"/>
      <c r="E131" s="36"/>
      <c r="F131" s="36"/>
      <c r="G131" s="36"/>
      <c r="H131" s="36"/>
      <c r="I131" s="36"/>
      <c r="J131" s="94"/>
      <c r="K131" s="94"/>
      <c r="L131" s="94"/>
    </row>
    <row r="132" spans="1:36" x14ac:dyDescent="0.2">
      <c r="A132" s="36"/>
      <c r="B132" s="36"/>
      <c r="C132" s="36"/>
      <c r="D132" s="36"/>
      <c r="E132" s="36"/>
      <c r="F132" s="36"/>
      <c r="G132" s="36"/>
      <c r="H132" s="36"/>
      <c r="I132" s="36"/>
      <c r="J132" s="94"/>
      <c r="K132" s="94"/>
      <c r="L132" s="94"/>
      <c r="AF132" s="97"/>
      <c r="AG132" s="97"/>
      <c r="AH132" s="97"/>
      <c r="AI132" s="97"/>
      <c r="AJ132" s="97"/>
    </row>
    <row r="133" spans="1:36" ht="20.25" x14ac:dyDescent="0.2">
      <c r="A133" s="36"/>
      <c r="B133" s="36"/>
      <c r="C133" s="36"/>
      <c r="D133" s="36"/>
      <c r="E133" s="36"/>
      <c r="F133" s="36"/>
      <c r="G133" s="36"/>
      <c r="H133" s="36"/>
      <c r="I133" s="36"/>
      <c r="J133" s="95"/>
      <c r="K133" s="96"/>
      <c r="L133" s="94"/>
    </row>
    <row r="134" spans="1:36" x14ac:dyDescent="0.2">
      <c r="A134" s="36"/>
      <c r="B134" s="36"/>
      <c r="C134" s="36"/>
      <c r="D134" s="36"/>
      <c r="E134" s="36"/>
      <c r="F134" s="36"/>
      <c r="G134" s="36"/>
      <c r="H134" s="36"/>
      <c r="I134" s="36"/>
      <c r="J134" s="94"/>
      <c r="K134" s="94"/>
      <c r="L134" s="94"/>
    </row>
    <row r="135" spans="1:36" x14ac:dyDescent="0.2">
      <c r="A135" s="36"/>
      <c r="B135" s="36"/>
      <c r="C135" s="36"/>
      <c r="D135" s="36"/>
      <c r="E135" s="36"/>
      <c r="F135" s="36"/>
      <c r="G135" s="36"/>
      <c r="H135" s="36"/>
      <c r="I135" s="36"/>
      <c r="J135" s="94"/>
      <c r="K135" s="94"/>
      <c r="L135" s="94"/>
    </row>
    <row r="136" spans="1:36" x14ac:dyDescent="0.2">
      <c r="A136" s="36"/>
      <c r="B136" s="36"/>
      <c r="C136" s="36"/>
      <c r="D136" s="36"/>
      <c r="E136" s="36"/>
      <c r="F136" s="36"/>
      <c r="G136" s="36"/>
      <c r="H136" s="36"/>
      <c r="I136" s="36"/>
      <c r="J136" s="94"/>
      <c r="K136" s="94"/>
      <c r="L136" s="94"/>
    </row>
    <row r="137" spans="1:36" x14ac:dyDescent="0.2">
      <c r="A137" s="36"/>
      <c r="B137" s="36"/>
      <c r="C137" s="36"/>
      <c r="D137" s="36"/>
      <c r="E137" s="36"/>
      <c r="F137" s="36"/>
      <c r="G137" s="36"/>
      <c r="H137" s="36"/>
      <c r="I137" s="36"/>
      <c r="J137" s="94"/>
      <c r="K137" s="94"/>
      <c r="L137" s="94"/>
    </row>
    <row r="138" spans="1:36" x14ac:dyDescent="0.2">
      <c r="A138" s="36"/>
      <c r="B138" s="36"/>
      <c r="C138" s="36"/>
      <c r="D138" s="36"/>
      <c r="E138" s="36"/>
      <c r="F138" s="36"/>
      <c r="G138" s="36"/>
      <c r="H138" s="36"/>
      <c r="I138" s="36"/>
      <c r="J138" s="94"/>
      <c r="K138" s="94"/>
      <c r="L138" s="94"/>
    </row>
    <row r="139" spans="1:36" x14ac:dyDescent="0.2">
      <c r="A139" s="36"/>
      <c r="B139" s="36"/>
      <c r="C139" s="36"/>
      <c r="D139" s="36"/>
      <c r="E139" s="36"/>
      <c r="F139" s="36"/>
      <c r="G139" s="36"/>
      <c r="H139" s="36"/>
      <c r="I139" s="36"/>
      <c r="J139" s="94"/>
      <c r="K139" s="94"/>
      <c r="L139" s="94"/>
    </row>
    <row r="140" spans="1:36" ht="20.25" x14ac:dyDescent="0.2">
      <c r="A140" s="36"/>
      <c r="B140" s="36"/>
      <c r="C140" s="36"/>
      <c r="D140" s="36"/>
      <c r="E140" s="36"/>
      <c r="F140" s="36"/>
      <c r="G140" s="36"/>
      <c r="H140" s="36"/>
      <c r="I140" s="36"/>
      <c r="J140" s="95"/>
      <c r="K140" s="96"/>
      <c r="L140" s="94"/>
    </row>
    <row r="141" spans="1:36" x14ac:dyDescent="0.2">
      <c r="A141" s="36"/>
      <c r="B141" s="36"/>
      <c r="C141" s="36"/>
      <c r="D141" s="36"/>
      <c r="E141" s="36"/>
      <c r="F141" s="36"/>
      <c r="G141" s="36"/>
      <c r="H141" s="36"/>
      <c r="I141" s="36"/>
      <c r="J141" s="94"/>
      <c r="K141" s="94"/>
      <c r="L141" s="94"/>
    </row>
    <row r="142" spans="1:36" x14ac:dyDescent="0.2">
      <c r="A142" s="36"/>
      <c r="B142" s="36"/>
      <c r="C142" s="36"/>
      <c r="D142" s="36"/>
      <c r="E142" s="36"/>
      <c r="F142" s="36"/>
      <c r="G142" s="36"/>
      <c r="H142" s="36"/>
      <c r="I142" s="36"/>
      <c r="J142" s="94"/>
      <c r="K142" s="94"/>
      <c r="L142" s="94"/>
    </row>
    <row r="143" spans="1:36" x14ac:dyDescent="0.2">
      <c r="A143" s="36"/>
      <c r="B143" s="36"/>
      <c r="C143" s="36"/>
      <c r="D143" s="36"/>
      <c r="E143" s="36"/>
      <c r="F143" s="36"/>
      <c r="G143" s="36"/>
      <c r="H143" s="36"/>
      <c r="I143" s="36"/>
      <c r="J143" s="36"/>
      <c r="K143" s="36"/>
      <c r="L143" s="36"/>
    </row>
    <row r="144" spans="1:36" x14ac:dyDescent="0.2">
      <c r="A144" s="36"/>
      <c r="B144" s="36"/>
      <c r="C144" s="36"/>
      <c r="D144" s="36"/>
      <c r="E144" s="36"/>
      <c r="F144" s="36"/>
      <c r="G144" s="36"/>
      <c r="H144" s="36"/>
      <c r="I144" s="36"/>
      <c r="J144" s="36"/>
      <c r="K144" s="36"/>
      <c r="L144" s="36"/>
    </row>
    <row r="145" spans="1:31" x14ac:dyDescent="0.2">
      <c r="A145" s="36"/>
      <c r="B145" s="36"/>
      <c r="C145" s="36"/>
      <c r="D145" s="36"/>
      <c r="E145" s="36"/>
      <c r="F145" s="36"/>
      <c r="G145" s="36"/>
      <c r="H145" s="36"/>
      <c r="I145" s="36"/>
      <c r="J145" s="36"/>
      <c r="K145" s="36"/>
      <c r="L145" s="36"/>
    </row>
    <row r="146" spans="1:31" x14ac:dyDescent="0.2">
      <c r="A146" s="36"/>
      <c r="B146" s="36"/>
      <c r="C146" s="36"/>
      <c r="D146" s="36"/>
      <c r="E146" s="36"/>
      <c r="F146" s="36"/>
      <c r="G146" s="36"/>
      <c r="H146" s="36"/>
      <c r="I146" s="36"/>
      <c r="J146" s="36"/>
      <c r="K146" s="36"/>
      <c r="L146" s="36"/>
    </row>
    <row r="147" spans="1:31" x14ac:dyDescent="0.2">
      <c r="A147" s="36"/>
      <c r="B147" s="36"/>
      <c r="C147" s="36"/>
      <c r="D147" s="36"/>
      <c r="E147" s="36"/>
      <c r="F147" s="36"/>
      <c r="G147" s="36"/>
      <c r="H147" s="36"/>
      <c r="I147" s="36"/>
      <c r="J147" s="36"/>
      <c r="K147" s="36"/>
      <c r="L147" s="36"/>
    </row>
    <row r="148" spans="1:31" x14ac:dyDescent="0.2">
      <c r="A148" s="36"/>
      <c r="B148" s="36"/>
      <c r="C148" s="36"/>
      <c r="D148" s="36"/>
      <c r="E148" s="36"/>
      <c r="F148" s="36"/>
      <c r="G148" s="36"/>
      <c r="H148" s="36"/>
      <c r="I148" s="36"/>
      <c r="J148" s="36"/>
      <c r="K148" s="36"/>
      <c r="L148" s="36"/>
    </row>
    <row r="149" spans="1:31" x14ac:dyDescent="0.2">
      <c r="A149" s="36"/>
      <c r="B149" s="36"/>
      <c r="C149" s="36"/>
      <c r="D149" s="36"/>
      <c r="E149" s="36"/>
      <c r="F149" s="36"/>
      <c r="G149" s="36"/>
      <c r="H149" s="36"/>
      <c r="I149" s="36"/>
      <c r="J149" s="36"/>
      <c r="K149" s="36"/>
      <c r="L149" s="36"/>
    </row>
    <row r="150" spans="1:31" x14ac:dyDescent="0.2">
      <c r="A150" s="36"/>
      <c r="B150" s="36"/>
      <c r="C150" s="36"/>
      <c r="D150" s="36"/>
      <c r="E150" s="36"/>
      <c r="F150" s="36"/>
      <c r="G150" s="36"/>
      <c r="H150" s="36"/>
      <c r="I150" s="36"/>
      <c r="J150" s="36"/>
      <c r="K150" s="36"/>
      <c r="L150" s="36"/>
    </row>
    <row r="151" spans="1:31" x14ac:dyDescent="0.2">
      <c r="A151" s="36"/>
      <c r="B151" s="36"/>
      <c r="C151" s="36"/>
      <c r="D151" s="36"/>
      <c r="E151" s="36"/>
      <c r="F151" s="36"/>
      <c r="G151" s="36"/>
      <c r="H151" s="36"/>
      <c r="I151" s="36"/>
      <c r="J151" s="36"/>
      <c r="K151" s="36"/>
      <c r="L151" s="36"/>
    </row>
    <row r="152" spans="1:31" x14ac:dyDescent="0.2">
      <c r="A152" s="36"/>
      <c r="B152" s="36"/>
      <c r="C152" s="36"/>
      <c r="D152" s="36"/>
      <c r="E152" s="36"/>
      <c r="F152" s="36"/>
      <c r="G152" s="36"/>
      <c r="H152" s="36"/>
      <c r="I152" s="36"/>
      <c r="J152" s="36"/>
      <c r="K152" s="36"/>
      <c r="L152" s="36"/>
    </row>
    <row r="153" spans="1:31" x14ac:dyDescent="0.2">
      <c r="A153" s="36"/>
      <c r="B153" s="36"/>
      <c r="C153" s="36"/>
      <c r="D153" s="36"/>
      <c r="E153" s="36"/>
      <c r="F153" s="36"/>
      <c r="G153" s="36"/>
      <c r="H153" s="36"/>
      <c r="I153" s="36"/>
      <c r="J153" s="36"/>
      <c r="K153" s="36"/>
      <c r="L153" s="36"/>
    </row>
    <row r="154" spans="1:31" x14ac:dyDescent="0.2">
      <c r="A154" s="36"/>
      <c r="B154" s="36"/>
      <c r="C154" s="36"/>
      <c r="D154" s="36"/>
      <c r="E154" s="36"/>
      <c r="F154" s="36"/>
      <c r="G154" s="36"/>
      <c r="H154" s="36"/>
      <c r="I154" s="36"/>
      <c r="J154" s="36"/>
      <c r="K154" s="36"/>
      <c r="L154" s="36"/>
    </row>
    <row r="155" spans="1:31" x14ac:dyDescent="0.2">
      <c r="A155" s="36"/>
      <c r="B155" s="36"/>
      <c r="C155" s="36"/>
      <c r="D155" s="36"/>
      <c r="E155" s="36"/>
      <c r="F155" s="36"/>
      <c r="G155" s="36"/>
      <c r="H155" s="36"/>
      <c r="I155" s="36"/>
      <c r="J155" s="36"/>
      <c r="K155" s="36"/>
      <c r="L155" s="36"/>
    </row>
    <row r="156" spans="1:31" x14ac:dyDescent="0.2">
      <c r="A156" s="36"/>
      <c r="B156" s="36"/>
      <c r="C156" s="36"/>
      <c r="D156" s="36"/>
      <c r="E156" s="36"/>
      <c r="F156" s="36"/>
      <c r="G156" s="36"/>
      <c r="H156" s="36"/>
      <c r="I156" s="36"/>
      <c r="J156" s="36"/>
      <c r="K156" s="36"/>
      <c r="L156" s="36"/>
    </row>
    <row r="157" spans="1:31" x14ac:dyDescent="0.2">
      <c r="A157" s="36"/>
      <c r="B157" s="36"/>
      <c r="C157" s="36"/>
      <c r="D157" s="36"/>
      <c r="E157" s="36"/>
      <c r="F157" s="36"/>
      <c r="G157" s="36"/>
      <c r="H157" s="36"/>
      <c r="I157" s="36"/>
      <c r="J157" s="36"/>
      <c r="K157" s="36"/>
      <c r="L157" s="36"/>
    </row>
    <row r="158" spans="1:31" x14ac:dyDescent="0.2">
      <c r="A158" s="36"/>
      <c r="B158" s="36"/>
      <c r="C158" s="36"/>
      <c r="D158" s="36"/>
      <c r="E158" s="36"/>
      <c r="F158" s="36"/>
      <c r="G158" s="36"/>
      <c r="H158" s="36"/>
      <c r="I158" s="36"/>
      <c r="J158" s="36"/>
      <c r="K158" s="36"/>
      <c r="L158" s="36"/>
    </row>
    <row r="159" spans="1:31" x14ac:dyDescent="0.2">
      <c r="A159" s="36"/>
      <c r="B159" s="36"/>
      <c r="C159" s="36"/>
      <c r="D159" s="36"/>
      <c r="E159" s="36"/>
      <c r="F159" s="36"/>
      <c r="G159" s="36"/>
      <c r="H159" s="36"/>
      <c r="I159" s="36"/>
      <c r="J159" s="36"/>
      <c r="K159" s="36"/>
      <c r="L159" s="36"/>
    </row>
    <row r="160" spans="1:31" x14ac:dyDescent="0.2">
      <c r="A160" s="36"/>
      <c r="B160" s="36"/>
      <c r="C160" s="36"/>
      <c r="D160" s="36"/>
      <c r="E160" s="36"/>
      <c r="F160" s="36"/>
      <c r="G160" s="36"/>
      <c r="H160" s="36"/>
      <c r="I160" s="36"/>
      <c r="J160" s="36"/>
      <c r="K160" s="36"/>
      <c r="L160" s="36"/>
      <c r="P160" s="98"/>
      <c r="Q160" s="98"/>
      <c r="R160" s="98"/>
      <c r="S160" s="98"/>
      <c r="T160" s="98"/>
      <c r="U160" s="98"/>
      <c r="V160" s="98"/>
      <c r="W160" s="98"/>
      <c r="X160" s="98"/>
      <c r="Y160" s="98"/>
      <c r="Z160" s="98"/>
      <c r="AA160" s="98"/>
      <c r="AB160" s="98"/>
      <c r="AC160" s="98"/>
      <c r="AD160" s="98"/>
      <c r="AE160" s="98"/>
    </row>
    <row r="161" spans="1:31" x14ac:dyDescent="0.2">
      <c r="A161" s="36"/>
      <c r="B161" s="36"/>
      <c r="C161" s="36"/>
      <c r="D161" s="36"/>
      <c r="E161" s="36"/>
      <c r="F161" s="36"/>
      <c r="G161" s="36"/>
      <c r="H161" s="36"/>
      <c r="I161" s="36"/>
      <c r="J161" s="36"/>
      <c r="K161" s="36"/>
      <c r="L161" s="36"/>
      <c r="P161" s="98"/>
      <c r="Q161" s="98"/>
      <c r="R161" s="98"/>
      <c r="S161" s="98"/>
      <c r="T161" s="98"/>
      <c r="U161" s="98"/>
      <c r="V161" s="98"/>
      <c r="W161" s="98"/>
      <c r="X161" s="98"/>
      <c r="Y161" s="98"/>
      <c r="Z161" s="98"/>
      <c r="AA161" s="98"/>
      <c r="AB161" s="98"/>
      <c r="AC161" s="98"/>
      <c r="AD161" s="98"/>
      <c r="AE161" s="98"/>
    </row>
    <row r="162" spans="1:31" x14ac:dyDescent="0.2">
      <c r="A162" s="36"/>
      <c r="B162" s="36"/>
      <c r="C162" s="36"/>
      <c r="D162" s="36"/>
      <c r="E162" s="36"/>
      <c r="F162" s="36"/>
      <c r="G162" s="36"/>
      <c r="H162" s="36"/>
      <c r="I162" s="36"/>
      <c r="J162" s="36"/>
      <c r="K162" s="36"/>
      <c r="L162" s="36"/>
      <c r="P162" s="98"/>
      <c r="Q162" s="98"/>
      <c r="R162" s="98"/>
      <c r="S162" s="98"/>
      <c r="T162" s="98"/>
      <c r="U162" s="98"/>
      <c r="V162" s="98"/>
      <c r="W162" s="98"/>
      <c r="X162" s="98"/>
      <c r="Y162" s="98"/>
      <c r="Z162" s="98"/>
      <c r="AA162" s="98"/>
      <c r="AB162" s="98"/>
      <c r="AC162" s="98"/>
      <c r="AD162" s="98"/>
      <c r="AE162" s="98"/>
    </row>
    <row r="163" spans="1:31" x14ac:dyDescent="0.2">
      <c r="A163" s="36"/>
      <c r="B163" s="36"/>
      <c r="C163" s="36"/>
      <c r="D163" s="36"/>
      <c r="E163" s="36"/>
      <c r="F163" s="36"/>
      <c r="G163" s="36"/>
      <c r="H163" s="36"/>
      <c r="I163" s="36"/>
      <c r="J163" s="36"/>
      <c r="K163" s="36"/>
      <c r="L163" s="36"/>
      <c r="P163" s="98"/>
      <c r="Q163" s="98"/>
      <c r="R163" s="98"/>
      <c r="S163" s="98"/>
      <c r="T163" s="98"/>
      <c r="U163" s="98"/>
      <c r="V163" s="98"/>
      <c r="W163" s="98"/>
      <c r="X163" s="98"/>
      <c r="Y163" s="98"/>
      <c r="Z163" s="98"/>
      <c r="AA163" s="98"/>
      <c r="AB163" s="98"/>
      <c r="AC163" s="98"/>
      <c r="AD163" s="98"/>
      <c r="AE163" s="98"/>
    </row>
    <row r="164" spans="1:31" x14ac:dyDescent="0.2">
      <c r="A164" s="36"/>
      <c r="B164" s="36"/>
      <c r="C164" s="36"/>
      <c r="D164" s="36"/>
      <c r="E164" s="36"/>
      <c r="F164" s="36"/>
      <c r="G164" s="36"/>
      <c r="H164" s="36"/>
      <c r="I164" s="36"/>
      <c r="J164" s="36"/>
      <c r="K164" s="36"/>
      <c r="L164" s="36"/>
      <c r="P164" s="98"/>
      <c r="Q164" s="98"/>
      <c r="R164" s="98"/>
      <c r="S164" s="98"/>
      <c r="T164" s="98"/>
      <c r="U164" s="98"/>
      <c r="V164" s="98"/>
      <c r="W164" s="98"/>
      <c r="X164" s="98"/>
      <c r="Y164" s="98"/>
      <c r="Z164" s="98"/>
      <c r="AA164" s="98"/>
      <c r="AB164" s="98"/>
      <c r="AC164" s="98"/>
      <c r="AD164" s="98"/>
      <c r="AE164" s="98"/>
    </row>
    <row r="165" spans="1:31" x14ac:dyDescent="0.2">
      <c r="A165" s="36"/>
      <c r="B165" s="36"/>
      <c r="C165" s="36"/>
      <c r="D165" s="36"/>
      <c r="E165" s="36"/>
      <c r="F165" s="36"/>
      <c r="G165" s="36"/>
      <c r="H165" s="36"/>
      <c r="I165" s="36"/>
      <c r="J165" s="36"/>
      <c r="K165" s="36"/>
      <c r="L165" s="36"/>
    </row>
    <row r="166" spans="1:31" x14ac:dyDescent="0.2">
      <c r="A166" s="36"/>
      <c r="B166" s="36"/>
      <c r="C166" s="36"/>
      <c r="D166" s="36"/>
      <c r="E166" s="36"/>
      <c r="F166" s="36"/>
      <c r="G166" s="36"/>
      <c r="H166" s="36"/>
      <c r="I166" s="36"/>
      <c r="J166" s="36"/>
      <c r="K166" s="36"/>
      <c r="L166" s="36"/>
    </row>
    <row r="167" spans="1:31" x14ac:dyDescent="0.2">
      <c r="A167" s="36"/>
      <c r="B167" s="36"/>
      <c r="C167" s="36"/>
      <c r="D167" s="36"/>
      <c r="E167" s="36"/>
      <c r="F167" s="36"/>
      <c r="G167" s="36"/>
      <c r="H167" s="36"/>
      <c r="I167" s="36"/>
      <c r="J167" s="36"/>
      <c r="K167" s="36"/>
      <c r="L167" s="36"/>
    </row>
    <row r="168" spans="1:31" x14ac:dyDescent="0.2">
      <c r="A168" s="36"/>
      <c r="B168" s="36"/>
      <c r="C168" s="36"/>
      <c r="D168" s="36"/>
      <c r="E168" s="36"/>
      <c r="F168" s="36"/>
      <c r="G168" s="36"/>
      <c r="H168" s="36"/>
      <c r="I168" s="36"/>
      <c r="J168" s="36"/>
      <c r="K168" s="36"/>
      <c r="L168" s="36"/>
    </row>
    <row r="169" spans="1:31" x14ac:dyDescent="0.2">
      <c r="A169" s="36"/>
      <c r="B169" s="36"/>
      <c r="C169" s="36"/>
      <c r="D169" s="36"/>
      <c r="E169" s="36"/>
      <c r="F169" s="36"/>
      <c r="G169" s="36"/>
      <c r="H169" s="36"/>
      <c r="I169" s="36"/>
      <c r="J169" s="36"/>
      <c r="K169" s="36"/>
      <c r="L169" s="36"/>
    </row>
    <row r="170" spans="1:31" x14ac:dyDescent="0.2">
      <c r="A170" s="36"/>
      <c r="B170" s="36"/>
      <c r="C170" s="36"/>
      <c r="D170" s="36"/>
      <c r="E170" s="36"/>
      <c r="F170" s="36"/>
      <c r="G170" s="36"/>
      <c r="H170" s="36"/>
      <c r="I170" s="36"/>
      <c r="J170" s="36"/>
      <c r="K170" s="36"/>
      <c r="L170" s="36"/>
    </row>
    <row r="171" spans="1:31" x14ac:dyDescent="0.2">
      <c r="A171" s="36"/>
      <c r="B171" s="36"/>
      <c r="C171" s="36"/>
      <c r="D171" s="36"/>
      <c r="E171" s="36"/>
      <c r="F171" s="36"/>
      <c r="G171" s="36"/>
      <c r="H171" s="36"/>
      <c r="I171" s="36"/>
      <c r="J171" s="36"/>
      <c r="K171" s="36"/>
      <c r="L171" s="36"/>
    </row>
    <row r="172" spans="1:31" x14ac:dyDescent="0.2">
      <c r="A172" s="36"/>
      <c r="B172" s="36"/>
      <c r="C172" s="36"/>
      <c r="D172" s="36"/>
      <c r="E172" s="36"/>
      <c r="F172" s="36"/>
      <c r="G172" s="36"/>
      <c r="H172" s="36"/>
      <c r="I172" s="36"/>
      <c r="J172" s="36"/>
      <c r="K172" s="36"/>
      <c r="L172" s="36"/>
    </row>
    <row r="173" spans="1:31" x14ac:dyDescent="0.2">
      <c r="A173" s="36"/>
      <c r="B173" s="36"/>
      <c r="C173" s="36"/>
      <c r="D173" s="36"/>
      <c r="E173" s="36"/>
      <c r="F173" s="36"/>
      <c r="G173" s="36"/>
      <c r="H173" s="36"/>
      <c r="I173" s="36"/>
      <c r="J173" s="36"/>
      <c r="K173" s="36"/>
      <c r="L173" s="36"/>
    </row>
    <row r="174" spans="1:31" x14ac:dyDescent="0.2">
      <c r="A174" s="36"/>
      <c r="B174" s="36"/>
      <c r="C174" s="36"/>
      <c r="D174" s="36"/>
      <c r="E174" s="36"/>
      <c r="F174" s="36"/>
      <c r="G174" s="36"/>
      <c r="H174" s="36"/>
      <c r="I174" s="36"/>
      <c r="J174" s="36"/>
      <c r="K174" s="36"/>
      <c r="L174" s="36"/>
    </row>
    <row r="175" spans="1:31" x14ac:dyDescent="0.2">
      <c r="A175" s="36"/>
      <c r="B175" s="36"/>
      <c r="C175" s="36"/>
      <c r="D175" s="36"/>
      <c r="E175" s="36"/>
      <c r="F175" s="36"/>
      <c r="G175" s="36"/>
      <c r="H175" s="36"/>
      <c r="I175" s="36"/>
      <c r="J175" s="36"/>
      <c r="K175" s="36"/>
      <c r="L175" s="36"/>
    </row>
    <row r="176" spans="1:31" x14ac:dyDescent="0.2">
      <c r="A176" s="36"/>
      <c r="B176" s="36"/>
      <c r="C176" s="36"/>
      <c r="D176" s="36"/>
      <c r="E176" s="36"/>
      <c r="F176" s="36"/>
      <c r="G176" s="36"/>
      <c r="H176" s="36"/>
      <c r="I176" s="36"/>
      <c r="J176" s="36"/>
      <c r="K176" s="36"/>
      <c r="L176" s="36"/>
    </row>
    <row r="177" spans="1:31" x14ac:dyDescent="0.2">
      <c r="A177" s="36"/>
      <c r="B177" s="36"/>
      <c r="C177" s="36"/>
      <c r="D177" s="36"/>
      <c r="E177" s="36"/>
      <c r="F177" s="36"/>
      <c r="G177" s="36"/>
      <c r="H177" s="36"/>
      <c r="I177" s="36"/>
      <c r="J177" s="36"/>
      <c r="K177" s="36"/>
      <c r="L177" s="36"/>
    </row>
    <row r="178" spans="1:31" s="36" customFormat="1" x14ac:dyDescent="0.2">
      <c r="M178" s="54"/>
      <c r="N178" s="54"/>
      <c r="O178" s="104"/>
      <c r="P178" s="104"/>
      <c r="Q178" s="104"/>
      <c r="R178" s="104"/>
      <c r="S178" s="104"/>
      <c r="T178" s="104"/>
      <c r="U178" s="104"/>
      <c r="V178" s="104"/>
      <c r="W178" s="104"/>
      <c r="X178" s="104"/>
      <c r="Y178" s="104"/>
      <c r="Z178" s="104"/>
      <c r="AA178" s="104"/>
      <c r="AB178" s="104"/>
      <c r="AC178" s="104"/>
      <c r="AD178" s="104"/>
      <c r="AE178" s="104"/>
    </row>
    <row r="179" spans="1:31" s="36" customFormat="1" x14ac:dyDescent="0.2">
      <c r="M179" s="54"/>
      <c r="N179" s="54"/>
      <c r="O179" s="104"/>
      <c r="P179" s="104"/>
      <c r="Q179" s="104"/>
      <c r="R179" s="104"/>
      <c r="S179" s="104"/>
      <c r="T179" s="104"/>
      <c r="U179" s="104"/>
      <c r="V179" s="104"/>
      <c r="W179" s="104"/>
      <c r="X179" s="104"/>
      <c r="Y179" s="104"/>
      <c r="Z179" s="104"/>
      <c r="AA179" s="104"/>
      <c r="AB179" s="104"/>
      <c r="AC179" s="104"/>
      <c r="AD179" s="104"/>
      <c r="AE179" s="104"/>
    </row>
    <row r="180" spans="1:31" s="36" customFormat="1" x14ac:dyDescent="0.2">
      <c r="M180" s="54"/>
      <c r="N180" s="54"/>
      <c r="O180" s="104"/>
      <c r="P180" s="104"/>
      <c r="Q180" s="104"/>
      <c r="R180" s="104"/>
      <c r="S180" s="104"/>
      <c r="T180" s="104"/>
      <c r="U180" s="104"/>
      <c r="V180" s="104"/>
      <c r="W180" s="104"/>
      <c r="X180" s="104"/>
      <c r="Y180" s="104"/>
      <c r="Z180" s="104"/>
      <c r="AA180" s="104"/>
      <c r="AB180" s="104"/>
      <c r="AC180" s="104"/>
      <c r="AD180" s="104"/>
      <c r="AE180" s="104"/>
    </row>
    <row r="181" spans="1:31" s="36" customFormat="1" x14ac:dyDescent="0.2">
      <c r="M181" s="54"/>
      <c r="N181" s="54"/>
      <c r="O181" s="104"/>
      <c r="P181" s="104"/>
      <c r="Q181" s="104"/>
      <c r="R181" s="104"/>
      <c r="S181" s="104"/>
      <c r="T181" s="104"/>
      <c r="U181" s="104"/>
      <c r="V181" s="104"/>
      <c r="W181" s="104"/>
      <c r="X181" s="104"/>
      <c r="Y181" s="104"/>
      <c r="Z181" s="104"/>
      <c r="AA181" s="104"/>
      <c r="AB181" s="104"/>
      <c r="AC181" s="104"/>
      <c r="AD181" s="104"/>
      <c r="AE181" s="104"/>
    </row>
    <row r="182" spans="1:31" s="36" customFormat="1" x14ac:dyDescent="0.2">
      <c r="M182" s="54"/>
      <c r="N182" s="54"/>
      <c r="O182" s="104"/>
      <c r="P182" s="104"/>
      <c r="Q182" s="104"/>
      <c r="R182" s="104"/>
      <c r="S182" s="104"/>
      <c r="T182" s="104"/>
      <c r="U182" s="104"/>
      <c r="V182" s="104"/>
      <c r="W182" s="104"/>
      <c r="X182" s="104"/>
      <c r="Y182" s="104"/>
      <c r="Z182" s="104"/>
      <c r="AA182" s="104"/>
      <c r="AB182" s="104"/>
      <c r="AC182" s="104"/>
      <c r="AD182" s="104"/>
      <c r="AE182" s="104"/>
    </row>
    <row r="183" spans="1:31" s="36" customFormat="1" x14ac:dyDescent="0.2">
      <c r="M183" s="54"/>
      <c r="N183" s="54"/>
      <c r="O183" s="104"/>
      <c r="P183" s="104"/>
      <c r="Q183" s="104"/>
      <c r="R183" s="104"/>
      <c r="S183" s="104"/>
      <c r="T183" s="104"/>
      <c r="U183" s="104"/>
      <c r="V183" s="104"/>
      <c r="W183" s="104"/>
      <c r="X183" s="104"/>
      <c r="Y183" s="104"/>
      <c r="Z183" s="104"/>
      <c r="AA183" s="104"/>
      <c r="AB183" s="104"/>
      <c r="AC183" s="104"/>
      <c r="AD183" s="104"/>
      <c r="AE183" s="104"/>
    </row>
    <row r="184" spans="1:31" s="36" customFormat="1" x14ac:dyDescent="0.2">
      <c r="M184" s="54"/>
      <c r="N184" s="54"/>
      <c r="O184" s="104"/>
      <c r="P184" s="104"/>
      <c r="Q184" s="104"/>
      <c r="R184" s="104"/>
      <c r="S184" s="104"/>
      <c r="T184" s="104"/>
      <c r="U184" s="104"/>
      <c r="V184" s="104"/>
      <c r="W184" s="104"/>
      <c r="X184" s="104"/>
      <c r="Y184" s="104"/>
      <c r="Z184" s="104"/>
      <c r="AA184" s="104"/>
      <c r="AB184" s="104"/>
      <c r="AC184" s="104"/>
      <c r="AD184" s="104"/>
      <c r="AE184" s="104"/>
    </row>
    <row r="185" spans="1:31" s="36" customFormat="1" x14ac:dyDescent="0.2">
      <c r="M185" s="54"/>
      <c r="N185" s="54"/>
      <c r="O185" s="104"/>
      <c r="P185" s="104"/>
      <c r="Q185" s="104"/>
      <c r="R185" s="104"/>
      <c r="S185" s="104"/>
      <c r="T185" s="104"/>
      <c r="U185" s="104"/>
      <c r="V185" s="104"/>
      <c r="W185" s="104"/>
      <c r="X185" s="104"/>
      <c r="Y185" s="104"/>
      <c r="Z185" s="104"/>
      <c r="AA185" s="104"/>
      <c r="AB185" s="104"/>
      <c r="AC185" s="104"/>
      <c r="AD185" s="104"/>
      <c r="AE185" s="104"/>
    </row>
    <row r="186" spans="1:31" s="36" customFormat="1" x14ac:dyDescent="0.2">
      <c r="M186" s="54"/>
      <c r="N186" s="54"/>
      <c r="O186" s="104"/>
      <c r="P186" s="104"/>
      <c r="Q186" s="104"/>
      <c r="R186" s="104"/>
      <c r="S186" s="104"/>
      <c r="T186" s="104"/>
      <c r="U186" s="104"/>
      <c r="V186" s="104"/>
      <c r="W186" s="104"/>
      <c r="X186" s="104"/>
      <c r="Y186" s="104"/>
      <c r="Z186" s="104"/>
      <c r="AA186" s="104"/>
      <c r="AB186" s="104"/>
      <c r="AC186" s="104"/>
      <c r="AD186" s="104"/>
      <c r="AE186" s="104"/>
    </row>
    <row r="187" spans="1:31" s="36" customFormat="1" x14ac:dyDescent="0.2">
      <c r="M187" s="54"/>
      <c r="N187" s="54"/>
      <c r="O187" s="104"/>
      <c r="P187" s="104"/>
      <c r="Q187" s="104"/>
      <c r="R187" s="104"/>
      <c r="S187" s="104"/>
      <c r="T187" s="104"/>
      <c r="U187" s="104"/>
      <c r="V187" s="104"/>
      <c r="W187" s="104"/>
      <c r="X187" s="104"/>
      <c r="Y187" s="104"/>
      <c r="Z187" s="104"/>
      <c r="AA187" s="104"/>
      <c r="AB187" s="104"/>
      <c r="AC187" s="104"/>
      <c r="AD187" s="104"/>
      <c r="AE187" s="104"/>
    </row>
    <row r="188" spans="1:31" s="36" customFormat="1" x14ac:dyDescent="0.2">
      <c r="M188" s="54"/>
      <c r="N188" s="54"/>
      <c r="O188" s="104"/>
      <c r="P188" s="104"/>
      <c r="Q188" s="104"/>
      <c r="R188" s="104"/>
      <c r="S188" s="104"/>
      <c r="T188" s="104"/>
      <c r="U188" s="104"/>
      <c r="V188" s="104"/>
      <c r="W188" s="104"/>
      <c r="X188" s="104"/>
      <c r="Y188" s="104"/>
      <c r="Z188" s="104"/>
      <c r="AA188" s="104"/>
      <c r="AB188" s="104"/>
      <c r="AC188" s="104"/>
      <c r="AD188" s="104"/>
      <c r="AE188" s="104"/>
    </row>
    <row r="189" spans="1:31" s="36" customFormat="1" x14ac:dyDescent="0.2">
      <c r="M189" s="54"/>
      <c r="N189" s="54"/>
      <c r="O189" s="104"/>
      <c r="P189" s="104"/>
      <c r="Q189" s="104"/>
      <c r="R189" s="104"/>
      <c r="S189" s="104"/>
      <c r="T189" s="104"/>
      <c r="U189" s="104"/>
      <c r="V189" s="104"/>
      <c r="W189" s="104"/>
      <c r="X189" s="104"/>
      <c r="Y189" s="104"/>
      <c r="Z189" s="104"/>
      <c r="AA189" s="104"/>
      <c r="AB189" s="104"/>
      <c r="AC189" s="104"/>
      <c r="AD189" s="104"/>
      <c r="AE189" s="104"/>
    </row>
  </sheetData>
  <sheetProtection sheet="1" objects="1" scenarios="1" selectLockedCells="1"/>
  <mergeCells count="36">
    <mergeCell ref="C74:J74"/>
    <mergeCell ref="B75:B80"/>
    <mergeCell ref="B31:L31"/>
    <mergeCell ref="A33:A50"/>
    <mergeCell ref="B33:B38"/>
    <mergeCell ref="C38:J38"/>
    <mergeCell ref="B39:B44"/>
    <mergeCell ref="C44:J44"/>
    <mergeCell ref="B45:B50"/>
    <mergeCell ref="C50:J50"/>
    <mergeCell ref="C80:J80"/>
    <mergeCell ref="A81:A98"/>
    <mergeCell ref="B81:B86"/>
    <mergeCell ref="C86:J86"/>
    <mergeCell ref="B87:B92"/>
    <mergeCell ref="C92:J92"/>
    <mergeCell ref="B93:B98"/>
    <mergeCell ref="C98:J98"/>
    <mergeCell ref="A51:A80"/>
    <mergeCell ref="B51:B56"/>
    <mergeCell ref="C56:J56"/>
    <mergeCell ref="B57:B62"/>
    <mergeCell ref="C62:J62"/>
    <mergeCell ref="B63:B68"/>
    <mergeCell ref="C68:J68"/>
    <mergeCell ref="B69:B74"/>
    <mergeCell ref="A123:J123"/>
    <mergeCell ref="A99:A122"/>
    <mergeCell ref="B99:B104"/>
    <mergeCell ref="C104:J104"/>
    <mergeCell ref="B105:B110"/>
    <mergeCell ref="C110:J110"/>
    <mergeCell ref="B111:B116"/>
    <mergeCell ref="C116:J116"/>
    <mergeCell ref="B117:B122"/>
    <mergeCell ref="C122:J122"/>
  </mergeCells>
  <conditionalFormatting sqref="H42:H43">
    <cfRule type="cellIs" dxfId="2159" priority="696" operator="equal">
      <formula>"sehr hoch"</formula>
    </cfRule>
    <cfRule type="cellIs" dxfId="2158" priority="697" operator="equal">
      <formula>"hoch"</formula>
    </cfRule>
    <cfRule type="cellIs" dxfId="2157" priority="698" operator="equal">
      <formula>"mittel"</formula>
    </cfRule>
    <cfRule type="cellIs" dxfId="2156" priority="699" operator="equal">
      <formula>"gering"</formula>
    </cfRule>
    <cfRule type="cellIs" dxfId="2155" priority="700" operator="equal">
      <formula>"sehr gering"</formula>
    </cfRule>
    <cfRule type="cellIs" dxfId="2154" priority="701" operator="equal">
      <formula>"trifft nicht ein"</formula>
    </cfRule>
  </conditionalFormatting>
  <conditionalFormatting sqref="H39:H41">
    <cfRule type="cellIs" dxfId="2153" priority="690" operator="equal">
      <formula>"sehr hoch"</formula>
    </cfRule>
    <cfRule type="cellIs" dxfId="2152" priority="691" operator="equal">
      <formula>"hoch"</formula>
    </cfRule>
    <cfRule type="cellIs" dxfId="2151" priority="692" operator="equal">
      <formula>"mittel"</formula>
    </cfRule>
    <cfRule type="cellIs" dxfId="2150" priority="693" operator="equal">
      <formula>"gering"</formula>
    </cfRule>
    <cfRule type="cellIs" dxfId="2149" priority="694" operator="equal">
      <formula>"sehr gering"</formula>
    </cfRule>
    <cfRule type="cellIs" dxfId="2148" priority="695" operator="equal">
      <formula>"trifft nicht ein"</formula>
    </cfRule>
  </conditionalFormatting>
  <conditionalFormatting sqref="H66:H67">
    <cfRule type="cellIs" dxfId="2147" priority="684" operator="equal">
      <formula>"sehr hoch"</formula>
    </cfRule>
    <cfRule type="cellIs" dxfId="2146" priority="685" operator="equal">
      <formula>"hoch"</formula>
    </cfRule>
    <cfRule type="cellIs" dxfId="2145" priority="686" operator="equal">
      <formula>"mittel"</formula>
    </cfRule>
    <cfRule type="cellIs" dxfId="2144" priority="687" operator="equal">
      <formula>"gering"</formula>
    </cfRule>
    <cfRule type="cellIs" dxfId="2143" priority="688" operator="equal">
      <formula>"sehr gering"</formula>
    </cfRule>
    <cfRule type="cellIs" dxfId="2142" priority="689" operator="equal">
      <formula>"trifft nicht ein"</formula>
    </cfRule>
  </conditionalFormatting>
  <conditionalFormatting sqref="H63:H65">
    <cfRule type="cellIs" dxfId="2141" priority="678" operator="equal">
      <formula>"sehr hoch"</formula>
    </cfRule>
    <cfRule type="cellIs" dxfId="2140" priority="679" operator="equal">
      <formula>"hoch"</formula>
    </cfRule>
    <cfRule type="cellIs" dxfId="2139" priority="680" operator="equal">
      <formula>"mittel"</formula>
    </cfRule>
    <cfRule type="cellIs" dxfId="2138" priority="681" operator="equal">
      <formula>"gering"</formula>
    </cfRule>
    <cfRule type="cellIs" dxfId="2137" priority="682" operator="equal">
      <formula>"sehr gering"</formula>
    </cfRule>
    <cfRule type="cellIs" dxfId="2136" priority="683" operator="equal">
      <formula>"trifft nicht ein"</formula>
    </cfRule>
  </conditionalFormatting>
  <conditionalFormatting sqref="H72:H73">
    <cfRule type="cellIs" dxfId="2135" priority="672" operator="equal">
      <formula>"sehr hoch"</formula>
    </cfRule>
    <cfRule type="cellIs" dxfId="2134" priority="673" operator="equal">
      <formula>"hoch"</formula>
    </cfRule>
    <cfRule type="cellIs" dxfId="2133" priority="674" operator="equal">
      <formula>"mittel"</formula>
    </cfRule>
    <cfRule type="cellIs" dxfId="2132" priority="675" operator="equal">
      <formula>"gering"</formula>
    </cfRule>
    <cfRule type="cellIs" dxfId="2131" priority="676" operator="equal">
      <formula>"sehr gering"</formula>
    </cfRule>
    <cfRule type="cellIs" dxfId="2130" priority="677" operator="equal">
      <formula>"trifft nicht ein"</formula>
    </cfRule>
  </conditionalFormatting>
  <conditionalFormatting sqref="H69:H71">
    <cfRule type="cellIs" dxfId="2129" priority="666" operator="equal">
      <formula>"sehr hoch"</formula>
    </cfRule>
    <cfRule type="cellIs" dxfId="2128" priority="667" operator="equal">
      <formula>"hoch"</formula>
    </cfRule>
    <cfRule type="cellIs" dxfId="2127" priority="668" operator="equal">
      <formula>"mittel"</formula>
    </cfRule>
    <cfRule type="cellIs" dxfId="2126" priority="669" operator="equal">
      <formula>"gering"</formula>
    </cfRule>
    <cfRule type="cellIs" dxfId="2125" priority="670" operator="equal">
      <formula>"sehr gering"</formula>
    </cfRule>
    <cfRule type="cellIs" dxfId="2124" priority="671" operator="equal">
      <formula>"trifft nicht ein"</formula>
    </cfRule>
  </conditionalFormatting>
  <conditionalFormatting sqref="H78:H79">
    <cfRule type="cellIs" dxfId="2123" priority="660" operator="equal">
      <formula>"sehr hoch"</formula>
    </cfRule>
    <cfRule type="cellIs" dxfId="2122" priority="661" operator="equal">
      <formula>"hoch"</formula>
    </cfRule>
    <cfRule type="cellIs" dxfId="2121" priority="662" operator="equal">
      <formula>"mittel"</formula>
    </cfRule>
    <cfRule type="cellIs" dxfId="2120" priority="663" operator="equal">
      <formula>"gering"</formula>
    </cfRule>
    <cfRule type="cellIs" dxfId="2119" priority="664" operator="equal">
      <formula>"sehr gering"</formula>
    </cfRule>
    <cfRule type="cellIs" dxfId="2118" priority="665" operator="equal">
      <formula>"trifft nicht ein"</formula>
    </cfRule>
  </conditionalFormatting>
  <conditionalFormatting sqref="H75:H77">
    <cfRule type="cellIs" dxfId="2117" priority="654" operator="equal">
      <formula>"sehr hoch"</formula>
    </cfRule>
    <cfRule type="cellIs" dxfId="2116" priority="655" operator="equal">
      <formula>"hoch"</formula>
    </cfRule>
    <cfRule type="cellIs" dxfId="2115" priority="656" operator="equal">
      <formula>"mittel"</formula>
    </cfRule>
    <cfRule type="cellIs" dxfId="2114" priority="657" operator="equal">
      <formula>"gering"</formula>
    </cfRule>
    <cfRule type="cellIs" dxfId="2113" priority="658" operator="equal">
      <formula>"sehr gering"</formula>
    </cfRule>
    <cfRule type="cellIs" dxfId="2112" priority="659" operator="equal">
      <formula>"trifft nicht ein"</formula>
    </cfRule>
  </conditionalFormatting>
  <conditionalFormatting sqref="H84:H85">
    <cfRule type="cellIs" dxfId="2111" priority="648" operator="equal">
      <formula>"sehr hoch"</formula>
    </cfRule>
    <cfRule type="cellIs" dxfId="2110" priority="649" operator="equal">
      <formula>"hoch"</formula>
    </cfRule>
    <cfRule type="cellIs" dxfId="2109" priority="650" operator="equal">
      <formula>"mittel"</formula>
    </cfRule>
    <cfRule type="cellIs" dxfId="2108" priority="651" operator="equal">
      <formula>"gering"</formula>
    </cfRule>
    <cfRule type="cellIs" dxfId="2107" priority="652" operator="equal">
      <formula>"sehr gering"</formula>
    </cfRule>
    <cfRule type="cellIs" dxfId="2106" priority="653" operator="equal">
      <formula>"trifft nicht ein"</formula>
    </cfRule>
  </conditionalFormatting>
  <conditionalFormatting sqref="H81:H83">
    <cfRule type="cellIs" dxfId="2105" priority="642" operator="equal">
      <formula>"sehr hoch"</formula>
    </cfRule>
    <cfRule type="cellIs" dxfId="2104" priority="643" operator="equal">
      <formula>"hoch"</formula>
    </cfRule>
    <cfRule type="cellIs" dxfId="2103" priority="644" operator="equal">
      <formula>"mittel"</formula>
    </cfRule>
    <cfRule type="cellIs" dxfId="2102" priority="645" operator="equal">
      <formula>"gering"</formula>
    </cfRule>
    <cfRule type="cellIs" dxfId="2101" priority="646" operator="equal">
      <formula>"sehr gering"</formula>
    </cfRule>
    <cfRule type="cellIs" dxfId="2100" priority="647" operator="equal">
      <formula>"trifft nicht ein"</formula>
    </cfRule>
  </conditionalFormatting>
  <conditionalFormatting sqref="H90:H91">
    <cfRule type="cellIs" dxfId="2099" priority="636" operator="equal">
      <formula>"sehr hoch"</formula>
    </cfRule>
    <cfRule type="cellIs" dxfId="2098" priority="637" operator="equal">
      <formula>"hoch"</formula>
    </cfRule>
    <cfRule type="cellIs" dxfId="2097" priority="638" operator="equal">
      <formula>"mittel"</formula>
    </cfRule>
    <cfRule type="cellIs" dxfId="2096" priority="639" operator="equal">
      <formula>"gering"</formula>
    </cfRule>
    <cfRule type="cellIs" dxfId="2095" priority="640" operator="equal">
      <formula>"sehr gering"</formula>
    </cfRule>
    <cfRule type="cellIs" dxfId="2094" priority="641" operator="equal">
      <formula>"trifft nicht ein"</formula>
    </cfRule>
  </conditionalFormatting>
  <conditionalFormatting sqref="H87:H89">
    <cfRule type="cellIs" dxfId="2093" priority="630" operator="equal">
      <formula>"sehr hoch"</formula>
    </cfRule>
    <cfRule type="cellIs" dxfId="2092" priority="631" operator="equal">
      <formula>"hoch"</formula>
    </cfRule>
    <cfRule type="cellIs" dxfId="2091" priority="632" operator="equal">
      <formula>"mittel"</formula>
    </cfRule>
    <cfRule type="cellIs" dxfId="2090" priority="633" operator="equal">
      <formula>"gering"</formula>
    </cfRule>
    <cfRule type="cellIs" dxfId="2089" priority="634" operator="equal">
      <formula>"sehr gering"</formula>
    </cfRule>
    <cfRule type="cellIs" dxfId="2088" priority="635" operator="equal">
      <formula>"trifft nicht ein"</formula>
    </cfRule>
  </conditionalFormatting>
  <conditionalFormatting sqref="H96:H97">
    <cfRule type="cellIs" dxfId="2087" priority="624" operator="equal">
      <formula>"sehr hoch"</formula>
    </cfRule>
    <cfRule type="cellIs" dxfId="2086" priority="625" operator="equal">
      <formula>"hoch"</formula>
    </cfRule>
    <cfRule type="cellIs" dxfId="2085" priority="626" operator="equal">
      <formula>"mittel"</formula>
    </cfRule>
    <cfRule type="cellIs" dxfId="2084" priority="627" operator="equal">
      <formula>"gering"</formula>
    </cfRule>
    <cfRule type="cellIs" dxfId="2083" priority="628" operator="equal">
      <formula>"sehr gering"</formula>
    </cfRule>
    <cfRule type="cellIs" dxfId="2082" priority="629" operator="equal">
      <formula>"trifft nicht ein"</formula>
    </cfRule>
  </conditionalFormatting>
  <conditionalFormatting sqref="H93:H95">
    <cfRule type="cellIs" dxfId="2081" priority="618" operator="equal">
      <formula>"sehr hoch"</formula>
    </cfRule>
    <cfRule type="cellIs" dxfId="2080" priority="619" operator="equal">
      <formula>"hoch"</formula>
    </cfRule>
    <cfRule type="cellIs" dxfId="2079" priority="620" operator="equal">
      <formula>"mittel"</formula>
    </cfRule>
    <cfRule type="cellIs" dxfId="2078" priority="621" operator="equal">
      <formula>"gering"</formula>
    </cfRule>
    <cfRule type="cellIs" dxfId="2077" priority="622" operator="equal">
      <formula>"sehr gering"</formula>
    </cfRule>
    <cfRule type="cellIs" dxfId="2076" priority="623" operator="equal">
      <formula>"trifft nicht ein"</formula>
    </cfRule>
  </conditionalFormatting>
  <conditionalFormatting sqref="H102:H103">
    <cfRule type="cellIs" dxfId="2075" priority="612" operator="equal">
      <formula>"sehr hoch"</formula>
    </cfRule>
    <cfRule type="cellIs" dxfId="2074" priority="613" operator="equal">
      <formula>"hoch"</formula>
    </cfRule>
    <cfRule type="cellIs" dxfId="2073" priority="614" operator="equal">
      <formula>"mittel"</formula>
    </cfRule>
    <cfRule type="cellIs" dxfId="2072" priority="615" operator="equal">
      <formula>"gering"</formula>
    </cfRule>
    <cfRule type="cellIs" dxfId="2071" priority="616" operator="equal">
      <formula>"sehr gering"</formula>
    </cfRule>
    <cfRule type="cellIs" dxfId="2070" priority="617" operator="equal">
      <formula>"trifft nicht ein"</formula>
    </cfRule>
  </conditionalFormatting>
  <conditionalFormatting sqref="H99:H101">
    <cfRule type="cellIs" dxfId="2069" priority="606" operator="equal">
      <formula>"sehr hoch"</formula>
    </cfRule>
    <cfRule type="cellIs" dxfId="2068" priority="607" operator="equal">
      <formula>"hoch"</formula>
    </cfRule>
    <cfRule type="cellIs" dxfId="2067" priority="608" operator="equal">
      <formula>"mittel"</formula>
    </cfRule>
    <cfRule type="cellIs" dxfId="2066" priority="609" operator="equal">
      <formula>"gering"</formula>
    </cfRule>
    <cfRule type="cellIs" dxfId="2065" priority="610" operator="equal">
      <formula>"sehr gering"</formula>
    </cfRule>
    <cfRule type="cellIs" dxfId="2064" priority="611" operator="equal">
      <formula>"trifft nicht ein"</formula>
    </cfRule>
  </conditionalFormatting>
  <conditionalFormatting sqref="H108:H109">
    <cfRule type="cellIs" dxfId="2063" priority="600" operator="equal">
      <formula>"sehr hoch"</formula>
    </cfRule>
    <cfRule type="cellIs" dxfId="2062" priority="601" operator="equal">
      <formula>"hoch"</formula>
    </cfRule>
    <cfRule type="cellIs" dxfId="2061" priority="602" operator="equal">
      <formula>"mittel"</formula>
    </cfRule>
    <cfRule type="cellIs" dxfId="2060" priority="603" operator="equal">
      <formula>"gering"</formula>
    </cfRule>
    <cfRule type="cellIs" dxfId="2059" priority="604" operator="equal">
      <formula>"sehr gering"</formula>
    </cfRule>
    <cfRule type="cellIs" dxfId="2058" priority="605" operator="equal">
      <formula>"trifft nicht ein"</formula>
    </cfRule>
  </conditionalFormatting>
  <conditionalFormatting sqref="H105:H107">
    <cfRule type="cellIs" dxfId="2057" priority="594" operator="equal">
      <formula>"sehr hoch"</formula>
    </cfRule>
    <cfRule type="cellIs" dxfId="2056" priority="595" operator="equal">
      <formula>"hoch"</formula>
    </cfRule>
    <cfRule type="cellIs" dxfId="2055" priority="596" operator="equal">
      <formula>"mittel"</formula>
    </cfRule>
    <cfRule type="cellIs" dxfId="2054" priority="597" operator="equal">
      <formula>"gering"</formula>
    </cfRule>
    <cfRule type="cellIs" dxfId="2053" priority="598" operator="equal">
      <formula>"sehr gering"</formula>
    </cfRule>
    <cfRule type="cellIs" dxfId="2052" priority="599" operator="equal">
      <formula>"trifft nicht ein"</formula>
    </cfRule>
  </conditionalFormatting>
  <conditionalFormatting sqref="H114:H115">
    <cfRule type="cellIs" dxfId="2051" priority="588" operator="equal">
      <formula>"sehr hoch"</formula>
    </cfRule>
    <cfRule type="cellIs" dxfId="2050" priority="589" operator="equal">
      <formula>"hoch"</formula>
    </cfRule>
    <cfRule type="cellIs" dxfId="2049" priority="590" operator="equal">
      <formula>"mittel"</formula>
    </cfRule>
    <cfRule type="cellIs" dxfId="2048" priority="591" operator="equal">
      <formula>"gering"</formula>
    </cfRule>
    <cfRule type="cellIs" dxfId="2047" priority="592" operator="equal">
      <formula>"sehr gering"</formula>
    </cfRule>
    <cfRule type="cellIs" dxfId="2046" priority="593" operator="equal">
      <formula>"trifft nicht ein"</formula>
    </cfRule>
  </conditionalFormatting>
  <conditionalFormatting sqref="H111:H113">
    <cfRule type="cellIs" dxfId="2045" priority="582" operator="equal">
      <formula>"sehr hoch"</formula>
    </cfRule>
    <cfRule type="cellIs" dxfId="2044" priority="583" operator="equal">
      <formula>"hoch"</formula>
    </cfRule>
    <cfRule type="cellIs" dxfId="2043" priority="584" operator="equal">
      <formula>"mittel"</formula>
    </cfRule>
    <cfRule type="cellIs" dxfId="2042" priority="585" operator="equal">
      <formula>"gering"</formula>
    </cfRule>
    <cfRule type="cellIs" dxfId="2041" priority="586" operator="equal">
      <formula>"sehr gering"</formula>
    </cfRule>
    <cfRule type="cellIs" dxfId="2040" priority="587" operator="equal">
      <formula>"trifft nicht ein"</formula>
    </cfRule>
  </conditionalFormatting>
  <conditionalFormatting sqref="H120:H121">
    <cfRule type="cellIs" dxfId="2039" priority="576" operator="equal">
      <formula>"sehr hoch"</formula>
    </cfRule>
    <cfRule type="cellIs" dxfId="2038" priority="577" operator="equal">
      <formula>"hoch"</formula>
    </cfRule>
    <cfRule type="cellIs" dxfId="2037" priority="578" operator="equal">
      <formula>"mittel"</formula>
    </cfRule>
    <cfRule type="cellIs" dxfId="2036" priority="579" operator="equal">
      <formula>"gering"</formula>
    </cfRule>
    <cfRule type="cellIs" dxfId="2035" priority="580" operator="equal">
      <formula>"sehr gering"</formula>
    </cfRule>
    <cfRule type="cellIs" dxfId="2034" priority="581" operator="equal">
      <formula>"trifft nicht ein"</formula>
    </cfRule>
  </conditionalFormatting>
  <conditionalFormatting sqref="H117:H119">
    <cfRule type="cellIs" dxfId="2033" priority="570" operator="equal">
      <formula>"sehr hoch"</formula>
    </cfRule>
    <cfRule type="cellIs" dxfId="2032" priority="571" operator="equal">
      <formula>"hoch"</formula>
    </cfRule>
    <cfRule type="cellIs" dxfId="2031" priority="572" operator="equal">
      <formula>"mittel"</formula>
    </cfRule>
    <cfRule type="cellIs" dxfId="2030" priority="573" operator="equal">
      <formula>"gering"</formula>
    </cfRule>
    <cfRule type="cellIs" dxfId="2029" priority="574" operator="equal">
      <formula>"sehr gering"</formula>
    </cfRule>
    <cfRule type="cellIs" dxfId="2028" priority="575" operator="equal">
      <formula>"trifft nicht ein"</formula>
    </cfRule>
  </conditionalFormatting>
  <conditionalFormatting sqref="I42:I43">
    <cfRule type="cellIs" dxfId="2027" priority="564" operator="equal">
      <formula>"führt zum Abbruch"</formula>
    </cfRule>
    <cfRule type="cellIs" dxfId="2026" priority="565" operator="equal">
      <formula>"sehr hoch"</formula>
    </cfRule>
    <cfRule type="cellIs" dxfId="2025" priority="566" operator="equal">
      <formula>"hoch"</formula>
    </cfRule>
    <cfRule type="cellIs" dxfId="2024" priority="567" operator="equal">
      <formula>"mittel"</formula>
    </cfRule>
    <cfRule type="cellIs" dxfId="2023" priority="568" operator="equal">
      <formula>"gering"</formula>
    </cfRule>
    <cfRule type="cellIs" dxfId="2022" priority="569" operator="equal">
      <formula>"sehr gering"</formula>
    </cfRule>
  </conditionalFormatting>
  <conditionalFormatting sqref="I39:I41">
    <cfRule type="cellIs" dxfId="2021" priority="557" operator="equal">
      <formula>"führt zum Abbruch"</formula>
    </cfRule>
    <cfRule type="cellIs" dxfId="2020" priority="558" operator="equal">
      <formula>"sehr hoch"</formula>
    </cfRule>
    <cfRule type="cellIs" dxfId="2019" priority="559" operator="equal">
      <formula>"hoch"</formula>
    </cfRule>
    <cfRule type="cellIs" dxfId="2018" priority="560" operator="equal">
      <formula>"mittel"</formula>
    </cfRule>
    <cfRule type="cellIs" dxfId="2017" priority="561" operator="equal">
      <formula>"gering"</formula>
    </cfRule>
    <cfRule type="cellIs" dxfId="2016" priority="562" operator="equal">
      <formula>"sehr gering"</formula>
    </cfRule>
  </conditionalFormatting>
  <conditionalFormatting sqref="I66:I67">
    <cfRule type="cellIs" dxfId="2015" priority="550" operator="equal">
      <formula>"führt zum Abbruch"</formula>
    </cfRule>
    <cfRule type="cellIs" dxfId="2014" priority="551" operator="equal">
      <formula>"sehr hoch"</formula>
    </cfRule>
    <cfRule type="cellIs" dxfId="2013" priority="552" operator="equal">
      <formula>"hoch"</formula>
    </cfRule>
    <cfRule type="cellIs" dxfId="2012" priority="553" operator="equal">
      <formula>"mittel"</formula>
    </cfRule>
    <cfRule type="cellIs" dxfId="2011" priority="554" operator="equal">
      <formula>"gering"</formula>
    </cfRule>
    <cfRule type="cellIs" dxfId="2010" priority="555" operator="equal">
      <formula>"sehr gering"</formula>
    </cfRule>
  </conditionalFormatting>
  <conditionalFormatting sqref="I63:I65">
    <cfRule type="cellIs" dxfId="2009" priority="543" operator="equal">
      <formula>"führt zum Abbruch"</formula>
    </cfRule>
    <cfRule type="cellIs" dxfId="2008" priority="544" operator="equal">
      <formula>"sehr hoch"</formula>
    </cfRule>
    <cfRule type="cellIs" dxfId="2007" priority="545" operator="equal">
      <formula>"hoch"</formula>
    </cfRule>
    <cfRule type="cellIs" dxfId="2006" priority="546" operator="equal">
      <formula>"mittel"</formula>
    </cfRule>
    <cfRule type="cellIs" dxfId="2005" priority="547" operator="equal">
      <formula>"gering"</formula>
    </cfRule>
    <cfRule type="cellIs" dxfId="2004" priority="548" operator="equal">
      <formula>"sehr gering"</formula>
    </cfRule>
  </conditionalFormatting>
  <conditionalFormatting sqref="I72:I73">
    <cfRule type="cellIs" dxfId="2003" priority="536" operator="equal">
      <formula>"führt zum Abbruch"</formula>
    </cfRule>
    <cfRule type="cellIs" dxfId="2002" priority="537" operator="equal">
      <formula>"sehr hoch"</formula>
    </cfRule>
    <cfRule type="cellIs" dxfId="2001" priority="538" operator="equal">
      <formula>"hoch"</formula>
    </cfRule>
    <cfRule type="cellIs" dxfId="2000" priority="539" operator="equal">
      <formula>"mittel"</formula>
    </cfRule>
    <cfRule type="cellIs" dxfId="1999" priority="540" operator="equal">
      <formula>"gering"</formula>
    </cfRule>
    <cfRule type="cellIs" dxfId="1998" priority="541" operator="equal">
      <formula>"sehr gering"</formula>
    </cfRule>
  </conditionalFormatting>
  <conditionalFormatting sqref="I69:I71">
    <cfRule type="cellIs" dxfId="1997" priority="529" operator="equal">
      <formula>"führt zum Abbruch"</formula>
    </cfRule>
    <cfRule type="cellIs" dxfId="1996" priority="530" operator="equal">
      <formula>"sehr hoch"</formula>
    </cfRule>
    <cfRule type="cellIs" dxfId="1995" priority="531" operator="equal">
      <formula>"hoch"</formula>
    </cfRule>
    <cfRule type="cellIs" dxfId="1994" priority="532" operator="equal">
      <formula>"mittel"</formula>
    </cfRule>
    <cfRule type="cellIs" dxfId="1993" priority="533" operator="equal">
      <formula>"gering"</formula>
    </cfRule>
    <cfRule type="cellIs" dxfId="1992" priority="534" operator="equal">
      <formula>"sehr gering"</formula>
    </cfRule>
  </conditionalFormatting>
  <conditionalFormatting sqref="I78:I79">
    <cfRule type="cellIs" dxfId="1991" priority="522" operator="equal">
      <formula>"führt zum Abbruch"</formula>
    </cfRule>
    <cfRule type="cellIs" dxfId="1990" priority="523" operator="equal">
      <formula>"sehr hoch"</formula>
    </cfRule>
    <cfRule type="cellIs" dxfId="1989" priority="524" operator="equal">
      <formula>"hoch"</formula>
    </cfRule>
    <cfRule type="cellIs" dxfId="1988" priority="525" operator="equal">
      <formula>"mittel"</formula>
    </cfRule>
    <cfRule type="cellIs" dxfId="1987" priority="526" operator="equal">
      <formula>"gering"</formula>
    </cfRule>
    <cfRule type="cellIs" dxfId="1986" priority="527" operator="equal">
      <formula>"sehr gering"</formula>
    </cfRule>
  </conditionalFormatting>
  <conditionalFormatting sqref="I75:I77">
    <cfRule type="cellIs" dxfId="1985" priority="515" operator="equal">
      <formula>"führt zum Abbruch"</formula>
    </cfRule>
    <cfRule type="cellIs" dxfId="1984" priority="516" operator="equal">
      <formula>"sehr hoch"</formula>
    </cfRule>
    <cfRule type="cellIs" dxfId="1983" priority="517" operator="equal">
      <formula>"hoch"</formula>
    </cfRule>
    <cfRule type="cellIs" dxfId="1982" priority="518" operator="equal">
      <formula>"mittel"</formula>
    </cfRule>
    <cfRule type="cellIs" dxfId="1981" priority="519" operator="equal">
      <formula>"gering"</formula>
    </cfRule>
    <cfRule type="cellIs" dxfId="1980" priority="520" operator="equal">
      <formula>"sehr gering"</formula>
    </cfRule>
  </conditionalFormatting>
  <conditionalFormatting sqref="I84:I85">
    <cfRule type="cellIs" dxfId="1979" priority="508" operator="equal">
      <formula>"führt zum Abbruch"</formula>
    </cfRule>
    <cfRule type="cellIs" dxfId="1978" priority="509" operator="equal">
      <formula>"sehr hoch"</formula>
    </cfRule>
    <cfRule type="cellIs" dxfId="1977" priority="510" operator="equal">
      <formula>"hoch"</formula>
    </cfRule>
    <cfRule type="cellIs" dxfId="1976" priority="511" operator="equal">
      <formula>"mittel"</formula>
    </cfRule>
    <cfRule type="cellIs" dxfId="1975" priority="512" operator="equal">
      <formula>"gering"</formula>
    </cfRule>
    <cfRule type="cellIs" dxfId="1974" priority="513" operator="equal">
      <formula>"sehr gering"</formula>
    </cfRule>
  </conditionalFormatting>
  <conditionalFormatting sqref="I81:I83">
    <cfRule type="cellIs" dxfId="1973" priority="501" operator="equal">
      <formula>"führt zum Abbruch"</formula>
    </cfRule>
    <cfRule type="cellIs" dxfId="1972" priority="502" operator="equal">
      <formula>"sehr hoch"</formula>
    </cfRule>
    <cfRule type="cellIs" dxfId="1971" priority="503" operator="equal">
      <formula>"hoch"</formula>
    </cfRule>
    <cfRule type="cellIs" dxfId="1970" priority="504" operator="equal">
      <formula>"mittel"</formula>
    </cfRule>
    <cfRule type="cellIs" dxfId="1969" priority="505" operator="equal">
      <formula>"gering"</formula>
    </cfRule>
    <cfRule type="cellIs" dxfId="1968" priority="506" operator="equal">
      <formula>"sehr gering"</formula>
    </cfRule>
  </conditionalFormatting>
  <conditionalFormatting sqref="I90:I91">
    <cfRule type="cellIs" dxfId="1967" priority="494" operator="equal">
      <formula>"führt zum Abbruch"</formula>
    </cfRule>
    <cfRule type="cellIs" dxfId="1966" priority="495" operator="equal">
      <formula>"sehr hoch"</formula>
    </cfRule>
    <cfRule type="cellIs" dxfId="1965" priority="496" operator="equal">
      <formula>"hoch"</formula>
    </cfRule>
    <cfRule type="cellIs" dxfId="1964" priority="497" operator="equal">
      <formula>"mittel"</formula>
    </cfRule>
    <cfRule type="cellIs" dxfId="1963" priority="498" operator="equal">
      <formula>"gering"</formula>
    </cfRule>
    <cfRule type="cellIs" dxfId="1962" priority="499" operator="equal">
      <formula>"sehr gering"</formula>
    </cfRule>
  </conditionalFormatting>
  <conditionalFormatting sqref="I87:I89">
    <cfRule type="cellIs" dxfId="1961" priority="487" operator="equal">
      <formula>"führt zum Abbruch"</formula>
    </cfRule>
    <cfRule type="cellIs" dxfId="1960" priority="488" operator="equal">
      <formula>"sehr hoch"</formula>
    </cfRule>
    <cfRule type="cellIs" dxfId="1959" priority="489" operator="equal">
      <formula>"hoch"</formula>
    </cfRule>
    <cfRule type="cellIs" dxfId="1958" priority="490" operator="equal">
      <formula>"mittel"</formula>
    </cfRule>
    <cfRule type="cellIs" dxfId="1957" priority="491" operator="equal">
      <formula>"gering"</formula>
    </cfRule>
    <cfRule type="cellIs" dxfId="1956" priority="492" operator="equal">
      <formula>"sehr gering"</formula>
    </cfRule>
  </conditionalFormatting>
  <conditionalFormatting sqref="I96:I97">
    <cfRule type="cellIs" dxfId="1955" priority="480" operator="equal">
      <formula>"führt zum Abbruch"</formula>
    </cfRule>
    <cfRule type="cellIs" dxfId="1954" priority="481" operator="equal">
      <formula>"sehr hoch"</formula>
    </cfRule>
    <cfRule type="cellIs" dxfId="1953" priority="482" operator="equal">
      <formula>"hoch"</formula>
    </cfRule>
    <cfRule type="cellIs" dxfId="1952" priority="483" operator="equal">
      <formula>"mittel"</formula>
    </cfRule>
    <cfRule type="cellIs" dxfId="1951" priority="484" operator="equal">
      <formula>"gering"</formula>
    </cfRule>
    <cfRule type="cellIs" dxfId="1950" priority="485" operator="equal">
      <formula>"sehr gering"</formula>
    </cfRule>
  </conditionalFormatting>
  <conditionalFormatting sqref="I93:I95">
    <cfRule type="cellIs" dxfId="1949" priority="473" operator="equal">
      <formula>"führt zum Abbruch"</formula>
    </cfRule>
    <cfRule type="cellIs" dxfId="1948" priority="474" operator="equal">
      <formula>"sehr hoch"</formula>
    </cfRule>
    <cfRule type="cellIs" dxfId="1947" priority="475" operator="equal">
      <formula>"hoch"</formula>
    </cfRule>
    <cfRule type="cellIs" dxfId="1946" priority="476" operator="equal">
      <formula>"mittel"</formula>
    </cfRule>
    <cfRule type="cellIs" dxfId="1945" priority="477" operator="equal">
      <formula>"gering"</formula>
    </cfRule>
    <cfRule type="cellIs" dxfId="1944" priority="478" operator="equal">
      <formula>"sehr gering"</formula>
    </cfRule>
  </conditionalFormatting>
  <conditionalFormatting sqref="I102:I103">
    <cfRule type="cellIs" dxfId="1943" priority="466" operator="equal">
      <formula>"führt zum Abbruch"</formula>
    </cfRule>
    <cfRule type="cellIs" dxfId="1942" priority="467" operator="equal">
      <formula>"sehr hoch"</formula>
    </cfRule>
    <cfRule type="cellIs" dxfId="1941" priority="468" operator="equal">
      <formula>"hoch"</formula>
    </cfRule>
    <cfRule type="cellIs" dxfId="1940" priority="469" operator="equal">
      <formula>"mittel"</formula>
    </cfRule>
    <cfRule type="cellIs" dxfId="1939" priority="470" operator="equal">
      <formula>"gering"</formula>
    </cfRule>
    <cfRule type="cellIs" dxfId="1938" priority="471" operator="equal">
      <formula>"sehr gering"</formula>
    </cfRule>
  </conditionalFormatting>
  <conditionalFormatting sqref="I99:I101">
    <cfRule type="cellIs" dxfId="1937" priority="459" operator="equal">
      <formula>"führt zum Abbruch"</formula>
    </cfRule>
    <cfRule type="cellIs" dxfId="1936" priority="460" operator="equal">
      <formula>"sehr hoch"</formula>
    </cfRule>
    <cfRule type="cellIs" dxfId="1935" priority="461" operator="equal">
      <formula>"hoch"</formula>
    </cfRule>
    <cfRule type="cellIs" dxfId="1934" priority="462" operator="equal">
      <formula>"mittel"</formula>
    </cfRule>
    <cfRule type="cellIs" dxfId="1933" priority="463" operator="equal">
      <formula>"gering"</formula>
    </cfRule>
    <cfRule type="cellIs" dxfId="1932" priority="464" operator="equal">
      <formula>"sehr gering"</formula>
    </cfRule>
  </conditionalFormatting>
  <conditionalFormatting sqref="I108:I109">
    <cfRule type="cellIs" dxfId="1931" priority="452" operator="equal">
      <formula>"führt zum Abbruch"</formula>
    </cfRule>
    <cfRule type="cellIs" dxfId="1930" priority="453" operator="equal">
      <formula>"sehr hoch"</formula>
    </cfRule>
    <cfRule type="cellIs" dxfId="1929" priority="454" operator="equal">
      <formula>"hoch"</formula>
    </cfRule>
    <cfRule type="cellIs" dxfId="1928" priority="455" operator="equal">
      <formula>"mittel"</formula>
    </cfRule>
    <cfRule type="cellIs" dxfId="1927" priority="456" operator="equal">
      <formula>"gering"</formula>
    </cfRule>
    <cfRule type="cellIs" dxfId="1926" priority="457" operator="equal">
      <formula>"sehr gering"</formula>
    </cfRule>
  </conditionalFormatting>
  <conditionalFormatting sqref="I105:I107">
    <cfRule type="cellIs" dxfId="1925" priority="445" operator="equal">
      <formula>"führt zum Abbruch"</formula>
    </cfRule>
    <cfRule type="cellIs" dxfId="1924" priority="446" operator="equal">
      <formula>"sehr hoch"</formula>
    </cfRule>
    <cfRule type="cellIs" dxfId="1923" priority="447" operator="equal">
      <formula>"hoch"</formula>
    </cfRule>
    <cfRule type="cellIs" dxfId="1922" priority="448" operator="equal">
      <formula>"mittel"</formula>
    </cfRule>
    <cfRule type="cellIs" dxfId="1921" priority="449" operator="equal">
      <formula>"gering"</formula>
    </cfRule>
    <cfRule type="cellIs" dxfId="1920" priority="450" operator="equal">
      <formula>"sehr gering"</formula>
    </cfRule>
  </conditionalFormatting>
  <conditionalFormatting sqref="I114:I115">
    <cfRule type="cellIs" dxfId="1919" priority="438" operator="equal">
      <formula>"führt zum Abbruch"</formula>
    </cfRule>
    <cfRule type="cellIs" dxfId="1918" priority="439" operator="equal">
      <formula>"sehr hoch"</formula>
    </cfRule>
    <cfRule type="cellIs" dxfId="1917" priority="440" operator="equal">
      <formula>"hoch"</formula>
    </cfRule>
    <cfRule type="cellIs" dxfId="1916" priority="441" operator="equal">
      <formula>"mittel"</formula>
    </cfRule>
    <cfRule type="cellIs" dxfId="1915" priority="442" operator="equal">
      <formula>"gering"</formula>
    </cfRule>
    <cfRule type="cellIs" dxfId="1914" priority="443" operator="equal">
      <formula>"sehr gering"</formula>
    </cfRule>
  </conditionalFormatting>
  <conditionalFormatting sqref="I111:I113">
    <cfRule type="cellIs" dxfId="1913" priority="431" operator="equal">
      <formula>"führt zum Abbruch"</formula>
    </cfRule>
    <cfRule type="cellIs" dxfId="1912" priority="432" operator="equal">
      <formula>"sehr hoch"</formula>
    </cfRule>
    <cfRule type="cellIs" dxfId="1911" priority="433" operator="equal">
      <formula>"hoch"</formula>
    </cfRule>
    <cfRule type="cellIs" dxfId="1910" priority="434" operator="equal">
      <formula>"mittel"</formula>
    </cfRule>
    <cfRule type="cellIs" dxfId="1909" priority="435" operator="equal">
      <formula>"gering"</formula>
    </cfRule>
    <cfRule type="cellIs" dxfId="1908" priority="436" operator="equal">
      <formula>"sehr gering"</formula>
    </cfRule>
  </conditionalFormatting>
  <conditionalFormatting sqref="I120:I121">
    <cfRule type="cellIs" dxfId="1907" priority="424" operator="equal">
      <formula>"führt zum Abbruch"</formula>
    </cfRule>
    <cfRule type="cellIs" dxfId="1906" priority="425" operator="equal">
      <formula>"sehr hoch"</formula>
    </cfRule>
    <cfRule type="cellIs" dxfId="1905" priority="426" operator="equal">
      <formula>"hoch"</formula>
    </cfRule>
    <cfRule type="cellIs" dxfId="1904" priority="427" operator="equal">
      <formula>"mittel"</formula>
    </cfRule>
    <cfRule type="cellIs" dxfId="1903" priority="428" operator="equal">
      <formula>"gering"</formula>
    </cfRule>
    <cfRule type="cellIs" dxfId="1902" priority="429" operator="equal">
      <formula>"sehr gering"</formula>
    </cfRule>
  </conditionalFormatting>
  <conditionalFormatting sqref="I117:I119">
    <cfRule type="cellIs" dxfId="1901" priority="417" operator="equal">
      <formula>"führt zum Abbruch"</formula>
    </cfRule>
    <cfRule type="cellIs" dxfId="1900" priority="418" operator="equal">
      <formula>"sehr hoch"</formula>
    </cfRule>
    <cfRule type="cellIs" dxfId="1899" priority="419" operator="equal">
      <formula>"hoch"</formula>
    </cfRule>
    <cfRule type="cellIs" dxfId="1898" priority="420" operator="equal">
      <formula>"mittel"</formula>
    </cfRule>
    <cfRule type="cellIs" dxfId="1897" priority="421" operator="equal">
      <formula>"gering"</formula>
    </cfRule>
    <cfRule type="cellIs" dxfId="1896" priority="422" operator="equal">
      <formula>"sehr gering"</formula>
    </cfRule>
  </conditionalFormatting>
  <conditionalFormatting sqref="G42:G43">
    <cfRule type="cellIs" dxfId="1895" priority="410" operator="equal">
      <formula>"führt zum Abbruch"</formula>
    </cfRule>
    <cfRule type="cellIs" dxfId="1894" priority="411" operator="equal">
      <formula>"sehr hoch"</formula>
    </cfRule>
    <cfRule type="cellIs" dxfId="1893" priority="412" operator="equal">
      <formula>"hoch"</formula>
    </cfRule>
    <cfRule type="cellIs" dxfId="1892" priority="413" operator="equal">
      <formula>"mittel"</formula>
    </cfRule>
    <cfRule type="cellIs" dxfId="1891" priority="414" operator="equal">
      <formula>"gering"</formula>
    </cfRule>
    <cfRule type="cellIs" dxfId="1890" priority="415" operator="equal">
      <formula>"sehr gering"</formula>
    </cfRule>
  </conditionalFormatting>
  <conditionalFormatting sqref="G39:G41">
    <cfRule type="cellIs" dxfId="1889" priority="403" operator="equal">
      <formula>"führt zum Abbruch"</formula>
    </cfRule>
    <cfRule type="cellIs" dxfId="1888" priority="404" operator="equal">
      <formula>"sehr hoch"</formula>
    </cfRule>
    <cfRule type="cellIs" dxfId="1887" priority="405" operator="equal">
      <formula>"hoch"</formula>
    </cfRule>
    <cfRule type="cellIs" dxfId="1886" priority="406" operator="equal">
      <formula>"mittel"</formula>
    </cfRule>
    <cfRule type="cellIs" dxfId="1885" priority="407" operator="equal">
      <formula>"gering"</formula>
    </cfRule>
    <cfRule type="cellIs" dxfId="1884" priority="408" operator="equal">
      <formula>"sehr gering"</formula>
    </cfRule>
  </conditionalFormatting>
  <conditionalFormatting sqref="G66:G67">
    <cfRule type="cellIs" dxfId="1883" priority="396" operator="equal">
      <formula>"führt zum Abbruch"</formula>
    </cfRule>
    <cfRule type="cellIs" dxfId="1882" priority="397" operator="equal">
      <formula>"sehr hoch"</formula>
    </cfRule>
    <cfRule type="cellIs" dxfId="1881" priority="398" operator="equal">
      <formula>"hoch"</formula>
    </cfRule>
    <cfRule type="cellIs" dxfId="1880" priority="399" operator="equal">
      <formula>"mittel"</formula>
    </cfRule>
    <cfRule type="cellIs" dxfId="1879" priority="400" operator="equal">
      <formula>"gering"</formula>
    </cfRule>
    <cfRule type="cellIs" dxfId="1878" priority="401" operator="equal">
      <formula>"sehr gering"</formula>
    </cfRule>
  </conditionalFormatting>
  <conditionalFormatting sqref="G63:G65">
    <cfRule type="cellIs" dxfId="1877" priority="389" operator="equal">
      <formula>"führt zum Abbruch"</formula>
    </cfRule>
    <cfRule type="cellIs" dxfId="1876" priority="390" operator="equal">
      <formula>"sehr hoch"</formula>
    </cfRule>
    <cfRule type="cellIs" dxfId="1875" priority="391" operator="equal">
      <formula>"hoch"</formula>
    </cfRule>
    <cfRule type="cellIs" dxfId="1874" priority="392" operator="equal">
      <formula>"mittel"</formula>
    </cfRule>
    <cfRule type="cellIs" dxfId="1873" priority="393" operator="equal">
      <formula>"gering"</formula>
    </cfRule>
    <cfRule type="cellIs" dxfId="1872" priority="394" operator="equal">
      <formula>"sehr gering"</formula>
    </cfRule>
  </conditionalFormatting>
  <conditionalFormatting sqref="G72:G73">
    <cfRule type="cellIs" dxfId="1871" priority="382" operator="equal">
      <formula>"führt zum Abbruch"</formula>
    </cfRule>
    <cfRule type="cellIs" dxfId="1870" priority="383" operator="equal">
      <formula>"sehr hoch"</formula>
    </cfRule>
    <cfRule type="cellIs" dxfId="1869" priority="384" operator="equal">
      <formula>"hoch"</formula>
    </cfRule>
    <cfRule type="cellIs" dxfId="1868" priority="385" operator="equal">
      <formula>"mittel"</formula>
    </cfRule>
    <cfRule type="cellIs" dxfId="1867" priority="386" operator="equal">
      <formula>"gering"</formula>
    </cfRule>
    <cfRule type="cellIs" dxfId="1866" priority="387" operator="equal">
      <formula>"sehr gering"</formula>
    </cfRule>
  </conditionalFormatting>
  <conditionalFormatting sqref="G69:G71">
    <cfRule type="cellIs" dxfId="1865" priority="375" operator="equal">
      <formula>"führt zum Abbruch"</formula>
    </cfRule>
    <cfRule type="cellIs" dxfId="1864" priority="376" operator="equal">
      <formula>"sehr hoch"</formula>
    </cfRule>
    <cfRule type="cellIs" dxfId="1863" priority="377" operator="equal">
      <formula>"hoch"</formula>
    </cfRule>
    <cfRule type="cellIs" dxfId="1862" priority="378" operator="equal">
      <formula>"mittel"</formula>
    </cfRule>
    <cfRule type="cellIs" dxfId="1861" priority="379" operator="equal">
      <formula>"gering"</formula>
    </cfRule>
    <cfRule type="cellIs" dxfId="1860" priority="380" operator="equal">
      <formula>"sehr gering"</formula>
    </cfRule>
  </conditionalFormatting>
  <conditionalFormatting sqref="G78:G79">
    <cfRule type="cellIs" dxfId="1859" priority="368" operator="equal">
      <formula>"führt zum Abbruch"</formula>
    </cfRule>
    <cfRule type="cellIs" dxfId="1858" priority="369" operator="equal">
      <formula>"sehr hoch"</formula>
    </cfRule>
    <cfRule type="cellIs" dxfId="1857" priority="370" operator="equal">
      <formula>"hoch"</formula>
    </cfRule>
    <cfRule type="cellIs" dxfId="1856" priority="371" operator="equal">
      <formula>"mittel"</formula>
    </cfRule>
    <cfRule type="cellIs" dxfId="1855" priority="372" operator="equal">
      <formula>"gering"</formula>
    </cfRule>
    <cfRule type="cellIs" dxfId="1854" priority="373" operator="equal">
      <formula>"sehr gering"</formula>
    </cfRule>
  </conditionalFormatting>
  <conditionalFormatting sqref="G75:G77">
    <cfRule type="cellIs" dxfId="1853" priority="361" operator="equal">
      <formula>"führt zum Abbruch"</formula>
    </cfRule>
    <cfRule type="cellIs" dxfId="1852" priority="362" operator="equal">
      <formula>"sehr hoch"</formula>
    </cfRule>
    <cfRule type="cellIs" dxfId="1851" priority="363" operator="equal">
      <formula>"hoch"</formula>
    </cfRule>
    <cfRule type="cellIs" dxfId="1850" priority="364" operator="equal">
      <formula>"mittel"</formula>
    </cfRule>
    <cfRule type="cellIs" dxfId="1849" priority="365" operator="equal">
      <formula>"gering"</formula>
    </cfRule>
    <cfRule type="cellIs" dxfId="1848" priority="366" operator="equal">
      <formula>"sehr gering"</formula>
    </cfRule>
  </conditionalFormatting>
  <conditionalFormatting sqref="G84:G85">
    <cfRule type="cellIs" dxfId="1847" priority="354" operator="equal">
      <formula>"führt zum Abbruch"</formula>
    </cfRule>
    <cfRule type="cellIs" dxfId="1846" priority="355" operator="equal">
      <formula>"sehr hoch"</formula>
    </cfRule>
    <cfRule type="cellIs" dxfId="1845" priority="356" operator="equal">
      <formula>"hoch"</formula>
    </cfRule>
    <cfRule type="cellIs" dxfId="1844" priority="357" operator="equal">
      <formula>"mittel"</formula>
    </cfRule>
    <cfRule type="cellIs" dxfId="1843" priority="358" operator="equal">
      <formula>"gering"</formula>
    </cfRule>
    <cfRule type="cellIs" dxfId="1842" priority="359" operator="equal">
      <formula>"sehr gering"</formula>
    </cfRule>
  </conditionalFormatting>
  <conditionalFormatting sqref="G81:G83">
    <cfRule type="cellIs" dxfId="1841" priority="347" operator="equal">
      <formula>"führt zum Abbruch"</formula>
    </cfRule>
    <cfRule type="cellIs" dxfId="1840" priority="348" operator="equal">
      <formula>"sehr hoch"</formula>
    </cfRule>
    <cfRule type="cellIs" dxfId="1839" priority="349" operator="equal">
      <formula>"hoch"</formula>
    </cfRule>
    <cfRule type="cellIs" dxfId="1838" priority="350" operator="equal">
      <formula>"mittel"</formula>
    </cfRule>
    <cfRule type="cellIs" dxfId="1837" priority="351" operator="equal">
      <formula>"gering"</formula>
    </cfRule>
    <cfRule type="cellIs" dxfId="1836" priority="352" operator="equal">
      <formula>"sehr gering"</formula>
    </cfRule>
  </conditionalFormatting>
  <conditionalFormatting sqref="G90:G91">
    <cfRule type="cellIs" dxfId="1835" priority="340" operator="equal">
      <formula>"führt zum Abbruch"</formula>
    </cfRule>
    <cfRule type="cellIs" dxfId="1834" priority="341" operator="equal">
      <formula>"sehr hoch"</formula>
    </cfRule>
    <cfRule type="cellIs" dxfId="1833" priority="342" operator="equal">
      <formula>"hoch"</formula>
    </cfRule>
    <cfRule type="cellIs" dxfId="1832" priority="343" operator="equal">
      <formula>"mittel"</formula>
    </cfRule>
    <cfRule type="cellIs" dxfId="1831" priority="344" operator="equal">
      <formula>"gering"</formula>
    </cfRule>
    <cfRule type="cellIs" dxfId="1830" priority="345" operator="equal">
      <formula>"sehr gering"</formula>
    </cfRule>
  </conditionalFormatting>
  <conditionalFormatting sqref="G87:G89">
    <cfRule type="cellIs" dxfId="1829" priority="333" operator="equal">
      <formula>"führt zum Abbruch"</formula>
    </cfRule>
    <cfRule type="cellIs" dxfId="1828" priority="334" operator="equal">
      <formula>"sehr hoch"</formula>
    </cfRule>
    <cfRule type="cellIs" dxfId="1827" priority="335" operator="equal">
      <formula>"hoch"</formula>
    </cfRule>
    <cfRule type="cellIs" dxfId="1826" priority="336" operator="equal">
      <formula>"mittel"</formula>
    </cfRule>
    <cfRule type="cellIs" dxfId="1825" priority="337" operator="equal">
      <formula>"gering"</formula>
    </cfRule>
    <cfRule type="cellIs" dxfId="1824" priority="338" operator="equal">
      <formula>"sehr gering"</formula>
    </cfRule>
  </conditionalFormatting>
  <conditionalFormatting sqref="G96:G97">
    <cfRule type="cellIs" dxfId="1823" priority="326" operator="equal">
      <formula>"führt zum Abbruch"</formula>
    </cfRule>
    <cfRule type="cellIs" dxfId="1822" priority="327" operator="equal">
      <formula>"sehr hoch"</formula>
    </cfRule>
    <cfRule type="cellIs" dxfId="1821" priority="328" operator="equal">
      <formula>"hoch"</formula>
    </cfRule>
    <cfRule type="cellIs" dxfId="1820" priority="329" operator="equal">
      <formula>"mittel"</formula>
    </cfRule>
    <cfRule type="cellIs" dxfId="1819" priority="330" operator="equal">
      <formula>"gering"</formula>
    </cfRule>
    <cfRule type="cellIs" dxfId="1818" priority="331" operator="equal">
      <formula>"sehr gering"</formula>
    </cfRule>
  </conditionalFormatting>
  <conditionalFormatting sqref="G93:G95">
    <cfRule type="cellIs" dxfId="1817" priority="319" operator="equal">
      <formula>"führt zum Abbruch"</formula>
    </cfRule>
    <cfRule type="cellIs" dxfId="1816" priority="320" operator="equal">
      <formula>"sehr hoch"</formula>
    </cfRule>
    <cfRule type="cellIs" dxfId="1815" priority="321" operator="equal">
      <formula>"hoch"</formula>
    </cfRule>
    <cfRule type="cellIs" dxfId="1814" priority="322" operator="equal">
      <formula>"mittel"</formula>
    </cfRule>
    <cfRule type="cellIs" dxfId="1813" priority="323" operator="equal">
      <formula>"gering"</formula>
    </cfRule>
    <cfRule type="cellIs" dxfId="1812" priority="324" operator="equal">
      <formula>"sehr gering"</formula>
    </cfRule>
  </conditionalFormatting>
  <conditionalFormatting sqref="G102:G103">
    <cfRule type="cellIs" dxfId="1811" priority="312" operator="equal">
      <formula>"führt zum Abbruch"</formula>
    </cfRule>
    <cfRule type="cellIs" dxfId="1810" priority="313" operator="equal">
      <formula>"sehr hoch"</formula>
    </cfRule>
    <cfRule type="cellIs" dxfId="1809" priority="314" operator="equal">
      <formula>"hoch"</formula>
    </cfRule>
    <cfRule type="cellIs" dxfId="1808" priority="315" operator="equal">
      <formula>"mittel"</formula>
    </cfRule>
    <cfRule type="cellIs" dxfId="1807" priority="316" operator="equal">
      <formula>"gering"</formula>
    </cfRule>
    <cfRule type="cellIs" dxfId="1806" priority="317" operator="equal">
      <formula>"sehr gering"</formula>
    </cfRule>
  </conditionalFormatting>
  <conditionalFormatting sqref="G99:G101">
    <cfRule type="cellIs" dxfId="1805" priority="305" operator="equal">
      <formula>"führt zum Abbruch"</formula>
    </cfRule>
    <cfRule type="cellIs" dxfId="1804" priority="306" operator="equal">
      <formula>"sehr hoch"</formula>
    </cfRule>
    <cfRule type="cellIs" dxfId="1803" priority="307" operator="equal">
      <formula>"hoch"</formula>
    </cfRule>
    <cfRule type="cellIs" dxfId="1802" priority="308" operator="equal">
      <formula>"mittel"</formula>
    </cfRule>
    <cfRule type="cellIs" dxfId="1801" priority="309" operator="equal">
      <formula>"gering"</formula>
    </cfRule>
    <cfRule type="cellIs" dxfId="1800" priority="310" operator="equal">
      <formula>"sehr gering"</formula>
    </cfRule>
  </conditionalFormatting>
  <conditionalFormatting sqref="G108:G109">
    <cfRule type="cellIs" dxfId="1799" priority="298" operator="equal">
      <formula>"führt zum Abbruch"</formula>
    </cfRule>
    <cfRule type="cellIs" dxfId="1798" priority="299" operator="equal">
      <formula>"sehr hoch"</formula>
    </cfRule>
    <cfRule type="cellIs" dxfId="1797" priority="300" operator="equal">
      <formula>"hoch"</formula>
    </cfRule>
    <cfRule type="cellIs" dxfId="1796" priority="301" operator="equal">
      <formula>"mittel"</formula>
    </cfRule>
    <cfRule type="cellIs" dxfId="1795" priority="302" operator="equal">
      <formula>"gering"</formula>
    </cfRule>
    <cfRule type="cellIs" dxfId="1794" priority="303" operator="equal">
      <formula>"sehr gering"</formula>
    </cfRule>
  </conditionalFormatting>
  <conditionalFormatting sqref="G105:G107">
    <cfRule type="cellIs" dxfId="1793" priority="291" operator="equal">
      <formula>"führt zum Abbruch"</formula>
    </cfRule>
    <cfRule type="cellIs" dxfId="1792" priority="292" operator="equal">
      <formula>"sehr hoch"</formula>
    </cfRule>
    <cfRule type="cellIs" dxfId="1791" priority="293" operator="equal">
      <formula>"hoch"</formula>
    </cfRule>
    <cfRule type="cellIs" dxfId="1790" priority="294" operator="equal">
      <formula>"mittel"</formula>
    </cfRule>
    <cfRule type="cellIs" dxfId="1789" priority="295" operator="equal">
      <formula>"gering"</formula>
    </cfRule>
    <cfRule type="cellIs" dxfId="1788" priority="296" operator="equal">
      <formula>"sehr gering"</formula>
    </cfRule>
  </conditionalFormatting>
  <conditionalFormatting sqref="G114:G115">
    <cfRule type="cellIs" dxfId="1787" priority="284" operator="equal">
      <formula>"führt zum Abbruch"</formula>
    </cfRule>
    <cfRule type="cellIs" dxfId="1786" priority="285" operator="equal">
      <formula>"sehr hoch"</formula>
    </cfRule>
    <cfRule type="cellIs" dxfId="1785" priority="286" operator="equal">
      <formula>"hoch"</formula>
    </cfRule>
    <cfRule type="cellIs" dxfId="1784" priority="287" operator="equal">
      <formula>"mittel"</formula>
    </cfRule>
    <cfRule type="cellIs" dxfId="1783" priority="288" operator="equal">
      <formula>"gering"</formula>
    </cfRule>
    <cfRule type="cellIs" dxfId="1782" priority="289" operator="equal">
      <formula>"sehr gering"</formula>
    </cfRule>
  </conditionalFormatting>
  <conditionalFormatting sqref="G111:G113">
    <cfRule type="cellIs" dxfId="1781" priority="277" operator="equal">
      <formula>"führt zum Abbruch"</formula>
    </cfRule>
    <cfRule type="cellIs" dxfId="1780" priority="278" operator="equal">
      <formula>"sehr hoch"</formula>
    </cfRule>
    <cfRule type="cellIs" dxfId="1779" priority="279" operator="equal">
      <formula>"hoch"</formula>
    </cfRule>
    <cfRule type="cellIs" dxfId="1778" priority="280" operator="equal">
      <formula>"mittel"</formula>
    </cfRule>
    <cfRule type="cellIs" dxfId="1777" priority="281" operator="equal">
      <formula>"gering"</formula>
    </cfRule>
    <cfRule type="cellIs" dxfId="1776" priority="282" operator="equal">
      <formula>"sehr gering"</formula>
    </cfRule>
  </conditionalFormatting>
  <conditionalFormatting sqref="G120:G121">
    <cfRule type="cellIs" dxfId="1775" priority="270" operator="equal">
      <formula>"führt zum Abbruch"</formula>
    </cfRule>
    <cfRule type="cellIs" dxfId="1774" priority="271" operator="equal">
      <formula>"sehr hoch"</formula>
    </cfRule>
    <cfRule type="cellIs" dxfId="1773" priority="272" operator="equal">
      <formula>"hoch"</formula>
    </cfRule>
    <cfRule type="cellIs" dxfId="1772" priority="273" operator="equal">
      <formula>"mittel"</formula>
    </cfRule>
    <cfRule type="cellIs" dxfId="1771" priority="274" operator="equal">
      <formula>"gering"</formula>
    </cfRule>
    <cfRule type="cellIs" dxfId="1770" priority="275" operator="equal">
      <formula>"sehr gering"</formula>
    </cfRule>
  </conditionalFormatting>
  <conditionalFormatting sqref="G117:G119">
    <cfRule type="cellIs" dxfId="1769" priority="263" operator="equal">
      <formula>"führt zum Abbruch"</formula>
    </cfRule>
    <cfRule type="cellIs" dxfId="1768" priority="264" operator="equal">
      <formula>"sehr hoch"</formula>
    </cfRule>
    <cfRule type="cellIs" dxfId="1767" priority="265" operator="equal">
      <formula>"hoch"</formula>
    </cfRule>
    <cfRule type="cellIs" dxfId="1766" priority="266" operator="equal">
      <formula>"mittel"</formula>
    </cfRule>
    <cfRule type="cellIs" dxfId="1765" priority="267" operator="equal">
      <formula>"gering"</formula>
    </cfRule>
    <cfRule type="cellIs" dxfId="1764" priority="268" operator="equal">
      <formula>"sehr gering"</formula>
    </cfRule>
  </conditionalFormatting>
  <conditionalFormatting sqref="H48:H49">
    <cfRule type="cellIs" dxfId="1763" priority="155" operator="equal">
      <formula>"sehr hoch"</formula>
    </cfRule>
    <cfRule type="cellIs" dxfId="1762" priority="156" operator="equal">
      <formula>"hoch"</formula>
    </cfRule>
    <cfRule type="cellIs" dxfId="1761" priority="157" operator="equal">
      <formula>"mittel"</formula>
    </cfRule>
    <cfRule type="cellIs" dxfId="1760" priority="158" operator="equal">
      <formula>"gering"</formula>
    </cfRule>
    <cfRule type="cellIs" dxfId="1759" priority="159" operator="equal">
      <formula>"sehr gering"</formula>
    </cfRule>
    <cfRule type="cellIs" dxfId="1758" priority="160" operator="equal">
      <formula>"trifft nicht ein"</formula>
    </cfRule>
  </conditionalFormatting>
  <conditionalFormatting sqref="I48:I49">
    <cfRule type="cellIs" dxfId="1757" priority="149" operator="equal">
      <formula>"führt zum Abbruch"</formula>
    </cfRule>
    <cfRule type="cellIs" dxfId="1756" priority="150" operator="equal">
      <formula>"sehr hoch"</formula>
    </cfRule>
    <cfRule type="cellIs" dxfId="1755" priority="151" operator="equal">
      <formula>"hoch"</formula>
    </cfRule>
    <cfRule type="cellIs" dxfId="1754" priority="152" operator="equal">
      <formula>"mittel"</formula>
    </cfRule>
    <cfRule type="cellIs" dxfId="1753" priority="153" operator="equal">
      <formula>"gering"</formula>
    </cfRule>
    <cfRule type="cellIs" dxfId="1752" priority="154" operator="equal">
      <formula>"sehr gering"</formula>
    </cfRule>
  </conditionalFormatting>
  <conditionalFormatting sqref="G48:G49">
    <cfRule type="cellIs" dxfId="1751" priority="142" operator="equal">
      <formula>"führt zum Abbruch"</formula>
    </cfRule>
    <cfRule type="cellIs" dxfId="1750" priority="143" operator="equal">
      <formula>"sehr hoch"</formula>
    </cfRule>
    <cfRule type="cellIs" dxfId="1749" priority="144" operator="equal">
      <formula>"hoch"</formula>
    </cfRule>
    <cfRule type="cellIs" dxfId="1748" priority="145" operator="equal">
      <formula>"mittel"</formula>
    </cfRule>
    <cfRule type="cellIs" dxfId="1747" priority="146" operator="equal">
      <formula>"gering"</formula>
    </cfRule>
    <cfRule type="cellIs" dxfId="1746" priority="147" operator="equal">
      <formula>"sehr gering"</formula>
    </cfRule>
  </conditionalFormatting>
  <conditionalFormatting sqref="H45:H47">
    <cfRule type="cellIs" dxfId="1745" priority="135" operator="equal">
      <formula>"sehr hoch"</formula>
    </cfRule>
    <cfRule type="cellIs" dxfId="1744" priority="136" operator="equal">
      <formula>"hoch"</formula>
    </cfRule>
    <cfRule type="cellIs" dxfId="1743" priority="137" operator="equal">
      <formula>"mittel"</formula>
    </cfRule>
    <cfRule type="cellIs" dxfId="1742" priority="138" operator="equal">
      <formula>"gering"</formula>
    </cfRule>
    <cfRule type="cellIs" dxfId="1741" priority="139" operator="equal">
      <formula>"sehr gering"</formula>
    </cfRule>
    <cfRule type="cellIs" dxfId="1740" priority="140" operator="equal">
      <formula>"trifft nicht ein"</formula>
    </cfRule>
  </conditionalFormatting>
  <conditionalFormatting sqref="I45:I47">
    <cfRule type="cellIs" dxfId="1739" priority="129" operator="equal">
      <formula>"führt zum Abbruch"</formula>
    </cfRule>
    <cfRule type="cellIs" dxfId="1738" priority="130" operator="equal">
      <formula>"sehr hoch"</formula>
    </cfRule>
    <cfRule type="cellIs" dxfId="1737" priority="131" operator="equal">
      <formula>"hoch"</formula>
    </cfRule>
    <cfRule type="cellIs" dxfId="1736" priority="132" operator="equal">
      <formula>"mittel"</formula>
    </cfRule>
    <cfRule type="cellIs" dxfId="1735" priority="133" operator="equal">
      <formula>"gering"</formula>
    </cfRule>
    <cfRule type="cellIs" dxfId="1734" priority="134" operator="equal">
      <formula>"sehr gering"</formula>
    </cfRule>
  </conditionalFormatting>
  <conditionalFormatting sqref="G45:G47">
    <cfRule type="cellIs" dxfId="1733" priority="122" operator="equal">
      <formula>"führt zum Abbruch"</formula>
    </cfRule>
    <cfRule type="cellIs" dxfId="1732" priority="123" operator="equal">
      <formula>"sehr hoch"</formula>
    </cfRule>
    <cfRule type="cellIs" dxfId="1731" priority="124" operator="equal">
      <formula>"hoch"</formula>
    </cfRule>
    <cfRule type="cellIs" dxfId="1730" priority="125" operator="equal">
      <formula>"mittel"</formula>
    </cfRule>
    <cfRule type="cellIs" dxfId="1729" priority="126" operator="equal">
      <formula>"gering"</formula>
    </cfRule>
    <cfRule type="cellIs" dxfId="1728" priority="127" operator="equal">
      <formula>"sehr gering"</formula>
    </cfRule>
  </conditionalFormatting>
  <conditionalFormatting sqref="H54:H55">
    <cfRule type="cellIs" dxfId="1727" priority="115" operator="equal">
      <formula>"sehr hoch"</formula>
    </cfRule>
    <cfRule type="cellIs" dxfId="1726" priority="116" operator="equal">
      <formula>"hoch"</formula>
    </cfRule>
    <cfRule type="cellIs" dxfId="1725" priority="117" operator="equal">
      <formula>"mittel"</formula>
    </cfRule>
    <cfRule type="cellIs" dxfId="1724" priority="118" operator="equal">
      <formula>"gering"</formula>
    </cfRule>
    <cfRule type="cellIs" dxfId="1723" priority="119" operator="equal">
      <formula>"sehr gering"</formula>
    </cfRule>
    <cfRule type="cellIs" dxfId="1722" priority="120" operator="equal">
      <formula>"trifft nicht ein"</formula>
    </cfRule>
  </conditionalFormatting>
  <conditionalFormatting sqref="I54:I55">
    <cfRule type="cellIs" dxfId="1721" priority="109" operator="equal">
      <formula>"führt zum Abbruch"</formula>
    </cfRule>
    <cfRule type="cellIs" dxfId="1720" priority="110" operator="equal">
      <formula>"sehr hoch"</formula>
    </cfRule>
    <cfRule type="cellIs" dxfId="1719" priority="111" operator="equal">
      <formula>"hoch"</formula>
    </cfRule>
    <cfRule type="cellIs" dxfId="1718" priority="112" operator="equal">
      <formula>"mittel"</formula>
    </cfRule>
    <cfRule type="cellIs" dxfId="1717" priority="113" operator="equal">
      <formula>"gering"</formula>
    </cfRule>
    <cfRule type="cellIs" dxfId="1716" priority="114" operator="equal">
      <formula>"sehr gering"</formula>
    </cfRule>
  </conditionalFormatting>
  <conditionalFormatting sqref="G54:G55">
    <cfRule type="cellIs" dxfId="1715" priority="102" operator="equal">
      <formula>"führt zum Abbruch"</formula>
    </cfRule>
    <cfRule type="cellIs" dxfId="1714" priority="103" operator="equal">
      <formula>"sehr hoch"</formula>
    </cfRule>
    <cfRule type="cellIs" dxfId="1713" priority="104" operator="equal">
      <formula>"hoch"</formula>
    </cfRule>
    <cfRule type="cellIs" dxfId="1712" priority="105" operator="equal">
      <formula>"mittel"</formula>
    </cfRule>
    <cfRule type="cellIs" dxfId="1711" priority="106" operator="equal">
      <formula>"gering"</formula>
    </cfRule>
    <cfRule type="cellIs" dxfId="1710" priority="107" operator="equal">
      <formula>"sehr gering"</formula>
    </cfRule>
  </conditionalFormatting>
  <conditionalFormatting sqref="H51:H53">
    <cfRule type="cellIs" dxfId="1709" priority="95" operator="equal">
      <formula>"sehr hoch"</formula>
    </cfRule>
    <cfRule type="cellIs" dxfId="1708" priority="96" operator="equal">
      <formula>"hoch"</formula>
    </cfRule>
    <cfRule type="cellIs" dxfId="1707" priority="97" operator="equal">
      <formula>"mittel"</formula>
    </cfRule>
    <cfRule type="cellIs" dxfId="1706" priority="98" operator="equal">
      <formula>"gering"</formula>
    </cfRule>
    <cfRule type="cellIs" dxfId="1705" priority="99" operator="equal">
      <formula>"sehr gering"</formula>
    </cfRule>
    <cfRule type="cellIs" dxfId="1704" priority="100" operator="equal">
      <formula>"trifft nicht ein"</formula>
    </cfRule>
  </conditionalFormatting>
  <conditionalFormatting sqref="I51:I53">
    <cfRule type="cellIs" dxfId="1703" priority="89" operator="equal">
      <formula>"führt zum Abbruch"</formula>
    </cfRule>
    <cfRule type="cellIs" dxfId="1702" priority="90" operator="equal">
      <formula>"sehr hoch"</formula>
    </cfRule>
    <cfRule type="cellIs" dxfId="1701" priority="91" operator="equal">
      <formula>"hoch"</formula>
    </cfRule>
    <cfRule type="cellIs" dxfId="1700" priority="92" operator="equal">
      <formula>"mittel"</formula>
    </cfRule>
    <cfRule type="cellIs" dxfId="1699" priority="93" operator="equal">
      <formula>"gering"</formula>
    </cfRule>
    <cfRule type="cellIs" dxfId="1698" priority="94" operator="equal">
      <formula>"sehr gering"</formula>
    </cfRule>
  </conditionalFormatting>
  <conditionalFormatting sqref="G51:G53">
    <cfRule type="cellIs" dxfId="1697" priority="82" operator="equal">
      <formula>"führt zum Abbruch"</formula>
    </cfRule>
    <cfRule type="cellIs" dxfId="1696" priority="83" operator="equal">
      <formula>"sehr hoch"</formula>
    </cfRule>
    <cfRule type="cellIs" dxfId="1695" priority="84" operator="equal">
      <formula>"hoch"</formula>
    </cfRule>
    <cfRule type="cellIs" dxfId="1694" priority="85" operator="equal">
      <formula>"mittel"</formula>
    </cfRule>
    <cfRule type="cellIs" dxfId="1693" priority="86" operator="equal">
      <formula>"gering"</formula>
    </cfRule>
    <cfRule type="cellIs" dxfId="1692" priority="87" operator="equal">
      <formula>"sehr gering"</formula>
    </cfRule>
  </conditionalFormatting>
  <conditionalFormatting sqref="H60:H61">
    <cfRule type="cellIs" dxfId="1691" priority="75" operator="equal">
      <formula>"sehr hoch"</formula>
    </cfRule>
    <cfRule type="cellIs" dxfId="1690" priority="76" operator="equal">
      <formula>"hoch"</formula>
    </cfRule>
    <cfRule type="cellIs" dxfId="1689" priority="77" operator="equal">
      <formula>"mittel"</formula>
    </cfRule>
    <cfRule type="cellIs" dxfId="1688" priority="78" operator="equal">
      <formula>"gering"</formula>
    </cfRule>
    <cfRule type="cellIs" dxfId="1687" priority="79" operator="equal">
      <formula>"sehr gering"</formula>
    </cfRule>
    <cfRule type="cellIs" dxfId="1686" priority="80" operator="equal">
      <formula>"trifft nicht ein"</formula>
    </cfRule>
  </conditionalFormatting>
  <conditionalFormatting sqref="I60:I61">
    <cfRule type="cellIs" dxfId="1685" priority="69" operator="equal">
      <formula>"führt zum Abbruch"</formula>
    </cfRule>
    <cfRule type="cellIs" dxfId="1684" priority="70" operator="equal">
      <formula>"sehr hoch"</formula>
    </cfRule>
    <cfRule type="cellIs" dxfId="1683" priority="71" operator="equal">
      <formula>"hoch"</formula>
    </cfRule>
    <cfRule type="cellIs" dxfId="1682" priority="72" operator="equal">
      <formula>"mittel"</formula>
    </cfRule>
    <cfRule type="cellIs" dxfId="1681" priority="73" operator="equal">
      <formula>"gering"</formula>
    </cfRule>
    <cfRule type="cellIs" dxfId="1680" priority="74" operator="equal">
      <formula>"sehr gering"</formula>
    </cfRule>
  </conditionalFormatting>
  <conditionalFormatting sqref="G60:G61">
    <cfRule type="cellIs" dxfId="1679" priority="62" operator="equal">
      <formula>"führt zum Abbruch"</formula>
    </cfRule>
    <cfRule type="cellIs" dxfId="1678" priority="63" operator="equal">
      <formula>"sehr hoch"</formula>
    </cfRule>
    <cfRule type="cellIs" dxfId="1677" priority="64" operator="equal">
      <formula>"hoch"</formula>
    </cfRule>
    <cfRule type="cellIs" dxfId="1676" priority="65" operator="equal">
      <formula>"mittel"</formula>
    </cfRule>
    <cfRule type="cellIs" dxfId="1675" priority="66" operator="equal">
      <formula>"gering"</formula>
    </cfRule>
    <cfRule type="cellIs" dxfId="1674" priority="67" operator="equal">
      <formula>"sehr gering"</formula>
    </cfRule>
  </conditionalFormatting>
  <conditionalFormatting sqref="H57:H59">
    <cfRule type="cellIs" dxfId="1673" priority="55" operator="equal">
      <formula>"sehr hoch"</formula>
    </cfRule>
    <cfRule type="cellIs" dxfId="1672" priority="56" operator="equal">
      <formula>"hoch"</formula>
    </cfRule>
    <cfRule type="cellIs" dxfId="1671" priority="57" operator="equal">
      <formula>"mittel"</formula>
    </cfRule>
    <cfRule type="cellIs" dxfId="1670" priority="58" operator="equal">
      <formula>"gering"</formula>
    </cfRule>
    <cfRule type="cellIs" dxfId="1669" priority="59" operator="equal">
      <formula>"sehr gering"</formula>
    </cfRule>
    <cfRule type="cellIs" dxfId="1668" priority="60" operator="equal">
      <formula>"trifft nicht ein"</formula>
    </cfRule>
  </conditionalFormatting>
  <conditionalFormatting sqref="I57:I59">
    <cfRule type="cellIs" dxfId="1667" priority="49" operator="equal">
      <formula>"führt zum Abbruch"</formula>
    </cfRule>
    <cfRule type="cellIs" dxfId="1666" priority="50" operator="equal">
      <formula>"sehr hoch"</formula>
    </cfRule>
    <cfRule type="cellIs" dxfId="1665" priority="51" operator="equal">
      <formula>"hoch"</formula>
    </cfRule>
    <cfRule type="cellIs" dxfId="1664" priority="52" operator="equal">
      <formula>"mittel"</formula>
    </cfRule>
    <cfRule type="cellIs" dxfId="1663" priority="53" operator="equal">
      <formula>"gering"</formula>
    </cfRule>
    <cfRule type="cellIs" dxfId="1662" priority="54" operator="equal">
      <formula>"sehr gering"</formula>
    </cfRule>
  </conditionalFormatting>
  <conditionalFormatting sqref="G57:G59">
    <cfRule type="cellIs" dxfId="1661" priority="42" operator="equal">
      <formula>"führt zum Abbruch"</formula>
    </cfRule>
    <cfRule type="cellIs" dxfId="1660" priority="43" operator="equal">
      <formula>"sehr hoch"</formula>
    </cfRule>
    <cfRule type="cellIs" dxfId="1659" priority="44" operator="equal">
      <formula>"hoch"</formula>
    </cfRule>
    <cfRule type="cellIs" dxfId="1658" priority="45" operator="equal">
      <formula>"mittel"</formula>
    </cfRule>
    <cfRule type="cellIs" dxfId="1657" priority="46" operator="equal">
      <formula>"gering"</formula>
    </cfRule>
    <cfRule type="cellIs" dxfId="1656" priority="47" operator="equal">
      <formula>"sehr gering"</formula>
    </cfRule>
  </conditionalFormatting>
  <conditionalFormatting sqref="H36:H37">
    <cfRule type="cellIs" dxfId="1655" priority="35" operator="equal">
      <formula>"sehr hoch"</formula>
    </cfRule>
    <cfRule type="cellIs" dxfId="1654" priority="36" operator="equal">
      <formula>"hoch"</formula>
    </cfRule>
    <cfRule type="cellIs" dxfId="1653" priority="37" operator="equal">
      <formula>"mittel"</formula>
    </cfRule>
    <cfRule type="cellIs" dxfId="1652" priority="38" operator="equal">
      <formula>"gering"</formula>
    </cfRule>
    <cfRule type="cellIs" dxfId="1651" priority="39" operator="equal">
      <formula>"sehr gering"</formula>
    </cfRule>
    <cfRule type="cellIs" dxfId="1650" priority="40" operator="equal">
      <formula>"trifft nicht ein"</formula>
    </cfRule>
  </conditionalFormatting>
  <conditionalFormatting sqref="I36:I37">
    <cfRule type="cellIs" dxfId="1649" priority="29" operator="equal">
      <formula>"führt zum Abbruch"</formula>
    </cfRule>
    <cfRule type="cellIs" dxfId="1648" priority="30" operator="equal">
      <formula>"sehr hoch"</formula>
    </cfRule>
    <cfRule type="cellIs" dxfId="1647" priority="31" operator="equal">
      <formula>"hoch"</formula>
    </cfRule>
    <cfRule type="cellIs" dxfId="1646" priority="32" operator="equal">
      <formula>"mittel"</formula>
    </cfRule>
    <cfRule type="cellIs" dxfId="1645" priority="33" operator="equal">
      <formula>"gering"</formula>
    </cfRule>
    <cfRule type="cellIs" dxfId="1644" priority="34" operator="equal">
      <formula>"sehr gering"</formula>
    </cfRule>
  </conditionalFormatting>
  <conditionalFormatting sqref="G36:G37">
    <cfRule type="cellIs" dxfId="1643" priority="22" operator="equal">
      <formula>"führt zum Abbruch"</formula>
    </cfRule>
    <cfRule type="cellIs" dxfId="1642" priority="23" operator="equal">
      <formula>"sehr hoch"</formula>
    </cfRule>
    <cfRule type="cellIs" dxfId="1641" priority="24" operator="equal">
      <formula>"hoch"</formula>
    </cfRule>
    <cfRule type="cellIs" dxfId="1640" priority="25" operator="equal">
      <formula>"mittel"</formula>
    </cfRule>
    <cfRule type="cellIs" dxfId="1639" priority="26" operator="equal">
      <formula>"gering"</formula>
    </cfRule>
    <cfRule type="cellIs" dxfId="1638" priority="27" operator="equal">
      <formula>"sehr gering"</formula>
    </cfRule>
  </conditionalFormatting>
  <conditionalFormatting sqref="H33:H35">
    <cfRule type="cellIs" dxfId="1637" priority="15" operator="equal">
      <formula>"sehr hoch"</formula>
    </cfRule>
    <cfRule type="cellIs" dxfId="1636" priority="16" operator="equal">
      <formula>"hoch"</formula>
    </cfRule>
    <cfRule type="cellIs" dxfId="1635" priority="17" operator="equal">
      <formula>"mittel"</formula>
    </cfRule>
    <cfRule type="cellIs" dxfId="1634" priority="18" operator="equal">
      <formula>"gering"</formula>
    </cfRule>
    <cfRule type="cellIs" dxfId="1633" priority="19" operator="equal">
      <formula>"sehr gering"</formula>
    </cfRule>
    <cfRule type="cellIs" dxfId="1632" priority="20" operator="equal">
      <formula>"trifft nicht ein"</formula>
    </cfRule>
  </conditionalFormatting>
  <conditionalFormatting sqref="I33:I35">
    <cfRule type="cellIs" dxfId="1631" priority="9" operator="equal">
      <formula>"führt zum Abbruch"</formula>
    </cfRule>
    <cfRule type="cellIs" dxfId="1630" priority="10" operator="equal">
      <formula>"sehr hoch"</formula>
    </cfRule>
    <cfRule type="cellIs" dxfId="1629" priority="11" operator="equal">
      <formula>"hoch"</formula>
    </cfRule>
    <cfRule type="cellIs" dxfId="1628" priority="12" operator="equal">
      <formula>"mittel"</formula>
    </cfRule>
    <cfRule type="cellIs" dxfId="1627" priority="13" operator="equal">
      <formula>"gering"</formula>
    </cfRule>
    <cfRule type="cellIs" dxfId="1626" priority="14" operator="equal">
      <formula>"sehr gering"</formula>
    </cfRule>
  </conditionalFormatting>
  <conditionalFormatting sqref="G33:G35">
    <cfRule type="cellIs" dxfId="1625" priority="2" operator="equal">
      <formula>"führt zum Abbruch"</formula>
    </cfRule>
    <cfRule type="cellIs" dxfId="1624" priority="3" operator="equal">
      <formula>"sehr hoch"</formula>
    </cfRule>
    <cfRule type="cellIs" dxfId="1623" priority="4" operator="equal">
      <formula>"hoch"</formula>
    </cfRule>
    <cfRule type="cellIs" dxfId="1622" priority="5" operator="equal">
      <formula>"mittel"</formula>
    </cfRule>
    <cfRule type="cellIs" dxfId="1621" priority="6" operator="equal">
      <formula>"gering"</formula>
    </cfRule>
    <cfRule type="cellIs" dxfId="1620" priority="7" operator="equal">
      <formula>"sehr gering"</formula>
    </cfRule>
  </conditionalFormatting>
  <pageMargins left="0.70866141732283472" right="0.70866141732283472" top="0.78740157480314965" bottom="0.78740157480314965" header="0.31496062992125984" footer="0.31496062992125984"/>
  <pageSetup paperSize="8" scale="29" orientation="portrait" r:id="rId1"/>
  <headerFooter>
    <oddHeader>&amp;CSTEP-Analyse</oddHeader>
    <oddFooter xml:space="preserve">&amp;C22
</oddFooter>
  </headerFooter>
  <drawing r:id="rId2"/>
  <legacyDrawing r:id="rId3"/>
  <controls>
    <mc:AlternateContent xmlns:mc="http://schemas.openxmlformats.org/markup-compatibility/2006">
      <mc:Choice Requires="x14">
        <control shapeId="126977" r:id="rId4" name="ComboBox1">
          <controlPr defaultSize="0" autoLine="0" r:id="rId5">
            <anchor moveWithCells="1">
              <from>
                <xdr:col>3</xdr:col>
                <xdr:colOff>47625</xdr:colOff>
                <xdr:row>30</xdr:row>
                <xdr:rowOff>76200</xdr:rowOff>
              </from>
              <to>
                <xdr:col>4</xdr:col>
                <xdr:colOff>152400</xdr:colOff>
                <xdr:row>30</xdr:row>
                <xdr:rowOff>847725</xdr:rowOff>
              </to>
            </anchor>
          </controlPr>
        </control>
      </mc:Choice>
      <mc:Fallback>
        <control shapeId="126977" r:id="rId4" name="ComboBox1"/>
      </mc:Fallback>
    </mc:AlternateContent>
    <mc:AlternateContent xmlns:mc="http://schemas.openxmlformats.org/markup-compatibility/2006">
      <mc:Choice Requires="x14">
        <control shapeId="126978" r:id="rId6" name="Löschbutton">
          <controlPr defaultSize="0" autoLine="0" r:id="rId7">
            <anchor moveWithCells="1">
              <from>
                <xdr:col>0</xdr:col>
                <xdr:colOff>266700</xdr:colOff>
                <xdr:row>30</xdr:row>
                <xdr:rowOff>38100</xdr:rowOff>
              </from>
              <to>
                <xdr:col>1</xdr:col>
                <xdr:colOff>2819400</xdr:colOff>
                <xdr:row>30</xdr:row>
                <xdr:rowOff>847725</xdr:rowOff>
              </to>
            </anchor>
          </controlPr>
        </control>
      </mc:Choice>
      <mc:Fallback>
        <control shapeId="126978" r:id="rId6" name="Löschbutton"/>
      </mc:Fallback>
    </mc:AlternateContent>
    <mc:AlternateContent xmlns:mc="http://schemas.openxmlformats.org/markup-compatibility/2006">
      <mc:Choice Requires="x14">
        <control shapeId="126979" r:id="rId8" name="Portfolioview">
          <controlPr defaultSize="0" autoLine="0" r:id="rId9">
            <anchor moveWithCells="1">
              <from>
                <xdr:col>2</xdr:col>
                <xdr:colOff>28575</xdr:colOff>
                <xdr:row>30</xdr:row>
                <xdr:rowOff>47625</xdr:rowOff>
              </from>
              <to>
                <xdr:col>2</xdr:col>
                <xdr:colOff>3324225</xdr:colOff>
                <xdr:row>30</xdr:row>
                <xdr:rowOff>847725</xdr:rowOff>
              </to>
            </anchor>
          </controlPr>
        </control>
      </mc:Choice>
      <mc:Fallback>
        <control shapeId="126979" r:id="rId8" name="Portfolioview"/>
      </mc:Fallback>
    </mc:AlternateContent>
    <mc:AlternateContent xmlns:mc="http://schemas.openxmlformats.org/markup-compatibility/2006">
      <mc:Choice Requires="x14">
        <control shapeId="126980" r:id="rId10" name="Zeileneinfügen">
          <controlPr defaultSize="0" autoLine="0" r:id="rId11">
            <anchor moveWithCells="1">
              <from>
                <xdr:col>3</xdr:col>
                <xdr:colOff>19050</xdr:colOff>
                <xdr:row>30</xdr:row>
                <xdr:rowOff>47625</xdr:rowOff>
              </from>
              <to>
                <xdr:col>4</xdr:col>
                <xdr:colOff>0</xdr:colOff>
                <xdr:row>30</xdr:row>
                <xdr:rowOff>847725</xdr:rowOff>
              </to>
            </anchor>
          </controlPr>
        </control>
      </mc:Choice>
      <mc:Fallback>
        <control shapeId="126980" r:id="rId10" name="Zeileneinfügen"/>
      </mc:Fallback>
    </mc:AlternateContent>
    <mc:AlternateContent xmlns:mc="http://schemas.openxmlformats.org/markup-compatibility/2006">
      <mc:Choice Requires="x14">
        <control shapeId="126981" r:id="rId12" name="CommandButton1">
          <controlPr defaultSize="0" autoLine="0" r:id="rId13">
            <anchor moveWithCells="1">
              <from>
                <xdr:col>6</xdr:col>
                <xdr:colOff>38100</xdr:colOff>
                <xdr:row>125</xdr:row>
                <xdr:rowOff>38100</xdr:rowOff>
              </from>
              <to>
                <xdr:col>8</xdr:col>
                <xdr:colOff>533400</xdr:colOff>
                <xdr:row>128</xdr:row>
                <xdr:rowOff>104775</xdr:rowOff>
              </to>
            </anchor>
          </controlPr>
        </control>
      </mc:Choice>
      <mc:Fallback>
        <control shapeId="126981" r:id="rId12"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cellIs" priority="786" operator="between" id="{21E9FE0A-77A9-4108-A2BD-89C5CC50C0A8}">
            <xm:f>'Modell-Kalibrierung'!$C$7+1%</xm:f>
            <xm:f>"0Kalibrierung!$E$8"</xm:f>
            <x14:dxf>
              <font>
                <color theme="0"/>
              </font>
              <fill>
                <patternFill>
                  <bgColor theme="5" tint="-0.499984740745262"/>
                </patternFill>
              </fill>
            </x14:dxf>
          </x14:cfRule>
          <x14:cfRule type="cellIs" priority="787" operator="between" id="{9702CCFD-8753-482A-A55F-07AAA5EF8FF8}">
            <xm:f>'Modell-Kalibrierung'!$C$6+1%</xm:f>
            <xm:f>"0Kalibrierung!$E$7"</xm:f>
            <x14:dxf>
              <fill>
                <patternFill>
                  <bgColor theme="5" tint="-0.24994659260841701"/>
                </patternFill>
              </fill>
            </x14:dxf>
          </x14:cfRule>
          <x14:cfRule type="cellIs" priority="788" operator="between" id="{F9E1A08C-707C-467C-8886-CE5E360FCEE7}">
            <xm:f>'Modell-Kalibrierung'!$C$5+1%</xm:f>
            <xm:f>"0Kalibrierung!$E$6"</xm:f>
            <x14:dxf>
              <fill>
                <patternFill>
                  <bgColor theme="5" tint="0.39994506668294322"/>
                </patternFill>
              </fill>
            </x14:dxf>
          </x14:cfRule>
          <x14:cfRule type="cellIs" priority="789" operator="between" id="{C9F90719-B254-41FA-9BC6-B51490BF90E4}">
            <xm:f>'Modell-Kalibrierung'!$C$4+1%</xm:f>
            <xm:f>"0Kalibrierung!$E$5"</xm:f>
            <x14:dxf>
              <fill>
                <patternFill>
                  <bgColor theme="5" tint="0.59996337778862885"/>
                </patternFill>
              </fill>
            </x14:dxf>
          </x14:cfRule>
          <x14:cfRule type="cellIs" priority="790" operator="between" id="{D3233F36-C020-4F9B-8D48-4B25F5451CE0}">
            <xm:f>'Modell-Kalibrierung'!$C$3+1%</xm:f>
            <xm:f>'Modell-Kalibrierung'!$C$4</xm:f>
            <x14:dxf>
              <fill>
                <patternFill>
                  <bgColor theme="5" tint="0.79998168889431442"/>
                </patternFill>
              </fill>
            </x14:dxf>
          </x14:cfRule>
          <x14:cfRule type="cellIs" priority="791" operator="equal" id="{38F0BFD4-5C0B-4B86-BAAA-B07C2845C70E}">
            <xm:f>'Modell-Kalibrierung'!$C$3</xm:f>
            <x14:dxf>
              <fill>
                <patternFill>
                  <bgColor theme="0"/>
                </patternFill>
              </fill>
            </x14:dxf>
          </x14:cfRule>
          <xm:sqref>J33:J34 J36:J37</xm:sqref>
        </x14:conditionalFormatting>
        <x14:conditionalFormatting xmlns:xm="http://schemas.microsoft.com/office/excel/2006/main">
          <x14:cfRule type="cellIs" priority="780" operator="between" id="{FB5D22D1-B191-403A-BD39-E0BCC1EE9AD2}">
            <xm:f>'Modell-Kalibrierung'!$C$7+1%</xm:f>
            <xm:f>"0Kalibrierung!$E$8"</xm:f>
            <x14:dxf>
              <font>
                <color theme="0"/>
              </font>
              <fill>
                <patternFill>
                  <bgColor theme="5" tint="-0.499984740745262"/>
                </patternFill>
              </fill>
            </x14:dxf>
          </x14:cfRule>
          <x14:cfRule type="cellIs" priority="781" operator="between" id="{BACB2FF4-91C0-48EE-B297-1B832943FF21}">
            <xm:f>'Modell-Kalibrierung'!$C$6+1%</xm:f>
            <xm:f>"0Kalibrierung!$E$7"</xm:f>
            <x14:dxf>
              <fill>
                <patternFill>
                  <bgColor theme="5" tint="-0.24994659260841701"/>
                </patternFill>
              </fill>
            </x14:dxf>
          </x14:cfRule>
          <x14:cfRule type="cellIs" priority="782" operator="between" id="{55A67D23-97BD-4BF8-A14E-E4BB43FDD450}">
            <xm:f>'Modell-Kalibrierung'!$C$5+1%</xm:f>
            <xm:f>"0Kalibrierung!$E$6"</xm:f>
            <x14:dxf>
              <fill>
                <patternFill>
                  <bgColor theme="5" tint="0.39994506668294322"/>
                </patternFill>
              </fill>
            </x14:dxf>
          </x14:cfRule>
          <x14:cfRule type="cellIs" priority="783" operator="between" id="{1D529C84-4AAE-402D-A9E4-16640F219DE5}">
            <xm:f>'Modell-Kalibrierung'!$C$4+1%</xm:f>
            <xm:f>"0Kalibrierung!$E$5"</xm:f>
            <x14:dxf>
              <fill>
                <patternFill>
                  <bgColor theme="5" tint="0.59996337778862885"/>
                </patternFill>
              </fill>
            </x14:dxf>
          </x14:cfRule>
          <x14:cfRule type="cellIs" priority="784" operator="between" id="{E18FE898-D62D-4A16-AFF2-D42146C47FA4}">
            <xm:f>'Modell-Kalibrierung'!$C$3+1%</xm:f>
            <xm:f>'Modell-Kalibrierung'!$C$4</xm:f>
            <x14:dxf>
              <fill>
                <patternFill>
                  <bgColor theme="5" tint="0.79998168889431442"/>
                </patternFill>
              </fill>
            </x14:dxf>
          </x14:cfRule>
          <x14:cfRule type="cellIs" priority="785" operator="equal" id="{3310122A-A87D-4BB3-96E7-F1625B5FB440}">
            <xm:f>'Modell-Kalibrierung'!$C$3</xm:f>
            <x14:dxf>
              <fill>
                <patternFill>
                  <bgColor theme="0"/>
                </patternFill>
              </fill>
            </x14:dxf>
          </x14:cfRule>
          <xm:sqref>J39:J43</xm:sqref>
        </x14:conditionalFormatting>
        <x14:conditionalFormatting xmlns:xm="http://schemas.microsoft.com/office/excel/2006/main">
          <x14:cfRule type="cellIs" priority="774" operator="between" id="{6D5D8D61-7552-444C-970D-6DD8520D590D}">
            <xm:f>'Modell-Kalibrierung'!$C$7+1%</xm:f>
            <xm:f>"0Kalibrierung!$E$8"</xm:f>
            <x14:dxf>
              <font>
                <color theme="0"/>
              </font>
              <fill>
                <patternFill>
                  <bgColor theme="5" tint="-0.499984740745262"/>
                </patternFill>
              </fill>
            </x14:dxf>
          </x14:cfRule>
          <x14:cfRule type="cellIs" priority="775" operator="between" id="{BF7C4E08-AE20-4DDA-9CE1-457B942472F3}">
            <xm:f>'Modell-Kalibrierung'!$C$6+1%</xm:f>
            <xm:f>"0Kalibrierung!$E$7"</xm:f>
            <x14:dxf>
              <fill>
                <patternFill>
                  <bgColor theme="5" tint="-0.24994659260841701"/>
                </patternFill>
              </fill>
            </x14:dxf>
          </x14:cfRule>
          <x14:cfRule type="cellIs" priority="776" operator="between" id="{509DA8B6-B799-4E95-B49A-2E32E89EF5B2}">
            <xm:f>'Modell-Kalibrierung'!$C$5+1%</xm:f>
            <xm:f>"0Kalibrierung!$E$6"</xm:f>
            <x14:dxf>
              <fill>
                <patternFill>
                  <bgColor theme="5" tint="0.39994506668294322"/>
                </patternFill>
              </fill>
            </x14:dxf>
          </x14:cfRule>
          <x14:cfRule type="cellIs" priority="777" operator="between" id="{E785EB8F-8AA0-4729-861C-5B617B8BBCA1}">
            <xm:f>'Modell-Kalibrierung'!$C$4+1%</xm:f>
            <xm:f>"0Kalibrierung!$E$5"</xm:f>
            <x14:dxf>
              <fill>
                <patternFill>
                  <bgColor theme="5" tint="0.59996337778862885"/>
                </patternFill>
              </fill>
            </x14:dxf>
          </x14:cfRule>
          <x14:cfRule type="cellIs" priority="778" operator="between" id="{A21FB7F9-1087-46D2-92E0-2C7E69BD3454}">
            <xm:f>'Modell-Kalibrierung'!$C$3+1%</xm:f>
            <xm:f>'Modell-Kalibrierung'!$C$4</xm:f>
            <x14:dxf>
              <fill>
                <patternFill>
                  <bgColor theme="5" tint="0.79998168889431442"/>
                </patternFill>
              </fill>
            </x14:dxf>
          </x14:cfRule>
          <x14:cfRule type="cellIs" priority="779" operator="equal" id="{3E1C7CEB-F1DB-4188-90A4-72DDB7BC9DAA}">
            <xm:f>'Modell-Kalibrierung'!$C$3</xm:f>
            <x14:dxf>
              <fill>
                <patternFill>
                  <bgColor theme="0"/>
                </patternFill>
              </fill>
            </x14:dxf>
          </x14:cfRule>
          <xm:sqref>J45:J49</xm:sqref>
        </x14:conditionalFormatting>
        <x14:conditionalFormatting xmlns:xm="http://schemas.microsoft.com/office/excel/2006/main">
          <x14:cfRule type="cellIs" priority="768" operator="between" id="{1E409654-5AEA-40DF-8BBF-CACF0B6882CD}">
            <xm:f>'Modell-Kalibrierung'!$C$7+1%</xm:f>
            <xm:f>"0Kalibrierung!$E$8"</xm:f>
            <x14:dxf>
              <font>
                <color theme="0"/>
              </font>
              <fill>
                <patternFill>
                  <bgColor theme="5" tint="-0.499984740745262"/>
                </patternFill>
              </fill>
            </x14:dxf>
          </x14:cfRule>
          <x14:cfRule type="cellIs" priority="769" operator="between" id="{40903AA9-64A7-4C49-A348-36C06AB861BB}">
            <xm:f>'Modell-Kalibrierung'!$C$6+1%</xm:f>
            <xm:f>"0Kalibrierung!$E$7"</xm:f>
            <x14:dxf>
              <fill>
                <patternFill>
                  <bgColor theme="5" tint="-0.24994659260841701"/>
                </patternFill>
              </fill>
            </x14:dxf>
          </x14:cfRule>
          <x14:cfRule type="cellIs" priority="770" operator="between" id="{2F95A5D6-7D14-47FB-828A-953E7C4D8768}">
            <xm:f>'Modell-Kalibrierung'!$C$5+1%</xm:f>
            <xm:f>"0Kalibrierung!$E$6"</xm:f>
            <x14:dxf>
              <fill>
                <patternFill>
                  <bgColor theme="5" tint="0.39994506668294322"/>
                </patternFill>
              </fill>
            </x14:dxf>
          </x14:cfRule>
          <x14:cfRule type="cellIs" priority="771" operator="between" id="{AE6E729F-C85C-4F2A-8F85-75798270110E}">
            <xm:f>'Modell-Kalibrierung'!$C$4+1%</xm:f>
            <xm:f>"0Kalibrierung!$E$5"</xm:f>
            <x14:dxf>
              <fill>
                <patternFill>
                  <bgColor theme="5" tint="0.59996337778862885"/>
                </patternFill>
              </fill>
            </x14:dxf>
          </x14:cfRule>
          <x14:cfRule type="cellIs" priority="772" operator="between" id="{C343AF9A-04D3-487A-9EE5-3E9B192651E4}">
            <xm:f>'Modell-Kalibrierung'!$C$3+1%</xm:f>
            <xm:f>'Modell-Kalibrierung'!$C$4</xm:f>
            <x14:dxf>
              <fill>
                <patternFill>
                  <bgColor theme="5" tint="0.79998168889431442"/>
                </patternFill>
              </fill>
            </x14:dxf>
          </x14:cfRule>
          <x14:cfRule type="cellIs" priority="773" operator="equal" id="{AC4FB98D-C946-40D5-8A7A-643072F0F060}">
            <xm:f>'Modell-Kalibrierung'!$C$3</xm:f>
            <x14:dxf>
              <fill>
                <patternFill>
                  <bgColor theme="0"/>
                </patternFill>
              </fill>
            </x14:dxf>
          </x14:cfRule>
          <xm:sqref>J51:J55</xm:sqref>
        </x14:conditionalFormatting>
        <x14:conditionalFormatting xmlns:xm="http://schemas.microsoft.com/office/excel/2006/main">
          <x14:cfRule type="cellIs" priority="762" operator="between" id="{ACA5603F-AE70-4ABA-956A-74425B1FF7DB}">
            <xm:f>'Modell-Kalibrierung'!$C$7+1%</xm:f>
            <xm:f>"0Kalibrierung!$E$8"</xm:f>
            <x14:dxf>
              <font>
                <color theme="0"/>
              </font>
              <fill>
                <patternFill>
                  <bgColor theme="5" tint="-0.499984740745262"/>
                </patternFill>
              </fill>
            </x14:dxf>
          </x14:cfRule>
          <x14:cfRule type="cellIs" priority="763" operator="between" id="{A5FC482F-C2C4-42DA-9760-F225E92C210D}">
            <xm:f>'Modell-Kalibrierung'!$C$6+1%</xm:f>
            <xm:f>"0Kalibrierung!$E$7"</xm:f>
            <x14:dxf>
              <fill>
                <patternFill>
                  <bgColor theme="5" tint="-0.24994659260841701"/>
                </patternFill>
              </fill>
            </x14:dxf>
          </x14:cfRule>
          <x14:cfRule type="cellIs" priority="764" operator="between" id="{436D3CCB-E0B3-42FB-8163-E092369360F0}">
            <xm:f>'Modell-Kalibrierung'!$C$5+1%</xm:f>
            <xm:f>"0Kalibrierung!$E$6"</xm:f>
            <x14:dxf>
              <fill>
                <patternFill>
                  <bgColor theme="5" tint="0.39994506668294322"/>
                </patternFill>
              </fill>
            </x14:dxf>
          </x14:cfRule>
          <x14:cfRule type="cellIs" priority="765" operator="between" id="{43AA3FBB-AF89-4D5E-B933-EEA4D21DF5C7}">
            <xm:f>'Modell-Kalibrierung'!$C$4+1%</xm:f>
            <xm:f>"0Kalibrierung!$E$5"</xm:f>
            <x14:dxf>
              <fill>
                <patternFill>
                  <bgColor theme="5" tint="0.59996337778862885"/>
                </patternFill>
              </fill>
            </x14:dxf>
          </x14:cfRule>
          <x14:cfRule type="cellIs" priority="766" operator="between" id="{88B3D36F-C87D-49F4-90AA-8171C63E0B49}">
            <xm:f>'Modell-Kalibrierung'!$C$3+1%</xm:f>
            <xm:f>'Modell-Kalibrierung'!$C$4</xm:f>
            <x14:dxf>
              <fill>
                <patternFill>
                  <bgColor theme="5" tint="0.79998168889431442"/>
                </patternFill>
              </fill>
            </x14:dxf>
          </x14:cfRule>
          <x14:cfRule type="cellIs" priority="767" operator="equal" id="{46635ED1-6BC1-46C3-9EC7-F39B51BC63B6}">
            <xm:f>'Modell-Kalibrierung'!$C$3</xm:f>
            <x14:dxf>
              <fill>
                <patternFill>
                  <bgColor theme="0"/>
                </patternFill>
              </fill>
            </x14:dxf>
          </x14:cfRule>
          <xm:sqref>J57:J61</xm:sqref>
        </x14:conditionalFormatting>
        <x14:conditionalFormatting xmlns:xm="http://schemas.microsoft.com/office/excel/2006/main">
          <x14:cfRule type="cellIs" priority="756" operator="between" id="{315C00C0-F889-4375-BCE1-6795E95176B3}">
            <xm:f>'Modell-Kalibrierung'!$C$7+1%</xm:f>
            <xm:f>"0Kalibrierung!$E$8"</xm:f>
            <x14:dxf>
              <font>
                <color theme="0"/>
              </font>
              <fill>
                <patternFill>
                  <bgColor theme="5" tint="-0.499984740745262"/>
                </patternFill>
              </fill>
            </x14:dxf>
          </x14:cfRule>
          <x14:cfRule type="cellIs" priority="757" operator="between" id="{B4D56A8F-BEC4-4B58-A67D-9D4759B61BA4}">
            <xm:f>'Modell-Kalibrierung'!$C$6+1%</xm:f>
            <xm:f>"0Kalibrierung!$E$7"</xm:f>
            <x14:dxf>
              <fill>
                <patternFill>
                  <bgColor theme="5" tint="-0.24994659260841701"/>
                </patternFill>
              </fill>
            </x14:dxf>
          </x14:cfRule>
          <x14:cfRule type="cellIs" priority="758" operator="between" id="{B442BEC2-BF93-4AEB-B5D4-36A83B831B7F}">
            <xm:f>'Modell-Kalibrierung'!$C$5+1%</xm:f>
            <xm:f>"0Kalibrierung!$E$6"</xm:f>
            <x14:dxf>
              <fill>
                <patternFill>
                  <bgColor theme="5" tint="0.39994506668294322"/>
                </patternFill>
              </fill>
            </x14:dxf>
          </x14:cfRule>
          <x14:cfRule type="cellIs" priority="759" operator="between" id="{FC0CC4DC-9B47-4C42-B9B9-BE2893C8DD28}">
            <xm:f>'Modell-Kalibrierung'!$C$4+1%</xm:f>
            <xm:f>"0Kalibrierung!$E$5"</xm:f>
            <x14:dxf>
              <fill>
                <patternFill>
                  <bgColor theme="5" tint="0.59996337778862885"/>
                </patternFill>
              </fill>
            </x14:dxf>
          </x14:cfRule>
          <x14:cfRule type="cellIs" priority="760" operator="between" id="{8A4937EB-BDE8-42D4-95C9-B3B60ACF2AA6}">
            <xm:f>'Modell-Kalibrierung'!$C$3+1%</xm:f>
            <xm:f>'Modell-Kalibrierung'!$C$4</xm:f>
            <x14:dxf>
              <fill>
                <patternFill>
                  <bgColor theme="5" tint="0.79998168889431442"/>
                </patternFill>
              </fill>
            </x14:dxf>
          </x14:cfRule>
          <x14:cfRule type="cellIs" priority="761" operator="equal" id="{591322DF-CC77-4AE4-9298-3CF78D853464}">
            <xm:f>'Modell-Kalibrierung'!$C$3</xm:f>
            <x14:dxf>
              <fill>
                <patternFill>
                  <bgColor theme="0"/>
                </patternFill>
              </fill>
            </x14:dxf>
          </x14:cfRule>
          <xm:sqref>J63:J67</xm:sqref>
        </x14:conditionalFormatting>
        <x14:conditionalFormatting xmlns:xm="http://schemas.microsoft.com/office/excel/2006/main">
          <x14:cfRule type="cellIs" priority="750" operator="between" id="{92427159-FED7-4BF7-8BEA-BEE43293C71A}">
            <xm:f>'Modell-Kalibrierung'!$C$7+1%</xm:f>
            <xm:f>"0Kalibrierung!$E$8"</xm:f>
            <x14:dxf>
              <font>
                <color theme="0"/>
              </font>
              <fill>
                <patternFill>
                  <bgColor theme="5" tint="-0.499984740745262"/>
                </patternFill>
              </fill>
            </x14:dxf>
          </x14:cfRule>
          <x14:cfRule type="cellIs" priority="751" operator="between" id="{CF7D3474-14CA-49B5-9DC4-F030B0156A58}">
            <xm:f>'Modell-Kalibrierung'!$C$6+1%</xm:f>
            <xm:f>"0Kalibrierung!$E$7"</xm:f>
            <x14:dxf>
              <fill>
                <patternFill>
                  <bgColor theme="5" tint="-0.24994659260841701"/>
                </patternFill>
              </fill>
            </x14:dxf>
          </x14:cfRule>
          <x14:cfRule type="cellIs" priority="752" operator="between" id="{133817E1-D56A-4D10-A0F6-C4265877382E}">
            <xm:f>'Modell-Kalibrierung'!$C$5+1%</xm:f>
            <xm:f>"0Kalibrierung!$E$6"</xm:f>
            <x14:dxf>
              <fill>
                <patternFill>
                  <bgColor theme="5" tint="0.39994506668294322"/>
                </patternFill>
              </fill>
            </x14:dxf>
          </x14:cfRule>
          <x14:cfRule type="cellIs" priority="753" operator="between" id="{5FF7A4C5-93D6-49BF-B64C-D4EA06F5B0F3}">
            <xm:f>'Modell-Kalibrierung'!$C$4+1%</xm:f>
            <xm:f>"0Kalibrierung!$E$5"</xm:f>
            <x14:dxf>
              <fill>
                <patternFill>
                  <bgColor theme="5" tint="0.59996337778862885"/>
                </patternFill>
              </fill>
            </x14:dxf>
          </x14:cfRule>
          <x14:cfRule type="cellIs" priority="754" operator="between" id="{41672AAC-0091-48D5-9CD5-9FFEE1685369}">
            <xm:f>'Modell-Kalibrierung'!$C$3+1%</xm:f>
            <xm:f>'Modell-Kalibrierung'!$C$4</xm:f>
            <x14:dxf>
              <fill>
                <patternFill>
                  <bgColor theme="5" tint="0.79998168889431442"/>
                </patternFill>
              </fill>
            </x14:dxf>
          </x14:cfRule>
          <x14:cfRule type="cellIs" priority="755" operator="equal" id="{60671A0C-4A5C-4687-809D-B89901DC2F66}">
            <xm:f>'Modell-Kalibrierung'!$C$3</xm:f>
            <x14:dxf>
              <fill>
                <patternFill>
                  <bgColor theme="0"/>
                </patternFill>
              </fill>
            </x14:dxf>
          </x14:cfRule>
          <xm:sqref>J69:J73</xm:sqref>
        </x14:conditionalFormatting>
        <x14:conditionalFormatting xmlns:xm="http://schemas.microsoft.com/office/excel/2006/main">
          <x14:cfRule type="cellIs" priority="744" operator="between" id="{1B39F674-3628-4520-B33B-2D3407756AE4}">
            <xm:f>'Modell-Kalibrierung'!$C$7+1%</xm:f>
            <xm:f>"0Kalibrierung!$E$8"</xm:f>
            <x14:dxf>
              <font>
                <color theme="0"/>
              </font>
              <fill>
                <patternFill>
                  <bgColor theme="5" tint="-0.499984740745262"/>
                </patternFill>
              </fill>
            </x14:dxf>
          </x14:cfRule>
          <x14:cfRule type="cellIs" priority="745" operator="between" id="{2A57BE84-674A-48D2-B6A7-9B5B4E2D2238}">
            <xm:f>'Modell-Kalibrierung'!$C$6+1%</xm:f>
            <xm:f>"0Kalibrierung!$E$7"</xm:f>
            <x14:dxf>
              <fill>
                <patternFill>
                  <bgColor theme="5" tint="-0.24994659260841701"/>
                </patternFill>
              </fill>
            </x14:dxf>
          </x14:cfRule>
          <x14:cfRule type="cellIs" priority="746" operator="between" id="{3212354F-2143-467E-936C-964E202ADDB2}">
            <xm:f>'Modell-Kalibrierung'!$C$5+1%</xm:f>
            <xm:f>"0Kalibrierung!$E$6"</xm:f>
            <x14:dxf>
              <fill>
                <patternFill>
                  <bgColor theme="5" tint="0.39994506668294322"/>
                </patternFill>
              </fill>
            </x14:dxf>
          </x14:cfRule>
          <x14:cfRule type="cellIs" priority="747" operator="between" id="{46FC5D16-5358-4558-AA73-D1572A78FBC7}">
            <xm:f>'Modell-Kalibrierung'!$C$4+1%</xm:f>
            <xm:f>"0Kalibrierung!$E$5"</xm:f>
            <x14:dxf>
              <fill>
                <patternFill>
                  <bgColor theme="5" tint="0.59996337778862885"/>
                </patternFill>
              </fill>
            </x14:dxf>
          </x14:cfRule>
          <x14:cfRule type="cellIs" priority="748" operator="between" id="{EA79741D-2241-4D38-89E1-707192EC23BD}">
            <xm:f>'Modell-Kalibrierung'!$C$3+1%</xm:f>
            <xm:f>'Modell-Kalibrierung'!$C$4</xm:f>
            <x14:dxf>
              <fill>
                <patternFill>
                  <bgColor theme="5" tint="0.79998168889431442"/>
                </patternFill>
              </fill>
            </x14:dxf>
          </x14:cfRule>
          <x14:cfRule type="cellIs" priority="749" operator="equal" id="{DC80994F-56E0-4897-B636-E100705C7F30}">
            <xm:f>'Modell-Kalibrierung'!$C$3</xm:f>
            <x14:dxf>
              <fill>
                <patternFill>
                  <bgColor theme="0"/>
                </patternFill>
              </fill>
            </x14:dxf>
          </x14:cfRule>
          <xm:sqref>J75:J79</xm:sqref>
        </x14:conditionalFormatting>
        <x14:conditionalFormatting xmlns:xm="http://schemas.microsoft.com/office/excel/2006/main">
          <x14:cfRule type="cellIs" priority="738" operator="between" id="{78BD6438-C4FA-43F1-8D94-1A287ED963BE}">
            <xm:f>'Modell-Kalibrierung'!$C$7+1%</xm:f>
            <xm:f>"0Kalibrierung!$E$8"</xm:f>
            <x14:dxf>
              <font>
                <color theme="0"/>
              </font>
              <fill>
                <patternFill>
                  <bgColor theme="5" tint="-0.499984740745262"/>
                </patternFill>
              </fill>
            </x14:dxf>
          </x14:cfRule>
          <x14:cfRule type="cellIs" priority="739" operator="between" id="{EDB26344-FAAB-4375-A458-5791655643E1}">
            <xm:f>'Modell-Kalibrierung'!$C$6+1%</xm:f>
            <xm:f>"0Kalibrierung!$E$7"</xm:f>
            <x14:dxf>
              <fill>
                <patternFill>
                  <bgColor theme="5" tint="-0.24994659260841701"/>
                </patternFill>
              </fill>
            </x14:dxf>
          </x14:cfRule>
          <x14:cfRule type="cellIs" priority="740" operator="between" id="{F44B3B26-A2DB-4F6D-9C44-44A75D7D087B}">
            <xm:f>'Modell-Kalibrierung'!$C$5+1%</xm:f>
            <xm:f>"0Kalibrierung!$E$6"</xm:f>
            <x14:dxf>
              <fill>
                <patternFill>
                  <bgColor theme="5" tint="0.39994506668294322"/>
                </patternFill>
              </fill>
            </x14:dxf>
          </x14:cfRule>
          <x14:cfRule type="cellIs" priority="741" operator="between" id="{4355DC3C-B5E4-4421-AD66-10882CD47FB4}">
            <xm:f>'Modell-Kalibrierung'!$C$4+1%</xm:f>
            <xm:f>"0Kalibrierung!$E$5"</xm:f>
            <x14:dxf>
              <fill>
                <patternFill>
                  <bgColor theme="5" tint="0.59996337778862885"/>
                </patternFill>
              </fill>
            </x14:dxf>
          </x14:cfRule>
          <x14:cfRule type="cellIs" priority="742" operator="between" id="{E5AF9417-C80B-48DD-8C44-7106C3C3DAB6}">
            <xm:f>'Modell-Kalibrierung'!$C$3+1%</xm:f>
            <xm:f>'Modell-Kalibrierung'!$C$4</xm:f>
            <x14:dxf>
              <fill>
                <patternFill>
                  <bgColor theme="5" tint="0.79998168889431442"/>
                </patternFill>
              </fill>
            </x14:dxf>
          </x14:cfRule>
          <x14:cfRule type="cellIs" priority="743" operator="equal" id="{720D018B-D44D-4266-9EB9-3145373CD8FA}">
            <xm:f>'Modell-Kalibrierung'!$C$3</xm:f>
            <x14:dxf>
              <fill>
                <patternFill>
                  <bgColor theme="0"/>
                </patternFill>
              </fill>
            </x14:dxf>
          </x14:cfRule>
          <xm:sqref>J81:J85</xm:sqref>
        </x14:conditionalFormatting>
        <x14:conditionalFormatting xmlns:xm="http://schemas.microsoft.com/office/excel/2006/main">
          <x14:cfRule type="cellIs" priority="732" operator="between" id="{C46D4486-5825-4D2F-AD85-FFEC6E8048DA}">
            <xm:f>'Modell-Kalibrierung'!$C$7+1%</xm:f>
            <xm:f>"0Kalibrierung!$E$8"</xm:f>
            <x14:dxf>
              <font>
                <color theme="0"/>
              </font>
              <fill>
                <patternFill>
                  <bgColor theme="5" tint="-0.499984740745262"/>
                </patternFill>
              </fill>
            </x14:dxf>
          </x14:cfRule>
          <x14:cfRule type="cellIs" priority="733" operator="between" id="{CC2499D3-3741-4FBD-B47D-D1A98731BF25}">
            <xm:f>'Modell-Kalibrierung'!$C$6+1%</xm:f>
            <xm:f>"0Kalibrierung!$E$7"</xm:f>
            <x14:dxf>
              <fill>
                <patternFill>
                  <bgColor theme="5" tint="-0.24994659260841701"/>
                </patternFill>
              </fill>
            </x14:dxf>
          </x14:cfRule>
          <x14:cfRule type="cellIs" priority="734" operator="between" id="{99E2C46B-63DC-4CD0-8DBB-5076B0C3B8C9}">
            <xm:f>'Modell-Kalibrierung'!$C$5+1%</xm:f>
            <xm:f>"0Kalibrierung!$E$6"</xm:f>
            <x14:dxf>
              <fill>
                <patternFill>
                  <bgColor theme="5" tint="0.39994506668294322"/>
                </patternFill>
              </fill>
            </x14:dxf>
          </x14:cfRule>
          <x14:cfRule type="cellIs" priority="735" operator="between" id="{83D5C4A6-C1C1-4872-B2B3-F9B7EE584281}">
            <xm:f>'Modell-Kalibrierung'!$C$4+1%</xm:f>
            <xm:f>"0Kalibrierung!$E$5"</xm:f>
            <x14:dxf>
              <fill>
                <patternFill>
                  <bgColor theme="5" tint="0.59996337778862885"/>
                </patternFill>
              </fill>
            </x14:dxf>
          </x14:cfRule>
          <x14:cfRule type="cellIs" priority="736" operator="between" id="{D9849372-17DA-43E0-86B5-38F5193DAECE}">
            <xm:f>'Modell-Kalibrierung'!$C$3+1%</xm:f>
            <xm:f>'Modell-Kalibrierung'!$C$4</xm:f>
            <x14:dxf>
              <fill>
                <patternFill>
                  <bgColor theme="5" tint="0.79998168889431442"/>
                </patternFill>
              </fill>
            </x14:dxf>
          </x14:cfRule>
          <x14:cfRule type="cellIs" priority="737" operator="equal" id="{882D5581-5807-4E5A-A366-4D3C6113917D}">
            <xm:f>'Modell-Kalibrierung'!$C$3</xm:f>
            <x14:dxf>
              <fill>
                <patternFill>
                  <bgColor theme="0"/>
                </patternFill>
              </fill>
            </x14:dxf>
          </x14:cfRule>
          <xm:sqref>J87:J91</xm:sqref>
        </x14:conditionalFormatting>
        <x14:conditionalFormatting xmlns:xm="http://schemas.microsoft.com/office/excel/2006/main">
          <x14:cfRule type="cellIs" priority="726" operator="between" id="{B2068BE7-AB17-4A33-B52E-56D4384AF6FB}">
            <xm:f>'Modell-Kalibrierung'!$C$7+1%</xm:f>
            <xm:f>"0Kalibrierung!$E$8"</xm:f>
            <x14:dxf>
              <font>
                <color theme="0"/>
              </font>
              <fill>
                <patternFill>
                  <bgColor theme="5" tint="-0.499984740745262"/>
                </patternFill>
              </fill>
            </x14:dxf>
          </x14:cfRule>
          <x14:cfRule type="cellIs" priority="727" operator="between" id="{B7C2EB0C-F0AB-409E-AB6E-D08ABEFCD815}">
            <xm:f>'Modell-Kalibrierung'!$C$6+1%</xm:f>
            <xm:f>"0Kalibrierung!$E$7"</xm:f>
            <x14:dxf>
              <fill>
                <patternFill>
                  <bgColor theme="5" tint="-0.24994659260841701"/>
                </patternFill>
              </fill>
            </x14:dxf>
          </x14:cfRule>
          <x14:cfRule type="cellIs" priority="728" operator="between" id="{9631C635-C5F1-4799-A767-DFC63848FB44}">
            <xm:f>'Modell-Kalibrierung'!$C$5+1%</xm:f>
            <xm:f>"0Kalibrierung!$E$6"</xm:f>
            <x14:dxf>
              <fill>
                <patternFill>
                  <bgColor theme="5" tint="0.39994506668294322"/>
                </patternFill>
              </fill>
            </x14:dxf>
          </x14:cfRule>
          <x14:cfRule type="cellIs" priority="729" operator="between" id="{D2AE17BC-946A-4E44-8902-7A1645C4E8C7}">
            <xm:f>'Modell-Kalibrierung'!$C$4+1%</xm:f>
            <xm:f>"0Kalibrierung!$E$5"</xm:f>
            <x14:dxf>
              <fill>
                <patternFill>
                  <bgColor theme="5" tint="0.59996337778862885"/>
                </patternFill>
              </fill>
            </x14:dxf>
          </x14:cfRule>
          <x14:cfRule type="cellIs" priority="730" operator="between" id="{AB089F97-3361-4077-A674-B4BB6C5891FB}">
            <xm:f>'Modell-Kalibrierung'!$C$3+1%</xm:f>
            <xm:f>'Modell-Kalibrierung'!$C$4</xm:f>
            <x14:dxf>
              <fill>
                <patternFill>
                  <bgColor theme="5" tint="0.79998168889431442"/>
                </patternFill>
              </fill>
            </x14:dxf>
          </x14:cfRule>
          <x14:cfRule type="cellIs" priority="731" operator="equal" id="{1B789CE6-1A4A-485F-A928-4CFA427ED379}">
            <xm:f>'Modell-Kalibrierung'!$C$3</xm:f>
            <x14:dxf>
              <fill>
                <patternFill>
                  <bgColor theme="0"/>
                </patternFill>
              </fill>
            </x14:dxf>
          </x14:cfRule>
          <xm:sqref>J93:J97</xm:sqref>
        </x14:conditionalFormatting>
        <x14:conditionalFormatting xmlns:xm="http://schemas.microsoft.com/office/excel/2006/main">
          <x14:cfRule type="cellIs" priority="720" operator="between" id="{ADD2E0CD-FF06-4D2E-B70D-8BCCCA30EC52}">
            <xm:f>'Modell-Kalibrierung'!$C$7+1%</xm:f>
            <xm:f>"0Kalibrierung!$E$8"</xm:f>
            <x14:dxf>
              <font>
                <color theme="0"/>
              </font>
              <fill>
                <patternFill>
                  <bgColor theme="5" tint="-0.499984740745262"/>
                </patternFill>
              </fill>
            </x14:dxf>
          </x14:cfRule>
          <x14:cfRule type="cellIs" priority="721" operator="between" id="{08EEE88C-15AB-4441-83D6-BA7D4E455AA0}">
            <xm:f>'Modell-Kalibrierung'!$C$6+1%</xm:f>
            <xm:f>"0Kalibrierung!$E$7"</xm:f>
            <x14:dxf>
              <fill>
                <patternFill>
                  <bgColor theme="5" tint="-0.24994659260841701"/>
                </patternFill>
              </fill>
            </x14:dxf>
          </x14:cfRule>
          <x14:cfRule type="cellIs" priority="722" operator="between" id="{9518350A-FAD4-4045-8EDC-C62C23C9023B}">
            <xm:f>'Modell-Kalibrierung'!$C$5+1%</xm:f>
            <xm:f>"0Kalibrierung!$E$6"</xm:f>
            <x14:dxf>
              <fill>
                <patternFill>
                  <bgColor theme="5" tint="0.39994506668294322"/>
                </patternFill>
              </fill>
            </x14:dxf>
          </x14:cfRule>
          <x14:cfRule type="cellIs" priority="723" operator="between" id="{0E08E8B3-9882-46FC-9A75-2CB281F20541}">
            <xm:f>'Modell-Kalibrierung'!$C$4+1%</xm:f>
            <xm:f>"0Kalibrierung!$E$5"</xm:f>
            <x14:dxf>
              <fill>
                <patternFill>
                  <bgColor theme="5" tint="0.59996337778862885"/>
                </patternFill>
              </fill>
            </x14:dxf>
          </x14:cfRule>
          <x14:cfRule type="cellIs" priority="724" operator="between" id="{4CE95434-65D9-42D4-8B34-B7291F50FB02}">
            <xm:f>'Modell-Kalibrierung'!$C$3+1%</xm:f>
            <xm:f>'Modell-Kalibrierung'!$C$4</xm:f>
            <x14:dxf>
              <fill>
                <patternFill>
                  <bgColor theme="5" tint="0.79998168889431442"/>
                </patternFill>
              </fill>
            </x14:dxf>
          </x14:cfRule>
          <x14:cfRule type="cellIs" priority="725" operator="equal" id="{41567B24-CDF2-4C78-9830-46FDC66B3578}">
            <xm:f>'Modell-Kalibrierung'!$C$3</xm:f>
            <x14:dxf>
              <fill>
                <patternFill>
                  <bgColor theme="0"/>
                </patternFill>
              </fill>
            </x14:dxf>
          </x14:cfRule>
          <xm:sqref>J99:J103</xm:sqref>
        </x14:conditionalFormatting>
        <x14:conditionalFormatting xmlns:xm="http://schemas.microsoft.com/office/excel/2006/main">
          <x14:cfRule type="cellIs" priority="714" operator="between" id="{5B28613D-99A6-4C83-AD32-E18880DAFEB2}">
            <xm:f>'Modell-Kalibrierung'!$C$7+1%</xm:f>
            <xm:f>"0Kalibrierung!$E$8"</xm:f>
            <x14:dxf>
              <font>
                <color theme="0"/>
              </font>
              <fill>
                <patternFill>
                  <bgColor theme="5" tint="-0.499984740745262"/>
                </patternFill>
              </fill>
            </x14:dxf>
          </x14:cfRule>
          <x14:cfRule type="cellIs" priority="715" operator="between" id="{0151A6FA-3542-417E-B862-1DF23D2B7FE3}">
            <xm:f>'Modell-Kalibrierung'!$C$6+1%</xm:f>
            <xm:f>"0Kalibrierung!$E$7"</xm:f>
            <x14:dxf>
              <fill>
                <patternFill>
                  <bgColor theme="5" tint="-0.24994659260841701"/>
                </patternFill>
              </fill>
            </x14:dxf>
          </x14:cfRule>
          <x14:cfRule type="cellIs" priority="716" operator="between" id="{5AEB7983-8985-461D-A46B-F8827E0C40EF}">
            <xm:f>'Modell-Kalibrierung'!$C$5+1%</xm:f>
            <xm:f>"0Kalibrierung!$E$6"</xm:f>
            <x14:dxf>
              <fill>
                <patternFill>
                  <bgColor theme="5" tint="0.39994506668294322"/>
                </patternFill>
              </fill>
            </x14:dxf>
          </x14:cfRule>
          <x14:cfRule type="cellIs" priority="717" operator="between" id="{C4E97F84-225D-45CD-9203-9D1C57F90C3E}">
            <xm:f>'Modell-Kalibrierung'!$C$4+1%</xm:f>
            <xm:f>"0Kalibrierung!$E$5"</xm:f>
            <x14:dxf>
              <fill>
                <patternFill>
                  <bgColor theme="5" tint="0.59996337778862885"/>
                </patternFill>
              </fill>
            </x14:dxf>
          </x14:cfRule>
          <x14:cfRule type="cellIs" priority="718" operator="between" id="{193618D5-558C-44BE-A018-865C4E244CCF}">
            <xm:f>'Modell-Kalibrierung'!$C$3+1%</xm:f>
            <xm:f>'Modell-Kalibrierung'!$C$4</xm:f>
            <x14:dxf>
              <fill>
                <patternFill>
                  <bgColor theme="5" tint="0.79998168889431442"/>
                </patternFill>
              </fill>
            </x14:dxf>
          </x14:cfRule>
          <x14:cfRule type="cellIs" priority="719" operator="equal" id="{BB176FDE-BECB-4479-9601-7445D042292B}">
            <xm:f>'Modell-Kalibrierung'!$C$3</xm:f>
            <x14:dxf>
              <fill>
                <patternFill>
                  <bgColor theme="0"/>
                </patternFill>
              </fill>
            </x14:dxf>
          </x14:cfRule>
          <xm:sqref>J105:J109</xm:sqref>
        </x14:conditionalFormatting>
        <x14:conditionalFormatting xmlns:xm="http://schemas.microsoft.com/office/excel/2006/main">
          <x14:cfRule type="cellIs" priority="708" operator="between" id="{E533AC43-6456-4C0A-9309-963D6310197B}">
            <xm:f>'Modell-Kalibrierung'!$C$7+1%</xm:f>
            <xm:f>"0Kalibrierung!$E$8"</xm:f>
            <x14:dxf>
              <font>
                <color theme="0"/>
              </font>
              <fill>
                <patternFill>
                  <bgColor theme="5" tint="-0.499984740745262"/>
                </patternFill>
              </fill>
            </x14:dxf>
          </x14:cfRule>
          <x14:cfRule type="cellIs" priority="709" operator="between" id="{B2238F02-41DE-4045-87CA-859E33D3B867}">
            <xm:f>'Modell-Kalibrierung'!$C$6+1%</xm:f>
            <xm:f>"0Kalibrierung!$E$7"</xm:f>
            <x14:dxf>
              <fill>
                <patternFill>
                  <bgColor theme="5" tint="-0.24994659260841701"/>
                </patternFill>
              </fill>
            </x14:dxf>
          </x14:cfRule>
          <x14:cfRule type="cellIs" priority="710" operator="between" id="{CACD6249-D5CF-4CC6-BDFA-747B06269A39}">
            <xm:f>'Modell-Kalibrierung'!$C$5+1%</xm:f>
            <xm:f>"0Kalibrierung!$E$6"</xm:f>
            <x14:dxf>
              <fill>
                <patternFill>
                  <bgColor theme="5" tint="0.39994506668294322"/>
                </patternFill>
              </fill>
            </x14:dxf>
          </x14:cfRule>
          <x14:cfRule type="cellIs" priority="711" operator="between" id="{AE517C25-0647-411E-B35E-7819497F72AF}">
            <xm:f>'Modell-Kalibrierung'!$C$4+1%</xm:f>
            <xm:f>"0Kalibrierung!$E$5"</xm:f>
            <x14:dxf>
              <fill>
                <patternFill>
                  <bgColor theme="5" tint="0.59996337778862885"/>
                </patternFill>
              </fill>
            </x14:dxf>
          </x14:cfRule>
          <x14:cfRule type="cellIs" priority="712" operator="between" id="{DE500EC5-1F25-4660-B340-4B922B4E0FDC}">
            <xm:f>'Modell-Kalibrierung'!$C$3+1%</xm:f>
            <xm:f>'Modell-Kalibrierung'!$C$4</xm:f>
            <x14:dxf>
              <fill>
                <patternFill>
                  <bgColor theme="5" tint="0.79998168889431442"/>
                </patternFill>
              </fill>
            </x14:dxf>
          </x14:cfRule>
          <x14:cfRule type="cellIs" priority="713" operator="equal" id="{3E33D260-1234-4940-894E-E6634E3B3C95}">
            <xm:f>'Modell-Kalibrierung'!$C$3</xm:f>
            <x14:dxf>
              <fill>
                <patternFill>
                  <bgColor theme="0"/>
                </patternFill>
              </fill>
            </x14:dxf>
          </x14:cfRule>
          <xm:sqref>J111:J115</xm:sqref>
        </x14:conditionalFormatting>
        <x14:conditionalFormatting xmlns:xm="http://schemas.microsoft.com/office/excel/2006/main">
          <x14:cfRule type="cellIs" priority="702" operator="between" id="{0FE6D61B-CFE6-4031-876B-5A546B120E4D}">
            <xm:f>'Modell-Kalibrierung'!$C$7+1%</xm:f>
            <xm:f>"0Kalibrierung!$E$8"</xm:f>
            <x14:dxf>
              <font>
                <color theme="0"/>
              </font>
              <fill>
                <patternFill>
                  <bgColor theme="5" tint="-0.499984740745262"/>
                </patternFill>
              </fill>
            </x14:dxf>
          </x14:cfRule>
          <x14:cfRule type="cellIs" priority="703" operator="between" id="{0F732134-D2B2-4BE2-881F-39C9D0E284A2}">
            <xm:f>'Modell-Kalibrierung'!$C$6+1%</xm:f>
            <xm:f>"0Kalibrierung!$E$7"</xm:f>
            <x14:dxf>
              <fill>
                <patternFill>
                  <bgColor theme="5" tint="-0.24994659260841701"/>
                </patternFill>
              </fill>
            </x14:dxf>
          </x14:cfRule>
          <x14:cfRule type="cellIs" priority="704" operator="between" id="{5D8F2FAD-9344-472F-8B85-39B958836043}">
            <xm:f>'Modell-Kalibrierung'!$C$5+1%</xm:f>
            <xm:f>"0Kalibrierung!$E$6"</xm:f>
            <x14:dxf>
              <fill>
                <patternFill>
                  <bgColor theme="5" tint="0.39994506668294322"/>
                </patternFill>
              </fill>
            </x14:dxf>
          </x14:cfRule>
          <x14:cfRule type="cellIs" priority="705" operator="between" id="{DB688768-DBFF-4378-89F8-2E7810215D4A}">
            <xm:f>'Modell-Kalibrierung'!$C$4+1%</xm:f>
            <xm:f>"0Kalibrierung!$E$5"</xm:f>
            <x14:dxf>
              <fill>
                <patternFill>
                  <bgColor theme="5" tint="0.59996337778862885"/>
                </patternFill>
              </fill>
            </x14:dxf>
          </x14:cfRule>
          <x14:cfRule type="cellIs" priority="706" operator="between" id="{137E493C-07A8-4BA0-A54A-36D8FA185D21}">
            <xm:f>'Modell-Kalibrierung'!$C$3+1%</xm:f>
            <xm:f>'Modell-Kalibrierung'!$C$4</xm:f>
            <x14:dxf>
              <fill>
                <patternFill>
                  <bgColor theme="5" tint="0.79998168889431442"/>
                </patternFill>
              </fill>
            </x14:dxf>
          </x14:cfRule>
          <x14:cfRule type="cellIs" priority="707" operator="equal" id="{4901F2A5-A82D-4F01-8B2C-D64D9B91D8F1}">
            <xm:f>'Modell-Kalibrierung'!$C$3</xm:f>
            <x14:dxf>
              <fill>
                <patternFill>
                  <bgColor theme="0"/>
                </patternFill>
              </fill>
            </x14:dxf>
          </x14:cfRule>
          <xm:sqref>J117:J121</xm:sqref>
        </x14:conditionalFormatting>
        <x14:conditionalFormatting xmlns:xm="http://schemas.microsoft.com/office/excel/2006/main">
          <x14:cfRule type="cellIs" priority="563" operator="equal" id="{424F8E70-E008-4294-BAD0-F3C154C7B55E}">
            <xm:f>'Modell-Kalibrierung'!$B$16</xm:f>
            <x14:dxf>
              <fill>
                <patternFill>
                  <bgColor theme="0"/>
                </patternFill>
              </fill>
            </x14:dxf>
          </x14:cfRule>
          <xm:sqref>I42:I43</xm:sqref>
        </x14:conditionalFormatting>
        <x14:conditionalFormatting xmlns:xm="http://schemas.microsoft.com/office/excel/2006/main">
          <x14:cfRule type="cellIs" priority="556" operator="equal" id="{B969EE70-543B-4146-95E7-CF6DB18BF8DC}">
            <xm:f>'Modell-Kalibrierung'!$B$16</xm:f>
            <x14:dxf>
              <fill>
                <patternFill>
                  <bgColor theme="0"/>
                </patternFill>
              </fill>
            </x14:dxf>
          </x14:cfRule>
          <xm:sqref>I39:I41</xm:sqref>
        </x14:conditionalFormatting>
        <x14:conditionalFormatting xmlns:xm="http://schemas.microsoft.com/office/excel/2006/main">
          <x14:cfRule type="cellIs" priority="549" operator="equal" id="{0CFECC73-F97E-43EA-A4DE-DD24ACBCF038}">
            <xm:f>'Modell-Kalibrierung'!$B$16</xm:f>
            <x14:dxf>
              <fill>
                <patternFill>
                  <bgColor theme="0"/>
                </patternFill>
              </fill>
            </x14:dxf>
          </x14:cfRule>
          <xm:sqref>I66:I67</xm:sqref>
        </x14:conditionalFormatting>
        <x14:conditionalFormatting xmlns:xm="http://schemas.microsoft.com/office/excel/2006/main">
          <x14:cfRule type="cellIs" priority="542" operator="equal" id="{1F6EE546-248F-4968-8C39-D7FA17AE1FA9}">
            <xm:f>'Modell-Kalibrierung'!$B$16</xm:f>
            <x14:dxf>
              <fill>
                <patternFill>
                  <bgColor theme="0"/>
                </patternFill>
              </fill>
            </x14:dxf>
          </x14:cfRule>
          <xm:sqref>I63:I65</xm:sqref>
        </x14:conditionalFormatting>
        <x14:conditionalFormatting xmlns:xm="http://schemas.microsoft.com/office/excel/2006/main">
          <x14:cfRule type="cellIs" priority="535" operator="equal" id="{1E28E7BB-D757-4037-8F09-9198D95081A2}">
            <xm:f>'Modell-Kalibrierung'!$B$16</xm:f>
            <x14:dxf>
              <fill>
                <patternFill>
                  <bgColor theme="0"/>
                </patternFill>
              </fill>
            </x14:dxf>
          </x14:cfRule>
          <xm:sqref>I72:I73</xm:sqref>
        </x14:conditionalFormatting>
        <x14:conditionalFormatting xmlns:xm="http://schemas.microsoft.com/office/excel/2006/main">
          <x14:cfRule type="cellIs" priority="528" operator="equal" id="{CEE048FD-048C-4DB2-B1DE-DFD73C5DE73E}">
            <xm:f>'Modell-Kalibrierung'!$B$16</xm:f>
            <x14:dxf>
              <fill>
                <patternFill>
                  <bgColor theme="0"/>
                </patternFill>
              </fill>
            </x14:dxf>
          </x14:cfRule>
          <xm:sqref>I69:I71</xm:sqref>
        </x14:conditionalFormatting>
        <x14:conditionalFormatting xmlns:xm="http://schemas.microsoft.com/office/excel/2006/main">
          <x14:cfRule type="cellIs" priority="521" operator="equal" id="{003C4E54-785C-4827-82FE-A7FDEBBE1DF9}">
            <xm:f>'Modell-Kalibrierung'!$B$16</xm:f>
            <x14:dxf>
              <fill>
                <patternFill>
                  <bgColor theme="0"/>
                </patternFill>
              </fill>
            </x14:dxf>
          </x14:cfRule>
          <xm:sqref>I78:I79</xm:sqref>
        </x14:conditionalFormatting>
        <x14:conditionalFormatting xmlns:xm="http://schemas.microsoft.com/office/excel/2006/main">
          <x14:cfRule type="cellIs" priority="514" operator="equal" id="{5383B374-757B-4179-9E21-23C55C014ABA}">
            <xm:f>'Modell-Kalibrierung'!$B$16</xm:f>
            <x14:dxf>
              <fill>
                <patternFill>
                  <bgColor theme="0"/>
                </patternFill>
              </fill>
            </x14:dxf>
          </x14:cfRule>
          <xm:sqref>I75:I77</xm:sqref>
        </x14:conditionalFormatting>
        <x14:conditionalFormatting xmlns:xm="http://schemas.microsoft.com/office/excel/2006/main">
          <x14:cfRule type="cellIs" priority="507" operator="equal" id="{954A291D-AC24-4A53-9E66-9F8641A4B018}">
            <xm:f>'Modell-Kalibrierung'!$B$16</xm:f>
            <x14:dxf>
              <fill>
                <patternFill>
                  <bgColor theme="0"/>
                </patternFill>
              </fill>
            </x14:dxf>
          </x14:cfRule>
          <xm:sqref>I84:I85</xm:sqref>
        </x14:conditionalFormatting>
        <x14:conditionalFormatting xmlns:xm="http://schemas.microsoft.com/office/excel/2006/main">
          <x14:cfRule type="cellIs" priority="500" operator="equal" id="{E3FB2983-3BBE-45D1-BB40-67F5F6730048}">
            <xm:f>'Modell-Kalibrierung'!$B$16</xm:f>
            <x14:dxf>
              <fill>
                <patternFill>
                  <bgColor theme="0"/>
                </patternFill>
              </fill>
            </x14:dxf>
          </x14:cfRule>
          <xm:sqref>I81:I83</xm:sqref>
        </x14:conditionalFormatting>
        <x14:conditionalFormatting xmlns:xm="http://schemas.microsoft.com/office/excel/2006/main">
          <x14:cfRule type="cellIs" priority="493" operator="equal" id="{9998A495-F9CC-4130-98CB-C2D0FDC95C26}">
            <xm:f>'Modell-Kalibrierung'!$B$16</xm:f>
            <x14:dxf>
              <fill>
                <patternFill>
                  <bgColor theme="0"/>
                </patternFill>
              </fill>
            </x14:dxf>
          </x14:cfRule>
          <xm:sqref>I90:I91</xm:sqref>
        </x14:conditionalFormatting>
        <x14:conditionalFormatting xmlns:xm="http://schemas.microsoft.com/office/excel/2006/main">
          <x14:cfRule type="cellIs" priority="486" operator="equal" id="{E6CCDDAB-2F94-4D37-8B60-8A05D6281085}">
            <xm:f>'Modell-Kalibrierung'!$B$16</xm:f>
            <x14:dxf>
              <fill>
                <patternFill>
                  <bgColor theme="0"/>
                </patternFill>
              </fill>
            </x14:dxf>
          </x14:cfRule>
          <xm:sqref>I87:I89</xm:sqref>
        </x14:conditionalFormatting>
        <x14:conditionalFormatting xmlns:xm="http://schemas.microsoft.com/office/excel/2006/main">
          <x14:cfRule type="cellIs" priority="479" operator="equal" id="{7D3C6BC2-532D-4DBE-A7AB-4A2DBF866277}">
            <xm:f>'Modell-Kalibrierung'!$B$16</xm:f>
            <x14:dxf>
              <fill>
                <patternFill>
                  <bgColor theme="0"/>
                </patternFill>
              </fill>
            </x14:dxf>
          </x14:cfRule>
          <xm:sqref>I96:I97</xm:sqref>
        </x14:conditionalFormatting>
        <x14:conditionalFormatting xmlns:xm="http://schemas.microsoft.com/office/excel/2006/main">
          <x14:cfRule type="cellIs" priority="472" operator="equal" id="{905F1B46-0DC7-4586-9055-0C2367BAAABA}">
            <xm:f>'Modell-Kalibrierung'!$B$16</xm:f>
            <x14:dxf>
              <fill>
                <patternFill>
                  <bgColor theme="0"/>
                </patternFill>
              </fill>
            </x14:dxf>
          </x14:cfRule>
          <xm:sqref>I93:I95</xm:sqref>
        </x14:conditionalFormatting>
        <x14:conditionalFormatting xmlns:xm="http://schemas.microsoft.com/office/excel/2006/main">
          <x14:cfRule type="cellIs" priority="465" operator="equal" id="{E472BCAE-0FEE-4DBB-BCF8-A6CB2A4B272C}">
            <xm:f>'Modell-Kalibrierung'!$B$16</xm:f>
            <x14:dxf>
              <fill>
                <patternFill>
                  <bgColor theme="0"/>
                </patternFill>
              </fill>
            </x14:dxf>
          </x14:cfRule>
          <xm:sqref>I102:I103</xm:sqref>
        </x14:conditionalFormatting>
        <x14:conditionalFormatting xmlns:xm="http://schemas.microsoft.com/office/excel/2006/main">
          <x14:cfRule type="cellIs" priority="458" operator="equal" id="{E09654C0-494B-4556-86EE-17FD5F8DE404}">
            <xm:f>'Modell-Kalibrierung'!$B$16</xm:f>
            <x14:dxf>
              <fill>
                <patternFill>
                  <bgColor theme="0"/>
                </patternFill>
              </fill>
            </x14:dxf>
          </x14:cfRule>
          <xm:sqref>I99:I101</xm:sqref>
        </x14:conditionalFormatting>
        <x14:conditionalFormatting xmlns:xm="http://schemas.microsoft.com/office/excel/2006/main">
          <x14:cfRule type="cellIs" priority="451" operator="equal" id="{5B5A6FBA-9411-4AF5-B304-E3E71FEDFD02}">
            <xm:f>'Modell-Kalibrierung'!$B$16</xm:f>
            <x14:dxf>
              <fill>
                <patternFill>
                  <bgColor theme="0"/>
                </patternFill>
              </fill>
            </x14:dxf>
          </x14:cfRule>
          <xm:sqref>I108:I109</xm:sqref>
        </x14:conditionalFormatting>
        <x14:conditionalFormatting xmlns:xm="http://schemas.microsoft.com/office/excel/2006/main">
          <x14:cfRule type="cellIs" priority="444" operator="equal" id="{58120228-FD67-4D09-BEED-D083AC53DE50}">
            <xm:f>'Modell-Kalibrierung'!$B$16</xm:f>
            <x14:dxf>
              <fill>
                <patternFill>
                  <bgColor theme="0"/>
                </patternFill>
              </fill>
            </x14:dxf>
          </x14:cfRule>
          <xm:sqref>I105:I107</xm:sqref>
        </x14:conditionalFormatting>
        <x14:conditionalFormatting xmlns:xm="http://schemas.microsoft.com/office/excel/2006/main">
          <x14:cfRule type="cellIs" priority="437" operator="equal" id="{E3A3C5DF-51BB-44A8-9177-F60798AA3116}">
            <xm:f>'Modell-Kalibrierung'!$B$16</xm:f>
            <x14:dxf>
              <fill>
                <patternFill>
                  <bgColor theme="0"/>
                </patternFill>
              </fill>
            </x14:dxf>
          </x14:cfRule>
          <xm:sqref>I114:I115</xm:sqref>
        </x14:conditionalFormatting>
        <x14:conditionalFormatting xmlns:xm="http://schemas.microsoft.com/office/excel/2006/main">
          <x14:cfRule type="cellIs" priority="430" operator="equal" id="{E8FF6857-EDB5-460E-9705-608AE4C3F1FF}">
            <xm:f>'Modell-Kalibrierung'!$B$16</xm:f>
            <x14:dxf>
              <fill>
                <patternFill>
                  <bgColor theme="0"/>
                </patternFill>
              </fill>
            </x14:dxf>
          </x14:cfRule>
          <xm:sqref>I111:I113</xm:sqref>
        </x14:conditionalFormatting>
        <x14:conditionalFormatting xmlns:xm="http://schemas.microsoft.com/office/excel/2006/main">
          <x14:cfRule type="cellIs" priority="423" operator="equal" id="{BC47E708-6488-484C-9157-0AAACC3B0AF7}">
            <xm:f>'Modell-Kalibrierung'!$B$16</xm:f>
            <x14:dxf>
              <fill>
                <patternFill>
                  <bgColor theme="0"/>
                </patternFill>
              </fill>
            </x14:dxf>
          </x14:cfRule>
          <xm:sqref>I120:I121</xm:sqref>
        </x14:conditionalFormatting>
        <x14:conditionalFormatting xmlns:xm="http://schemas.microsoft.com/office/excel/2006/main">
          <x14:cfRule type="cellIs" priority="416" operator="equal" id="{7C270833-23DB-4213-A1A8-D594C2FBA500}">
            <xm:f>'Modell-Kalibrierung'!$B$16</xm:f>
            <x14:dxf>
              <fill>
                <patternFill>
                  <bgColor theme="0"/>
                </patternFill>
              </fill>
            </x14:dxf>
          </x14:cfRule>
          <xm:sqref>I117:I119</xm:sqref>
        </x14:conditionalFormatting>
        <x14:conditionalFormatting xmlns:xm="http://schemas.microsoft.com/office/excel/2006/main">
          <x14:cfRule type="cellIs" priority="409" operator="equal" id="{DBCEDD37-1827-4414-91E1-F154D740D4CF}">
            <xm:f>'Modell-Kalibrierung'!$B$16</xm:f>
            <x14:dxf>
              <fill>
                <patternFill>
                  <bgColor theme="0"/>
                </patternFill>
              </fill>
            </x14:dxf>
          </x14:cfRule>
          <xm:sqref>G42:G43</xm:sqref>
        </x14:conditionalFormatting>
        <x14:conditionalFormatting xmlns:xm="http://schemas.microsoft.com/office/excel/2006/main">
          <x14:cfRule type="cellIs" priority="402" operator="equal" id="{1BE643A8-D7A1-44ED-8BB9-AD161A3D0A64}">
            <xm:f>'Modell-Kalibrierung'!$B$16</xm:f>
            <x14:dxf>
              <fill>
                <patternFill>
                  <bgColor theme="0"/>
                </patternFill>
              </fill>
            </x14:dxf>
          </x14:cfRule>
          <xm:sqref>G39:G41</xm:sqref>
        </x14:conditionalFormatting>
        <x14:conditionalFormatting xmlns:xm="http://schemas.microsoft.com/office/excel/2006/main">
          <x14:cfRule type="cellIs" priority="395" operator="equal" id="{5F1FA79B-566F-4F26-A94F-0EAEAC2583B9}">
            <xm:f>'Modell-Kalibrierung'!$B$16</xm:f>
            <x14:dxf>
              <fill>
                <patternFill>
                  <bgColor theme="0"/>
                </patternFill>
              </fill>
            </x14:dxf>
          </x14:cfRule>
          <xm:sqref>G66:G67</xm:sqref>
        </x14:conditionalFormatting>
        <x14:conditionalFormatting xmlns:xm="http://schemas.microsoft.com/office/excel/2006/main">
          <x14:cfRule type="cellIs" priority="388" operator="equal" id="{A3208A94-F73C-4D40-9E7E-9572F618586D}">
            <xm:f>'Modell-Kalibrierung'!$B$16</xm:f>
            <x14:dxf>
              <fill>
                <patternFill>
                  <bgColor theme="0"/>
                </patternFill>
              </fill>
            </x14:dxf>
          </x14:cfRule>
          <xm:sqref>G63:G65</xm:sqref>
        </x14:conditionalFormatting>
        <x14:conditionalFormatting xmlns:xm="http://schemas.microsoft.com/office/excel/2006/main">
          <x14:cfRule type="cellIs" priority="381" operator="equal" id="{5A9981FD-8453-4BCC-AAEC-99AA0AC9707E}">
            <xm:f>'Modell-Kalibrierung'!$B$16</xm:f>
            <x14:dxf>
              <fill>
                <patternFill>
                  <bgColor theme="0"/>
                </patternFill>
              </fill>
            </x14:dxf>
          </x14:cfRule>
          <xm:sqref>G72:G73</xm:sqref>
        </x14:conditionalFormatting>
        <x14:conditionalFormatting xmlns:xm="http://schemas.microsoft.com/office/excel/2006/main">
          <x14:cfRule type="cellIs" priority="374" operator="equal" id="{9924BF19-68C3-4905-9978-2AD3F4DBAF1A}">
            <xm:f>'Modell-Kalibrierung'!$B$16</xm:f>
            <x14:dxf>
              <fill>
                <patternFill>
                  <bgColor theme="0"/>
                </patternFill>
              </fill>
            </x14:dxf>
          </x14:cfRule>
          <xm:sqref>G69:G71</xm:sqref>
        </x14:conditionalFormatting>
        <x14:conditionalFormatting xmlns:xm="http://schemas.microsoft.com/office/excel/2006/main">
          <x14:cfRule type="cellIs" priority="367" operator="equal" id="{F6F697B3-533F-4AEE-BE78-DEAA07B672C0}">
            <xm:f>'Modell-Kalibrierung'!$B$16</xm:f>
            <x14:dxf>
              <fill>
                <patternFill>
                  <bgColor theme="0"/>
                </patternFill>
              </fill>
            </x14:dxf>
          </x14:cfRule>
          <xm:sqref>G78:G79</xm:sqref>
        </x14:conditionalFormatting>
        <x14:conditionalFormatting xmlns:xm="http://schemas.microsoft.com/office/excel/2006/main">
          <x14:cfRule type="cellIs" priority="360" operator="equal" id="{EDA4A947-518D-4E45-8685-8BE77A10FC4E}">
            <xm:f>'Modell-Kalibrierung'!$B$16</xm:f>
            <x14:dxf>
              <fill>
                <patternFill>
                  <bgColor theme="0"/>
                </patternFill>
              </fill>
            </x14:dxf>
          </x14:cfRule>
          <xm:sqref>G75:G77</xm:sqref>
        </x14:conditionalFormatting>
        <x14:conditionalFormatting xmlns:xm="http://schemas.microsoft.com/office/excel/2006/main">
          <x14:cfRule type="cellIs" priority="353" operator="equal" id="{07BBF103-8BC2-4799-8234-E06BF6F1AD5E}">
            <xm:f>'Modell-Kalibrierung'!$B$16</xm:f>
            <x14:dxf>
              <fill>
                <patternFill>
                  <bgColor theme="0"/>
                </patternFill>
              </fill>
            </x14:dxf>
          </x14:cfRule>
          <xm:sqref>G84:G85</xm:sqref>
        </x14:conditionalFormatting>
        <x14:conditionalFormatting xmlns:xm="http://schemas.microsoft.com/office/excel/2006/main">
          <x14:cfRule type="cellIs" priority="346" operator="equal" id="{CA29C8B5-E410-48BB-BA79-CDC73A090436}">
            <xm:f>'Modell-Kalibrierung'!$B$16</xm:f>
            <x14:dxf>
              <fill>
                <patternFill>
                  <bgColor theme="0"/>
                </patternFill>
              </fill>
            </x14:dxf>
          </x14:cfRule>
          <xm:sqref>G81:G83</xm:sqref>
        </x14:conditionalFormatting>
        <x14:conditionalFormatting xmlns:xm="http://schemas.microsoft.com/office/excel/2006/main">
          <x14:cfRule type="cellIs" priority="339" operator="equal" id="{4432CB1A-A688-4BB7-A4B3-5D4D5E998882}">
            <xm:f>'Modell-Kalibrierung'!$B$16</xm:f>
            <x14:dxf>
              <fill>
                <patternFill>
                  <bgColor theme="0"/>
                </patternFill>
              </fill>
            </x14:dxf>
          </x14:cfRule>
          <xm:sqref>G90:G91</xm:sqref>
        </x14:conditionalFormatting>
        <x14:conditionalFormatting xmlns:xm="http://schemas.microsoft.com/office/excel/2006/main">
          <x14:cfRule type="cellIs" priority="332" operator="equal" id="{7451C75E-0592-47F4-9355-AA9548CA81C4}">
            <xm:f>'Modell-Kalibrierung'!$B$16</xm:f>
            <x14:dxf>
              <fill>
                <patternFill>
                  <bgColor theme="0"/>
                </patternFill>
              </fill>
            </x14:dxf>
          </x14:cfRule>
          <xm:sqref>G87:G89</xm:sqref>
        </x14:conditionalFormatting>
        <x14:conditionalFormatting xmlns:xm="http://schemas.microsoft.com/office/excel/2006/main">
          <x14:cfRule type="cellIs" priority="325" operator="equal" id="{96AEA423-DF1B-49B0-B59A-31CC494571F4}">
            <xm:f>'Modell-Kalibrierung'!$B$16</xm:f>
            <x14:dxf>
              <fill>
                <patternFill>
                  <bgColor theme="0"/>
                </patternFill>
              </fill>
            </x14:dxf>
          </x14:cfRule>
          <xm:sqref>G96:G97</xm:sqref>
        </x14:conditionalFormatting>
        <x14:conditionalFormatting xmlns:xm="http://schemas.microsoft.com/office/excel/2006/main">
          <x14:cfRule type="cellIs" priority="318" operator="equal" id="{F08EC07D-7FC6-4BFE-BB70-D9404280916E}">
            <xm:f>'Modell-Kalibrierung'!$B$16</xm:f>
            <x14:dxf>
              <fill>
                <patternFill>
                  <bgColor theme="0"/>
                </patternFill>
              </fill>
            </x14:dxf>
          </x14:cfRule>
          <xm:sqref>G93:G95</xm:sqref>
        </x14:conditionalFormatting>
        <x14:conditionalFormatting xmlns:xm="http://schemas.microsoft.com/office/excel/2006/main">
          <x14:cfRule type="cellIs" priority="311" operator="equal" id="{DAEB0C19-1E33-406E-BF95-3EEC31FF9DDE}">
            <xm:f>'Modell-Kalibrierung'!$B$16</xm:f>
            <x14:dxf>
              <fill>
                <patternFill>
                  <bgColor theme="0"/>
                </patternFill>
              </fill>
            </x14:dxf>
          </x14:cfRule>
          <xm:sqref>G102:G103</xm:sqref>
        </x14:conditionalFormatting>
        <x14:conditionalFormatting xmlns:xm="http://schemas.microsoft.com/office/excel/2006/main">
          <x14:cfRule type="cellIs" priority="304" operator="equal" id="{B5FDF245-8158-44BE-B0B7-EB7FFAF7DC53}">
            <xm:f>'Modell-Kalibrierung'!$B$16</xm:f>
            <x14:dxf>
              <fill>
                <patternFill>
                  <bgColor theme="0"/>
                </patternFill>
              </fill>
            </x14:dxf>
          </x14:cfRule>
          <xm:sqref>G99:G101</xm:sqref>
        </x14:conditionalFormatting>
        <x14:conditionalFormatting xmlns:xm="http://schemas.microsoft.com/office/excel/2006/main">
          <x14:cfRule type="cellIs" priority="297" operator="equal" id="{EB6B9B72-A742-456F-BE20-E742B5882CFB}">
            <xm:f>'Modell-Kalibrierung'!$B$16</xm:f>
            <x14:dxf>
              <fill>
                <patternFill>
                  <bgColor theme="0"/>
                </patternFill>
              </fill>
            </x14:dxf>
          </x14:cfRule>
          <xm:sqref>G108:G109</xm:sqref>
        </x14:conditionalFormatting>
        <x14:conditionalFormatting xmlns:xm="http://schemas.microsoft.com/office/excel/2006/main">
          <x14:cfRule type="cellIs" priority="290" operator="equal" id="{2F8C8FE4-253B-41DF-B03E-9DE0628DA35E}">
            <xm:f>'Modell-Kalibrierung'!$B$16</xm:f>
            <x14:dxf>
              <fill>
                <patternFill>
                  <bgColor theme="0"/>
                </patternFill>
              </fill>
            </x14:dxf>
          </x14:cfRule>
          <xm:sqref>G105:G107</xm:sqref>
        </x14:conditionalFormatting>
        <x14:conditionalFormatting xmlns:xm="http://schemas.microsoft.com/office/excel/2006/main">
          <x14:cfRule type="cellIs" priority="283" operator="equal" id="{187241CE-413F-4D4F-9384-8553D8898B72}">
            <xm:f>'Modell-Kalibrierung'!$B$16</xm:f>
            <x14:dxf>
              <fill>
                <patternFill>
                  <bgColor theme="0"/>
                </patternFill>
              </fill>
            </x14:dxf>
          </x14:cfRule>
          <xm:sqref>G114:G115</xm:sqref>
        </x14:conditionalFormatting>
        <x14:conditionalFormatting xmlns:xm="http://schemas.microsoft.com/office/excel/2006/main">
          <x14:cfRule type="cellIs" priority="276" operator="equal" id="{E6BEC4D3-BA14-4909-ADA0-95B6CB5D05D5}">
            <xm:f>'Modell-Kalibrierung'!$B$16</xm:f>
            <x14:dxf>
              <fill>
                <patternFill>
                  <bgColor theme="0"/>
                </patternFill>
              </fill>
            </x14:dxf>
          </x14:cfRule>
          <xm:sqref>G111:G113</xm:sqref>
        </x14:conditionalFormatting>
        <x14:conditionalFormatting xmlns:xm="http://schemas.microsoft.com/office/excel/2006/main">
          <x14:cfRule type="cellIs" priority="269" operator="equal" id="{5E2DF795-71A5-48EE-99F3-211569A9CE4A}">
            <xm:f>'Modell-Kalibrierung'!$B$16</xm:f>
            <x14:dxf>
              <fill>
                <patternFill>
                  <bgColor theme="0"/>
                </patternFill>
              </fill>
            </x14:dxf>
          </x14:cfRule>
          <xm:sqref>G120:G121</xm:sqref>
        </x14:conditionalFormatting>
        <x14:conditionalFormatting xmlns:xm="http://schemas.microsoft.com/office/excel/2006/main">
          <x14:cfRule type="cellIs" priority="262" operator="equal" id="{881F2B77-97AB-460B-A0BD-DD1503221103}">
            <xm:f>'Modell-Kalibrierung'!$B$16</xm:f>
            <x14:dxf>
              <fill>
                <patternFill>
                  <bgColor theme="0"/>
                </patternFill>
              </fill>
            </x14:dxf>
          </x14:cfRule>
          <xm:sqref>G117:G119</xm:sqref>
        </x14:conditionalFormatting>
        <x14:conditionalFormatting xmlns:xm="http://schemas.microsoft.com/office/excel/2006/main">
          <x14:cfRule type="iconSet" priority="792" id="{5E377F96-186F-457A-A607-BB1DD7EAAC55}">
            <x14:iconSet iconSet="3TrafficLights2" reverse="1">
              <x14:cfvo type="percent">
                <xm:f>0</xm:f>
              </x14:cfvo>
              <x14:cfvo type="num" gte="0">
                <xm:f>'Modell-Kalibrierung'!$C$18</xm:f>
              </x14:cfvo>
              <x14:cfvo type="num">
                <xm:f>'Modell-Kalibrierung'!$C$20</xm:f>
              </x14:cfvo>
            </x14:iconSet>
          </x14:cfRule>
          <xm:sqref>K33</xm:sqref>
        </x14:conditionalFormatting>
        <x14:conditionalFormatting xmlns:xm="http://schemas.microsoft.com/office/excel/2006/main">
          <x14:cfRule type="cellIs" priority="256" operator="between" id="{DAB05B58-1A78-4DD4-AA58-E9D0519E3AFA}">
            <xm:f>'Modell-Kalibrierung'!$C$7+1%</xm:f>
            <xm:f>"0Kalibrierung!$E$8"</xm:f>
            <x14:dxf>
              <font>
                <color theme="0"/>
              </font>
              <fill>
                <patternFill>
                  <bgColor theme="5" tint="-0.499984740745262"/>
                </patternFill>
              </fill>
            </x14:dxf>
          </x14:cfRule>
          <x14:cfRule type="cellIs" priority="257" operator="between" id="{62137973-CCE7-4E79-826F-3618BE76EFC7}">
            <xm:f>'Modell-Kalibrierung'!$C$6+1%</xm:f>
            <xm:f>"0Kalibrierung!$E$7"</xm:f>
            <x14:dxf>
              <fill>
                <patternFill>
                  <bgColor theme="5" tint="-0.24994659260841701"/>
                </patternFill>
              </fill>
            </x14:dxf>
          </x14:cfRule>
          <x14:cfRule type="cellIs" priority="258" operator="between" id="{CAC46926-FDB9-4AC0-9FA6-73529A16375D}">
            <xm:f>'Modell-Kalibrierung'!$C$5+1%</xm:f>
            <xm:f>"0Kalibrierung!$E$6"</xm:f>
            <x14:dxf>
              <fill>
                <patternFill>
                  <bgColor theme="5" tint="0.39994506668294322"/>
                </patternFill>
              </fill>
            </x14:dxf>
          </x14:cfRule>
          <x14:cfRule type="cellIs" priority="259" operator="between" id="{8A8844F2-A9D3-48BE-BA35-73705B75229A}">
            <xm:f>'Modell-Kalibrierung'!$C$4+1%</xm:f>
            <xm:f>"0Kalibrierung!$E$5"</xm:f>
            <x14:dxf>
              <fill>
                <patternFill>
                  <bgColor theme="5" tint="0.59996337778862885"/>
                </patternFill>
              </fill>
            </x14:dxf>
          </x14:cfRule>
          <x14:cfRule type="cellIs" priority="260" operator="between" id="{535E2D1B-2273-4C4B-A96B-DA0FD66030C9}">
            <xm:f>'Modell-Kalibrierung'!$C$3+1%</xm:f>
            <xm:f>'Modell-Kalibrierung'!$C$4</xm:f>
            <x14:dxf>
              <fill>
                <patternFill>
                  <bgColor theme="5" tint="0.79998168889431442"/>
                </patternFill>
              </fill>
            </x14:dxf>
          </x14:cfRule>
          <x14:cfRule type="cellIs" priority="261" operator="equal" id="{E034C829-4F22-4C83-B977-030B0D0B41B7}">
            <xm:f>'Modell-Kalibrierung'!$C$3</xm:f>
            <x14:dxf>
              <fill>
                <patternFill>
                  <bgColor theme="0"/>
                </patternFill>
              </fill>
            </x14:dxf>
          </x14:cfRule>
          <xm:sqref>J35</xm:sqref>
        </x14:conditionalFormatting>
        <x14:conditionalFormatting xmlns:xm="http://schemas.microsoft.com/office/excel/2006/main">
          <x14:cfRule type="iconSet" priority="255" id="{54C271DA-955C-482A-B773-90A03BF5425C}">
            <x14:iconSet iconSet="3TrafficLights2" reverse="1">
              <x14:cfvo type="percent">
                <xm:f>0</xm:f>
              </x14:cfvo>
              <x14:cfvo type="num" gte="0">
                <xm:f>'Modell-Kalibrierung'!$C$18</xm:f>
              </x14:cfvo>
              <x14:cfvo type="num">
                <xm:f>'Modell-Kalibrierung'!$C$20</xm:f>
              </x14:cfvo>
            </x14:iconSet>
          </x14:cfRule>
          <xm:sqref>K126</xm:sqref>
        </x14:conditionalFormatting>
        <x14:conditionalFormatting xmlns:xm="http://schemas.microsoft.com/office/excel/2006/main">
          <x14:cfRule type="cellIs" priority="249" operator="between" id="{5D7EBAF5-C530-450F-8D24-73943141B596}">
            <xm:f>'Modell-Kalibrierung'!$C$7+1%</xm:f>
            <xm:f>"0Kalibrierung!$E$8"</xm:f>
            <x14:dxf>
              <font>
                <color theme="0"/>
              </font>
              <fill>
                <patternFill>
                  <bgColor theme="5" tint="-0.499984740745262"/>
                </patternFill>
              </fill>
            </x14:dxf>
          </x14:cfRule>
          <x14:cfRule type="cellIs" priority="250" operator="between" id="{F5B1D399-9933-4803-A0C2-EE7A38597ACC}">
            <xm:f>'Modell-Kalibrierung'!$C$6+1%</xm:f>
            <xm:f>"0Kalibrierung!$E$7"</xm:f>
            <x14:dxf>
              <fill>
                <patternFill>
                  <bgColor theme="5" tint="-0.24994659260841701"/>
                </patternFill>
              </fill>
            </x14:dxf>
          </x14:cfRule>
          <x14:cfRule type="cellIs" priority="251" operator="between" id="{16E45A49-1E0B-45AA-8427-F5A486E0216D}">
            <xm:f>'Modell-Kalibrierung'!$C$5+1%</xm:f>
            <xm:f>"0Kalibrierung!$E$6"</xm:f>
            <x14:dxf>
              <fill>
                <patternFill>
                  <bgColor theme="5" tint="0.39994506668294322"/>
                </patternFill>
              </fill>
            </x14:dxf>
          </x14:cfRule>
          <x14:cfRule type="cellIs" priority="252" operator="between" id="{E28C67FF-70A4-44E4-9B76-94A238DD62BD}">
            <xm:f>'Modell-Kalibrierung'!$C$4+1%</xm:f>
            <xm:f>"0Kalibrierung!$E$5"</xm:f>
            <x14:dxf>
              <fill>
                <patternFill>
                  <bgColor theme="5" tint="0.59996337778862885"/>
                </patternFill>
              </fill>
            </x14:dxf>
          </x14:cfRule>
          <x14:cfRule type="cellIs" priority="253" operator="between" id="{B2F7BCE1-4D16-40FF-A6BB-63085A3A2CB2}">
            <xm:f>'Modell-Kalibrierung'!$C$3+1%</xm:f>
            <xm:f>'Modell-Kalibrierung'!$C$4</xm:f>
            <x14:dxf>
              <fill>
                <patternFill>
                  <bgColor theme="5" tint="0.79998168889431442"/>
                </patternFill>
              </fill>
            </x14:dxf>
          </x14:cfRule>
          <x14:cfRule type="cellIs" priority="254" operator="equal" id="{F41FF5FF-ADBB-4AAD-A3CA-9B4E05AA856A}">
            <xm:f>'Modell-Kalibrierung'!$C$3</xm:f>
            <x14:dxf>
              <fill>
                <patternFill>
                  <bgColor theme="0"/>
                </patternFill>
              </fill>
            </x14:dxf>
          </x14:cfRule>
          <xm:sqref>J126</xm:sqref>
        </x14:conditionalFormatting>
        <x14:conditionalFormatting xmlns:xm="http://schemas.microsoft.com/office/excel/2006/main">
          <x14:cfRule type="iconSet" priority="248" id="{A49708D3-6A74-4ACC-A311-B5B0D1BFFE91}">
            <x14:iconSet iconSet="3TrafficLights2" reverse="1">
              <x14:cfvo type="percent">
                <xm:f>0</xm:f>
              </x14:cfvo>
              <x14:cfvo type="num" gte="0">
                <xm:f>'Modell-Kalibrierung'!$C$18</xm:f>
              </x14:cfvo>
              <x14:cfvo type="num">
                <xm:f>'Modell-Kalibrierung'!$C$20</xm:f>
              </x14:cfvo>
            </x14:iconSet>
          </x14:cfRule>
          <xm:sqref>K133</xm:sqref>
        </x14:conditionalFormatting>
        <x14:conditionalFormatting xmlns:xm="http://schemas.microsoft.com/office/excel/2006/main">
          <x14:cfRule type="cellIs" priority="242" operator="between" id="{A20FF4DA-DE9D-49B9-ADCA-64C6DAF939FE}">
            <xm:f>'Modell-Kalibrierung'!$C$7+1%</xm:f>
            <xm:f>"0Kalibrierung!$E$8"</xm:f>
            <x14:dxf>
              <font>
                <color theme="0"/>
              </font>
              <fill>
                <patternFill>
                  <bgColor theme="5" tint="-0.499984740745262"/>
                </patternFill>
              </fill>
            </x14:dxf>
          </x14:cfRule>
          <x14:cfRule type="cellIs" priority="243" operator="between" id="{35BE7084-9DC8-425B-8413-6649781A4B80}">
            <xm:f>'Modell-Kalibrierung'!$C$6+1%</xm:f>
            <xm:f>"0Kalibrierung!$E$7"</xm:f>
            <x14:dxf>
              <fill>
                <patternFill>
                  <bgColor theme="5" tint="-0.24994659260841701"/>
                </patternFill>
              </fill>
            </x14:dxf>
          </x14:cfRule>
          <x14:cfRule type="cellIs" priority="244" operator="between" id="{5F2D36BC-11B4-4684-962B-A0E49458516E}">
            <xm:f>'Modell-Kalibrierung'!$C$5+1%</xm:f>
            <xm:f>"0Kalibrierung!$E$6"</xm:f>
            <x14:dxf>
              <fill>
                <patternFill>
                  <bgColor theme="5" tint="0.39994506668294322"/>
                </patternFill>
              </fill>
            </x14:dxf>
          </x14:cfRule>
          <x14:cfRule type="cellIs" priority="245" operator="between" id="{A0163272-23A1-475C-965A-D717D8430628}">
            <xm:f>'Modell-Kalibrierung'!$C$4+1%</xm:f>
            <xm:f>"0Kalibrierung!$E$5"</xm:f>
            <x14:dxf>
              <fill>
                <patternFill>
                  <bgColor theme="5" tint="0.59996337778862885"/>
                </patternFill>
              </fill>
            </x14:dxf>
          </x14:cfRule>
          <x14:cfRule type="cellIs" priority="246" operator="between" id="{1F1A3E05-0140-41D7-8C8F-5E8602201756}">
            <xm:f>'Modell-Kalibrierung'!$C$3+1%</xm:f>
            <xm:f>'Modell-Kalibrierung'!$C$4</xm:f>
            <x14:dxf>
              <fill>
                <patternFill>
                  <bgColor theme="5" tint="0.79998168889431442"/>
                </patternFill>
              </fill>
            </x14:dxf>
          </x14:cfRule>
          <x14:cfRule type="cellIs" priority="247" operator="equal" id="{7E9F0DD3-AD49-44C0-948C-68C4A69389FD}">
            <xm:f>'Modell-Kalibrierung'!$C$3</xm:f>
            <x14:dxf>
              <fill>
                <patternFill>
                  <bgColor theme="0"/>
                </patternFill>
              </fill>
            </x14:dxf>
          </x14:cfRule>
          <xm:sqref>J133</xm:sqref>
        </x14:conditionalFormatting>
        <x14:conditionalFormatting xmlns:xm="http://schemas.microsoft.com/office/excel/2006/main">
          <x14:cfRule type="iconSet" priority="241" id="{3CF8E71A-E3D9-4DDB-8577-86A0BA8BA1E8}">
            <x14:iconSet iconSet="3TrafficLights2" reverse="1">
              <x14:cfvo type="percent">
                <xm:f>0</xm:f>
              </x14:cfvo>
              <x14:cfvo type="num" gte="0">
                <xm:f>'Modell-Kalibrierung'!$C$18</xm:f>
              </x14:cfvo>
              <x14:cfvo type="num">
                <xm:f>'Modell-Kalibrierung'!$C$20</xm:f>
              </x14:cfvo>
            </x14:iconSet>
          </x14:cfRule>
          <xm:sqref>K140</xm:sqref>
        </x14:conditionalFormatting>
        <x14:conditionalFormatting xmlns:xm="http://schemas.microsoft.com/office/excel/2006/main">
          <x14:cfRule type="cellIs" priority="235" operator="between" id="{2FE3E4ED-1EDE-432B-A822-5F8720BDF84D}">
            <xm:f>'Modell-Kalibrierung'!$C$7+1%</xm:f>
            <xm:f>"0Kalibrierung!$E$8"</xm:f>
            <x14:dxf>
              <font>
                <color theme="0"/>
              </font>
              <fill>
                <patternFill>
                  <bgColor theme="5" tint="-0.499984740745262"/>
                </patternFill>
              </fill>
            </x14:dxf>
          </x14:cfRule>
          <x14:cfRule type="cellIs" priority="236" operator="between" id="{887CAB5F-075A-48A7-B3DE-1E1EA895390B}">
            <xm:f>'Modell-Kalibrierung'!$C$6+1%</xm:f>
            <xm:f>"0Kalibrierung!$E$7"</xm:f>
            <x14:dxf>
              <fill>
                <patternFill>
                  <bgColor theme="5" tint="-0.24994659260841701"/>
                </patternFill>
              </fill>
            </x14:dxf>
          </x14:cfRule>
          <x14:cfRule type="cellIs" priority="237" operator="between" id="{BA8AEAA4-E0EC-47EC-BA3F-6A322D20D598}">
            <xm:f>'Modell-Kalibrierung'!$C$5+1%</xm:f>
            <xm:f>"0Kalibrierung!$E$6"</xm:f>
            <x14:dxf>
              <fill>
                <patternFill>
                  <bgColor theme="5" tint="0.39994506668294322"/>
                </patternFill>
              </fill>
            </x14:dxf>
          </x14:cfRule>
          <x14:cfRule type="cellIs" priority="238" operator="between" id="{102F007C-A743-4B75-A45A-F7DAD6FECF8E}">
            <xm:f>'Modell-Kalibrierung'!$C$4+1%</xm:f>
            <xm:f>"0Kalibrierung!$E$5"</xm:f>
            <x14:dxf>
              <fill>
                <patternFill>
                  <bgColor theme="5" tint="0.59996337778862885"/>
                </patternFill>
              </fill>
            </x14:dxf>
          </x14:cfRule>
          <x14:cfRule type="cellIs" priority="239" operator="between" id="{F5EE8C2F-91D1-4CD9-9481-93680831DB7D}">
            <xm:f>'Modell-Kalibrierung'!$C$3+1%</xm:f>
            <xm:f>'Modell-Kalibrierung'!$C$4</xm:f>
            <x14:dxf>
              <fill>
                <patternFill>
                  <bgColor theme="5" tint="0.79998168889431442"/>
                </patternFill>
              </fill>
            </x14:dxf>
          </x14:cfRule>
          <x14:cfRule type="cellIs" priority="240" operator="equal" id="{18053FF4-35F3-47D6-8CF8-CD6AADF3E93B}">
            <xm:f>'Modell-Kalibrierung'!$C$3</xm:f>
            <x14:dxf>
              <fill>
                <patternFill>
                  <bgColor theme="0"/>
                </patternFill>
              </fill>
            </x14:dxf>
          </x14:cfRule>
          <xm:sqref>J140</xm:sqref>
        </x14:conditionalFormatting>
        <x14:conditionalFormatting xmlns:xm="http://schemas.microsoft.com/office/excel/2006/main">
          <x14:cfRule type="iconSet" priority="234" id="{ACFFF488-3E76-4D92-8ED2-E55CC361621B}">
            <x14:iconSet iconSet="3TrafficLights2" reverse="1">
              <x14:cfvo type="percent">
                <xm:f>0</xm:f>
              </x14:cfvo>
              <x14:cfvo type="num" gte="0">
                <xm:f>'Modell-Kalibrierung'!$C$18</xm:f>
              </x14:cfvo>
              <x14:cfvo type="num">
                <xm:f>'Modell-Kalibrierung'!$C$20</xm:f>
              </x14:cfvo>
            </x14:iconSet>
          </x14:cfRule>
          <xm:sqref>K34</xm:sqref>
        </x14:conditionalFormatting>
        <x14:conditionalFormatting xmlns:xm="http://schemas.microsoft.com/office/excel/2006/main">
          <x14:cfRule type="iconSet" priority="233" id="{7C10BB8A-E57F-43E2-8D63-1594A388E82D}">
            <x14:iconSet iconSet="3TrafficLights2" reverse="1">
              <x14:cfvo type="percent">
                <xm:f>0</xm:f>
              </x14:cfvo>
              <x14:cfvo type="num" gte="0">
                <xm:f>'Modell-Kalibrierung'!$C$18</xm:f>
              </x14:cfvo>
              <x14:cfvo type="num">
                <xm:f>'Modell-Kalibrierung'!$C$20</xm:f>
              </x14:cfvo>
            </x14:iconSet>
          </x14:cfRule>
          <xm:sqref>K35</xm:sqref>
        </x14:conditionalFormatting>
        <x14:conditionalFormatting xmlns:xm="http://schemas.microsoft.com/office/excel/2006/main">
          <x14:cfRule type="iconSet" priority="232" id="{F8334723-6466-4653-A1E5-329319872AFD}">
            <x14:iconSet iconSet="3TrafficLights2" reverse="1">
              <x14:cfvo type="percent">
                <xm:f>0</xm:f>
              </x14:cfvo>
              <x14:cfvo type="num" gte="0">
                <xm:f>'Modell-Kalibrierung'!$C$18</xm:f>
              </x14:cfvo>
              <x14:cfvo type="num">
                <xm:f>'Modell-Kalibrierung'!$C$20</xm:f>
              </x14:cfvo>
            </x14:iconSet>
          </x14:cfRule>
          <xm:sqref>K36</xm:sqref>
        </x14:conditionalFormatting>
        <x14:conditionalFormatting xmlns:xm="http://schemas.microsoft.com/office/excel/2006/main">
          <x14:cfRule type="iconSet" priority="231" id="{45C27907-A02F-4150-A2D8-B41B8CD12558}">
            <x14:iconSet iconSet="3TrafficLights2" reverse="1">
              <x14:cfvo type="percent">
                <xm:f>0</xm:f>
              </x14:cfvo>
              <x14:cfvo type="num" gte="0">
                <xm:f>'Modell-Kalibrierung'!$C$18</xm:f>
              </x14:cfvo>
              <x14:cfvo type="num">
                <xm:f>'Modell-Kalibrierung'!$C$20</xm:f>
              </x14:cfvo>
            </x14:iconSet>
          </x14:cfRule>
          <xm:sqref>K37</xm:sqref>
        </x14:conditionalFormatting>
        <x14:conditionalFormatting xmlns:xm="http://schemas.microsoft.com/office/excel/2006/main">
          <x14:cfRule type="iconSet" priority="230" id="{A9637341-1428-4F2B-89FC-C6F92014B2E0}">
            <x14:iconSet iconSet="3TrafficLights2" reverse="1">
              <x14:cfvo type="percent">
                <xm:f>0</xm:f>
              </x14:cfvo>
              <x14:cfvo type="num" gte="0">
                <xm:f>'Modell-Kalibrierung'!$C$18</xm:f>
              </x14:cfvo>
              <x14:cfvo type="num">
                <xm:f>'Modell-Kalibrierung'!$C$20</xm:f>
              </x14:cfvo>
            </x14:iconSet>
          </x14:cfRule>
          <xm:sqref>K39</xm:sqref>
        </x14:conditionalFormatting>
        <x14:conditionalFormatting xmlns:xm="http://schemas.microsoft.com/office/excel/2006/main">
          <x14:cfRule type="iconSet" priority="229" id="{5F6A23FE-B2FC-43A4-9A10-A91CED55CD73}">
            <x14:iconSet iconSet="3TrafficLights2" reverse="1">
              <x14:cfvo type="percent">
                <xm:f>0</xm:f>
              </x14:cfvo>
              <x14:cfvo type="num" gte="0">
                <xm:f>'Modell-Kalibrierung'!$C$18</xm:f>
              </x14:cfvo>
              <x14:cfvo type="num">
                <xm:f>'Modell-Kalibrierung'!$C$20</xm:f>
              </x14:cfvo>
            </x14:iconSet>
          </x14:cfRule>
          <xm:sqref>K40</xm:sqref>
        </x14:conditionalFormatting>
        <x14:conditionalFormatting xmlns:xm="http://schemas.microsoft.com/office/excel/2006/main">
          <x14:cfRule type="iconSet" priority="228" id="{67B3D875-F47C-4849-95C5-C3A241211143}">
            <x14:iconSet iconSet="3TrafficLights2" reverse="1">
              <x14:cfvo type="percent">
                <xm:f>0</xm:f>
              </x14:cfvo>
              <x14:cfvo type="num" gte="0">
                <xm:f>'Modell-Kalibrierung'!$C$18</xm:f>
              </x14:cfvo>
              <x14:cfvo type="num">
                <xm:f>'Modell-Kalibrierung'!$C$20</xm:f>
              </x14:cfvo>
            </x14:iconSet>
          </x14:cfRule>
          <xm:sqref>K41</xm:sqref>
        </x14:conditionalFormatting>
        <x14:conditionalFormatting xmlns:xm="http://schemas.microsoft.com/office/excel/2006/main">
          <x14:cfRule type="iconSet" priority="227" id="{379FDD25-DA2B-42F2-BB67-8488402DBA8F}">
            <x14:iconSet iconSet="3TrafficLights2" reverse="1">
              <x14:cfvo type="percent">
                <xm:f>0</xm:f>
              </x14:cfvo>
              <x14:cfvo type="num" gte="0">
                <xm:f>'Modell-Kalibrierung'!$C$18</xm:f>
              </x14:cfvo>
              <x14:cfvo type="num">
                <xm:f>'Modell-Kalibrierung'!$C$20</xm:f>
              </x14:cfvo>
            </x14:iconSet>
          </x14:cfRule>
          <xm:sqref>K42</xm:sqref>
        </x14:conditionalFormatting>
        <x14:conditionalFormatting xmlns:xm="http://schemas.microsoft.com/office/excel/2006/main">
          <x14:cfRule type="iconSet" priority="226" id="{7909C5C9-D60B-432C-B9A9-B4F82BE275C2}">
            <x14:iconSet iconSet="3TrafficLights2" reverse="1">
              <x14:cfvo type="percent">
                <xm:f>0</xm:f>
              </x14:cfvo>
              <x14:cfvo type="num" gte="0">
                <xm:f>'Modell-Kalibrierung'!$C$18</xm:f>
              </x14:cfvo>
              <x14:cfvo type="num">
                <xm:f>'Modell-Kalibrierung'!$C$20</xm:f>
              </x14:cfvo>
            </x14:iconSet>
          </x14:cfRule>
          <xm:sqref>K43</xm:sqref>
        </x14:conditionalFormatting>
        <x14:conditionalFormatting xmlns:xm="http://schemas.microsoft.com/office/excel/2006/main">
          <x14:cfRule type="iconSet" priority="225" id="{928A352D-2776-4144-8BE1-10F62D1A6817}">
            <x14:iconSet iconSet="3TrafficLights2" reverse="1">
              <x14:cfvo type="percent">
                <xm:f>0</xm:f>
              </x14:cfvo>
              <x14:cfvo type="num" gte="0">
                <xm:f>'Modell-Kalibrierung'!$C$18</xm:f>
              </x14:cfvo>
              <x14:cfvo type="num">
                <xm:f>'Modell-Kalibrierung'!$C$20</xm:f>
              </x14:cfvo>
            </x14:iconSet>
          </x14:cfRule>
          <xm:sqref>K45</xm:sqref>
        </x14:conditionalFormatting>
        <x14:conditionalFormatting xmlns:xm="http://schemas.microsoft.com/office/excel/2006/main">
          <x14:cfRule type="iconSet" priority="224" id="{75580F67-6226-4EBC-8B0F-5D468C56E4E4}">
            <x14:iconSet iconSet="3TrafficLights2" reverse="1">
              <x14:cfvo type="percent">
                <xm:f>0</xm:f>
              </x14:cfvo>
              <x14:cfvo type="num" gte="0">
                <xm:f>'Modell-Kalibrierung'!$C$18</xm:f>
              </x14:cfvo>
              <x14:cfvo type="num">
                <xm:f>'Modell-Kalibrierung'!$C$20</xm:f>
              </x14:cfvo>
            </x14:iconSet>
          </x14:cfRule>
          <xm:sqref>K46</xm:sqref>
        </x14:conditionalFormatting>
        <x14:conditionalFormatting xmlns:xm="http://schemas.microsoft.com/office/excel/2006/main">
          <x14:cfRule type="iconSet" priority="223" id="{4FC7E22B-D8DA-4AE9-BC42-85FCD94C714A}">
            <x14:iconSet iconSet="3TrafficLights2" reverse="1">
              <x14:cfvo type="percent">
                <xm:f>0</xm:f>
              </x14:cfvo>
              <x14:cfvo type="num" gte="0">
                <xm:f>'Modell-Kalibrierung'!$C$18</xm:f>
              </x14:cfvo>
              <x14:cfvo type="num">
                <xm:f>'Modell-Kalibrierung'!$C$20</xm:f>
              </x14:cfvo>
            </x14:iconSet>
          </x14:cfRule>
          <xm:sqref>K47</xm:sqref>
        </x14:conditionalFormatting>
        <x14:conditionalFormatting xmlns:xm="http://schemas.microsoft.com/office/excel/2006/main">
          <x14:cfRule type="iconSet" priority="222" id="{8B4440C7-8877-44CA-96A6-44E9F83E3908}">
            <x14:iconSet iconSet="3TrafficLights2" reverse="1">
              <x14:cfvo type="percent">
                <xm:f>0</xm:f>
              </x14:cfvo>
              <x14:cfvo type="num" gte="0">
                <xm:f>'Modell-Kalibrierung'!$C$18</xm:f>
              </x14:cfvo>
              <x14:cfvo type="num">
                <xm:f>'Modell-Kalibrierung'!$C$20</xm:f>
              </x14:cfvo>
            </x14:iconSet>
          </x14:cfRule>
          <xm:sqref>K48</xm:sqref>
        </x14:conditionalFormatting>
        <x14:conditionalFormatting xmlns:xm="http://schemas.microsoft.com/office/excel/2006/main">
          <x14:cfRule type="iconSet" priority="221" id="{350797FF-E36A-4108-8AFF-EDC321C41A0D}">
            <x14:iconSet iconSet="3TrafficLights2" reverse="1">
              <x14:cfvo type="percent">
                <xm:f>0</xm:f>
              </x14:cfvo>
              <x14:cfvo type="num" gte="0">
                <xm:f>'Modell-Kalibrierung'!$C$18</xm:f>
              </x14:cfvo>
              <x14:cfvo type="num">
                <xm:f>'Modell-Kalibrierung'!$C$20</xm:f>
              </x14:cfvo>
            </x14:iconSet>
          </x14:cfRule>
          <xm:sqref>K49</xm:sqref>
        </x14:conditionalFormatting>
        <x14:conditionalFormatting xmlns:xm="http://schemas.microsoft.com/office/excel/2006/main">
          <x14:cfRule type="iconSet" priority="220" id="{F814AA39-CC17-45B5-8ADB-0F2517B3ACA6}">
            <x14:iconSet iconSet="3TrafficLights2" reverse="1">
              <x14:cfvo type="percent">
                <xm:f>0</xm:f>
              </x14:cfvo>
              <x14:cfvo type="num" gte="0">
                <xm:f>'Modell-Kalibrierung'!$C$18</xm:f>
              </x14:cfvo>
              <x14:cfvo type="num">
                <xm:f>'Modell-Kalibrierung'!$C$20</xm:f>
              </x14:cfvo>
            </x14:iconSet>
          </x14:cfRule>
          <xm:sqref>K51</xm:sqref>
        </x14:conditionalFormatting>
        <x14:conditionalFormatting xmlns:xm="http://schemas.microsoft.com/office/excel/2006/main">
          <x14:cfRule type="iconSet" priority="219" id="{87BD0C56-A519-4075-B461-A439CE232906}">
            <x14:iconSet iconSet="3TrafficLights2" reverse="1">
              <x14:cfvo type="percent">
                <xm:f>0</xm:f>
              </x14:cfvo>
              <x14:cfvo type="num" gte="0">
                <xm:f>'Modell-Kalibrierung'!$C$18</xm:f>
              </x14:cfvo>
              <x14:cfvo type="num">
                <xm:f>'Modell-Kalibrierung'!$C$20</xm:f>
              </x14:cfvo>
            </x14:iconSet>
          </x14:cfRule>
          <xm:sqref>K52</xm:sqref>
        </x14:conditionalFormatting>
        <x14:conditionalFormatting xmlns:xm="http://schemas.microsoft.com/office/excel/2006/main">
          <x14:cfRule type="iconSet" priority="218" id="{BE27FD47-BD32-432B-966E-BBD1EB454640}">
            <x14:iconSet iconSet="3TrafficLights2" reverse="1">
              <x14:cfvo type="percent">
                <xm:f>0</xm:f>
              </x14:cfvo>
              <x14:cfvo type="num" gte="0">
                <xm:f>'Modell-Kalibrierung'!$C$18</xm:f>
              </x14:cfvo>
              <x14:cfvo type="num">
                <xm:f>'Modell-Kalibrierung'!$C$20</xm:f>
              </x14:cfvo>
            </x14:iconSet>
          </x14:cfRule>
          <xm:sqref>K53</xm:sqref>
        </x14:conditionalFormatting>
        <x14:conditionalFormatting xmlns:xm="http://schemas.microsoft.com/office/excel/2006/main">
          <x14:cfRule type="iconSet" priority="217" id="{98654FCE-AFD0-4599-889C-B3AED54D585A}">
            <x14:iconSet iconSet="3TrafficLights2" reverse="1">
              <x14:cfvo type="percent">
                <xm:f>0</xm:f>
              </x14:cfvo>
              <x14:cfvo type="num" gte="0">
                <xm:f>'Modell-Kalibrierung'!$C$18</xm:f>
              </x14:cfvo>
              <x14:cfvo type="num">
                <xm:f>'Modell-Kalibrierung'!$C$20</xm:f>
              </x14:cfvo>
            </x14:iconSet>
          </x14:cfRule>
          <xm:sqref>K54</xm:sqref>
        </x14:conditionalFormatting>
        <x14:conditionalFormatting xmlns:xm="http://schemas.microsoft.com/office/excel/2006/main">
          <x14:cfRule type="iconSet" priority="216" id="{FE033FCC-4052-494C-8D4C-6676E4BFCED2}">
            <x14:iconSet iconSet="3TrafficLights2" reverse="1">
              <x14:cfvo type="percent">
                <xm:f>0</xm:f>
              </x14:cfvo>
              <x14:cfvo type="num" gte="0">
                <xm:f>'Modell-Kalibrierung'!$C$18</xm:f>
              </x14:cfvo>
              <x14:cfvo type="num">
                <xm:f>'Modell-Kalibrierung'!$C$20</xm:f>
              </x14:cfvo>
            </x14:iconSet>
          </x14:cfRule>
          <xm:sqref>K55</xm:sqref>
        </x14:conditionalFormatting>
        <x14:conditionalFormatting xmlns:xm="http://schemas.microsoft.com/office/excel/2006/main">
          <x14:cfRule type="iconSet" priority="215" id="{126A0F5A-03F4-4BCF-81F8-80C352D480E3}">
            <x14:iconSet iconSet="3TrafficLights2" reverse="1">
              <x14:cfvo type="percent">
                <xm:f>0</xm:f>
              </x14:cfvo>
              <x14:cfvo type="num" gte="0">
                <xm:f>'Modell-Kalibrierung'!$C$18</xm:f>
              </x14:cfvo>
              <x14:cfvo type="num">
                <xm:f>'Modell-Kalibrierung'!$C$20</xm:f>
              </x14:cfvo>
            </x14:iconSet>
          </x14:cfRule>
          <xm:sqref>K57</xm:sqref>
        </x14:conditionalFormatting>
        <x14:conditionalFormatting xmlns:xm="http://schemas.microsoft.com/office/excel/2006/main">
          <x14:cfRule type="iconSet" priority="214" id="{5BC44F40-9A57-4966-9A62-F8E2B1AB70D0}">
            <x14:iconSet iconSet="3TrafficLights2" reverse="1">
              <x14:cfvo type="percent">
                <xm:f>0</xm:f>
              </x14:cfvo>
              <x14:cfvo type="num" gte="0">
                <xm:f>'Modell-Kalibrierung'!$C$18</xm:f>
              </x14:cfvo>
              <x14:cfvo type="num">
                <xm:f>'Modell-Kalibrierung'!$C$20</xm:f>
              </x14:cfvo>
            </x14:iconSet>
          </x14:cfRule>
          <xm:sqref>K58</xm:sqref>
        </x14:conditionalFormatting>
        <x14:conditionalFormatting xmlns:xm="http://schemas.microsoft.com/office/excel/2006/main">
          <x14:cfRule type="iconSet" priority="213" id="{BCE02115-3CBD-4871-9558-D0EEDB014B5E}">
            <x14:iconSet iconSet="3TrafficLights2" reverse="1">
              <x14:cfvo type="percent">
                <xm:f>0</xm:f>
              </x14:cfvo>
              <x14:cfvo type="num" gte="0">
                <xm:f>'Modell-Kalibrierung'!$C$18</xm:f>
              </x14:cfvo>
              <x14:cfvo type="num">
                <xm:f>'Modell-Kalibrierung'!$C$20</xm:f>
              </x14:cfvo>
            </x14:iconSet>
          </x14:cfRule>
          <xm:sqref>K59</xm:sqref>
        </x14:conditionalFormatting>
        <x14:conditionalFormatting xmlns:xm="http://schemas.microsoft.com/office/excel/2006/main">
          <x14:cfRule type="iconSet" priority="212" id="{1419E6BD-C07F-4DC4-9B37-F690788BADCE}">
            <x14:iconSet iconSet="3TrafficLights2" reverse="1">
              <x14:cfvo type="percent">
                <xm:f>0</xm:f>
              </x14:cfvo>
              <x14:cfvo type="num" gte="0">
                <xm:f>'Modell-Kalibrierung'!$C$18</xm:f>
              </x14:cfvo>
              <x14:cfvo type="num">
                <xm:f>'Modell-Kalibrierung'!$C$20</xm:f>
              </x14:cfvo>
            </x14:iconSet>
          </x14:cfRule>
          <xm:sqref>K60</xm:sqref>
        </x14:conditionalFormatting>
        <x14:conditionalFormatting xmlns:xm="http://schemas.microsoft.com/office/excel/2006/main">
          <x14:cfRule type="iconSet" priority="211" id="{A032627C-1229-44BA-A7F3-CA9F61D9156C}">
            <x14:iconSet iconSet="3TrafficLights2" reverse="1">
              <x14:cfvo type="percent">
                <xm:f>0</xm:f>
              </x14:cfvo>
              <x14:cfvo type="num" gte="0">
                <xm:f>'Modell-Kalibrierung'!$C$18</xm:f>
              </x14:cfvo>
              <x14:cfvo type="num">
                <xm:f>'Modell-Kalibrierung'!$C$20</xm:f>
              </x14:cfvo>
            </x14:iconSet>
          </x14:cfRule>
          <xm:sqref>K61</xm:sqref>
        </x14:conditionalFormatting>
        <x14:conditionalFormatting xmlns:xm="http://schemas.microsoft.com/office/excel/2006/main">
          <x14:cfRule type="iconSet" priority="210" id="{17091F28-4CA8-4C8E-B8A3-9B9DC49B1067}">
            <x14:iconSet iconSet="3TrafficLights2" reverse="1">
              <x14:cfvo type="percent">
                <xm:f>0</xm:f>
              </x14:cfvo>
              <x14:cfvo type="num" gte="0">
                <xm:f>'Modell-Kalibrierung'!$C$18</xm:f>
              </x14:cfvo>
              <x14:cfvo type="num">
                <xm:f>'Modell-Kalibrierung'!$C$20</xm:f>
              </x14:cfvo>
            </x14:iconSet>
          </x14:cfRule>
          <xm:sqref>K63</xm:sqref>
        </x14:conditionalFormatting>
        <x14:conditionalFormatting xmlns:xm="http://schemas.microsoft.com/office/excel/2006/main">
          <x14:cfRule type="iconSet" priority="209" id="{7F2FD934-6C25-4DAE-9088-2BC86E418C79}">
            <x14:iconSet iconSet="3TrafficLights2" reverse="1">
              <x14:cfvo type="percent">
                <xm:f>0</xm:f>
              </x14:cfvo>
              <x14:cfvo type="num" gte="0">
                <xm:f>'Modell-Kalibrierung'!$C$18</xm:f>
              </x14:cfvo>
              <x14:cfvo type="num">
                <xm:f>'Modell-Kalibrierung'!$C$20</xm:f>
              </x14:cfvo>
            </x14:iconSet>
          </x14:cfRule>
          <xm:sqref>K64</xm:sqref>
        </x14:conditionalFormatting>
        <x14:conditionalFormatting xmlns:xm="http://schemas.microsoft.com/office/excel/2006/main">
          <x14:cfRule type="iconSet" priority="208" id="{F7762B2D-A578-4287-BFA0-F555A762E1CB}">
            <x14:iconSet iconSet="3TrafficLights2" reverse="1">
              <x14:cfvo type="percent">
                <xm:f>0</xm:f>
              </x14:cfvo>
              <x14:cfvo type="num" gte="0">
                <xm:f>'Modell-Kalibrierung'!$C$18</xm:f>
              </x14:cfvo>
              <x14:cfvo type="num">
                <xm:f>'Modell-Kalibrierung'!$C$20</xm:f>
              </x14:cfvo>
            </x14:iconSet>
          </x14:cfRule>
          <xm:sqref>K65</xm:sqref>
        </x14:conditionalFormatting>
        <x14:conditionalFormatting xmlns:xm="http://schemas.microsoft.com/office/excel/2006/main">
          <x14:cfRule type="iconSet" priority="207" id="{D004A5E4-2370-41AC-B6F0-5648FA532C25}">
            <x14:iconSet iconSet="3TrafficLights2" reverse="1">
              <x14:cfvo type="percent">
                <xm:f>0</xm:f>
              </x14:cfvo>
              <x14:cfvo type="num" gte="0">
                <xm:f>'Modell-Kalibrierung'!$C$18</xm:f>
              </x14:cfvo>
              <x14:cfvo type="num">
                <xm:f>'Modell-Kalibrierung'!$C$20</xm:f>
              </x14:cfvo>
            </x14:iconSet>
          </x14:cfRule>
          <xm:sqref>K66</xm:sqref>
        </x14:conditionalFormatting>
        <x14:conditionalFormatting xmlns:xm="http://schemas.microsoft.com/office/excel/2006/main">
          <x14:cfRule type="iconSet" priority="206" id="{3D413470-BA56-477D-943E-870431B5B8D8}">
            <x14:iconSet iconSet="3TrafficLights2" reverse="1">
              <x14:cfvo type="percent">
                <xm:f>0</xm:f>
              </x14:cfvo>
              <x14:cfvo type="num" gte="0">
                <xm:f>'Modell-Kalibrierung'!$C$18</xm:f>
              </x14:cfvo>
              <x14:cfvo type="num">
                <xm:f>'Modell-Kalibrierung'!$C$20</xm:f>
              </x14:cfvo>
            </x14:iconSet>
          </x14:cfRule>
          <xm:sqref>K67</xm:sqref>
        </x14:conditionalFormatting>
        <x14:conditionalFormatting xmlns:xm="http://schemas.microsoft.com/office/excel/2006/main">
          <x14:cfRule type="iconSet" priority="205" id="{E001C5D5-CADA-492C-913A-64734092EEEA}">
            <x14:iconSet iconSet="3TrafficLights2" reverse="1">
              <x14:cfvo type="percent">
                <xm:f>0</xm:f>
              </x14:cfvo>
              <x14:cfvo type="num" gte="0">
                <xm:f>'Modell-Kalibrierung'!$C$18</xm:f>
              </x14:cfvo>
              <x14:cfvo type="num">
                <xm:f>'Modell-Kalibrierung'!$C$20</xm:f>
              </x14:cfvo>
            </x14:iconSet>
          </x14:cfRule>
          <xm:sqref>K69</xm:sqref>
        </x14:conditionalFormatting>
        <x14:conditionalFormatting xmlns:xm="http://schemas.microsoft.com/office/excel/2006/main">
          <x14:cfRule type="iconSet" priority="204" id="{8DE62F9F-775E-4A79-95D3-1A51AF6FA041}">
            <x14:iconSet iconSet="3TrafficLights2" reverse="1">
              <x14:cfvo type="percent">
                <xm:f>0</xm:f>
              </x14:cfvo>
              <x14:cfvo type="num" gte="0">
                <xm:f>'Modell-Kalibrierung'!$C$18</xm:f>
              </x14:cfvo>
              <x14:cfvo type="num">
                <xm:f>'Modell-Kalibrierung'!$C$20</xm:f>
              </x14:cfvo>
            </x14:iconSet>
          </x14:cfRule>
          <xm:sqref>K70</xm:sqref>
        </x14:conditionalFormatting>
        <x14:conditionalFormatting xmlns:xm="http://schemas.microsoft.com/office/excel/2006/main">
          <x14:cfRule type="iconSet" priority="203" id="{0458D656-9927-485A-9AA6-A740D946BA17}">
            <x14:iconSet iconSet="3TrafficLights2" reverse="1">
              <x14:cfvo type="percent">
                <xm:f>0</xm:f>
              </x14:cfvo>
              <x14:cfvo type="num" gte="0">
                <xm:f>'Modell-Kalibrierung'!$C$18</xm:f>
              </x14:cfvo>
              <x14:cfvo type="num">
                <xm:f>'Modell-Kalibrierung'!$C$20</xm:f>
              </x14:cfvo>
            </x14:iconSet>
          </x14:cfRule>
          <xm:sqref>K71</xm:sqref>
        </x14:conditionalFormatting>
        <x14:conditionalFormatting xmlns:xm="http://schemas.microsoft.com/office/excel/2006/main">
          <x14:cfRule type="iconSet" priority="202" id="{5F9704BC-83A3-4F56-BA48-C51E8731E551}">
            <x14:iconSet iconSet="3TrafficLights2" reverse="1">
              <x14:cfvo type="percent">
                <xm:f>0</xm:f>
              </x14:cfvo>
              <x14:cfvo type="num" gte="0">
                <xm:f>'Modell-Kalibrierung'!$C$18</xm:f>
              </x14:cfvo>
              <x14:cfvo type="num">
                <xm:f>'Modell-Kalibrierung'!$C$20</xm:f>
              </x14:cfvo>
            </x14:iconSet>
          </x14:cfRule>
          <xm:sqref>K72</xm:sqref>
        </x14:conditionalFormatting>
        <x14:conditionalFormatting xmlns:xm="http://schemas.microsoft.com/office/excel/2006/main">
          <x14:cfRule type="iconSet" priority="201" id="{BF52826D-DA6A-4568-88A5-A73BA6319F3B}">
            <x14:iconSet iconSet="3TrafficLights2" reverse="1">
              <x14:cfvo type="percent">
                <xm:f>0</xm:f>
              </x14:cfvo>
              <x14:cfvo type="num" gte="0">
                <xm:f>'Modell-Kalibrierung'!$C$18</xm:f>
              </x14:cfvo>
              <x14:cfvo type="num">
                <xm:f>'Modell-Kalibrierung'!$C$20</xm:f>
              </x14:cfvo>
            </x14:iconSet>
          </x14:cfRule>
          <xm:sqref>K73</xm:sqref>
        </x14:conditionalFormatting>
        <x14:conditionalFormatting xmlns:xm="http://schemas.microsoft.com/office/excel/2006/main">
          <x14:cfRule type="iconSet" priority="200" id="{F8F60EE0-A706-4962-B483-F15C7D25BECD}">
            <x14:iconSet iconSet="3TrafficLights2" reverse="1">
              <x14:cfvo type="percent">
                <xm:f>0</xm:f>
              </x14:cfvo>
              <x14:cfvo type="num" gte="0">
                <xm:f>'Modell-Kalibrierung'!$C$18</xm:f>
              </x14:cfvo>
              <x14:cfvo type="num">
                <xm:f>'Modell-Kalibrierung'!$C$20</xm:f>
              </x14:cfvo>
            </x14:iconSet>
          </x14:cfRule>
          <xm:sqref>K75</xm:sqref>
        </x14:conditionalFormatting>
        <x14:conditionalFormatting xmlns:xm="http://schemas.microsoft.com/office/excel/2006/main">
          <x14:cfRule type="iconSet" priority="199" id="{2936A613-BE06-41E5-8BB6-259E7FB5A787}">
            <x14:iconSet iconSet="3TrafficLights2" reverse="1">
              <x14:cfvo type="percent">
                <xm:f>0</xm:f>
              </x14:cfvo>
              <x14:cfvo type="num" gte="0">
                <xm:f>'Modell-Kalibrierung'!$C$18</xm:f>
              </x14:cfvo>
              <x14:cfvo type="num">
                <xm:f>'Modell-Kalibrierung'!$C$20</xm:f>
              </x14:cfvo>
            </x14:iconSet>
          </x14:cfRule>
          <xm:sqref>K76</xm:sqref>
        </x14:conditionalFormatting>
        <x14:conditionalFormatting xmlns:xm="http://schemas.microsoft.com/office/excel/2006/main">
          <x14:cfRule type="iconSet" priority="198" id="{0F482BE6-FF7E-4B34-9D97-0CFE6C72BE4D}">
            <x14:iconSet iconSet="3TrafficLights2" reverse="1">
              <x14:cfvo type="percent">
                <xm:f>0</xm:f>
              </x14:cfvo>
              <x14:cfvo type="num" gte="0">
                <xm:f>'Modell-Kalibrierung'!$C$18</xm:f>
              </x14:cfvo>
              <x14:cfvo type="num">
                <xm:f>'Modell-Kalibrierung'!$C$20</xm:f>
              </x14:cfvo>
            </x14:iconSet>
          </x14:cfRule>
          <xm:sqref>K77</xm:sqref>
        </x14:conditionalFormatting>
        <x14:conditionalFormatting xmlns:xm="http://schemas.microsoft.com/office/excel/2006/main">
          <x14:cfRule type="iconSet" priority="197" id="{2E26B045-F063-4408-BC9A-B53748B7E80F}">
            <x14:iconSet iconSet="3TrafficLights2" reverse="1">
              <x14:cfvo type="percent">
                <xm:f>0</xm:f>
              </x14:cfvo>
              <x14:cfvo type="num" gte="0">
                <xm:f>'Modell-Kalibrierung'!$C$18</xm:f>
              </x14:cfvo>
              <x14:cfvo type="num">
                <xm:f>'Modell-Kalibrierung'!$C$20</xm:f>
              </x14:cfvo>
            </x14:iconSet>
          </x14:cfRule>
          <xm:sqref>K78</xm:sqref>
        </x14:conditionalFormatting>
        <x14:conditionalFormatting xmlns:xm="http://schemas.microsoft.com/office/excel/2006/main">
          <x14:cfRule type="iconSet" priority="196" id="{80208068-FE8A-4794-883B-C7A15283A66B}">
            <x14:iconSet iconSet="3TrafficLights2" reverse="1">
              <x14:cfvo type="percent">
                <xm:f>0</xm:f>
              </x14:cfvo>
              <x14:cfvo type="num" gte="0">
                <xm:f>'Modell-Kalibrierung'!$C$18</xm:f>
              </x14:cfvo>
              <x14:cfvo type="num">
                <xm:f>'Modell-Kalibrierung'!$C$20</xm:f>
              </x14:cfvo>
            </x14:iconSet>
          </x14:cfRule>
          <xm:sqref>K79</xm:sqref>
        </x14:conditionalFormatting>
        <x14:conditionalFormatting xmlns:xm="http://schemas.microsoft.com/office/excel/2006/main">
          <x14:cfRule type="iconSet" priority="195" id="{B9063A6E-80E0-40FE-83DD-192C7643A1D6}">
            <x14:iconSet iconSet="3TrafficLights2" reverse="1">
              <x14:cfvo type="percent">
                <xm:f>0</xm:f>
              </x14:cfvo>
              <x14:cfvo type="num" gte="0">
                <xm:f>'Modell-Kalibrierung'!$C$18</xm:f>
              </x14:cfvo>
              <x14:cfvo type="num">
                <xm:f>'Modell-Kalibrierung'!$C$20</xm:f>
              </x14:cfvo>
            </x14:iconSet>
          </x14:cfRule>
          <xm:sqref>K81</xm:sqref>
        </x14:conditionalFormatting>
        <x14:conditionalFormatting xmlns:xm="http://schemas.microsoft.com/office/excel/2006/main">
          <x14:cfRule type="iconSet" priority="194" id="{8EC1E9E0-C3B7-46A1-A7DF-72BD7E3E9C48}">
            <x14:iconSet iconSet="3TrafficLights2" reverse="1">
              <x14:cfvo type="percent">
                <xm:f>0</xm:f>
              </x14:cfvo>
              <x14:cfvo type="num" gte="0">
                <xm:f>'Modell-Kalibrierung'!$C$18</xm:f>
              </x14:cfvo>
              <x14:cfvo type="num">
                <xm:f>'Modell-Kalibrierung'!$C$20</xm:f>
              </x14:cfvo>
            </x14:iconSet>
          </x14:cfRule>
          <xm:sqref>K82</xm:sqref>
        </x14:conditionalFormatting>
        <x14:conditionalFormatting xmlns:xm="http://schemas.microsoft.com/office/excel/2006/main">
          <x14:cfRule type="iconSet" priority="193" id="{DE572A04-1714-4844-B834-C3FA7A627679}">
            <x14:iconSet iconSet="3TrafficLights2" reverse="1">
              <x14:cfvo type="percent">
                <xm:f>0</xm:f>
              </x14:cfvo>
              <x14:cfvo type="num" gte="0">
                <xm:f>'Modell-Kalibrierung'!$C$18</xm:f>
              </x14:cfvo>
              <x14:cfvo type="num">
                <xm:f>'Modell-Kalibrierung'!$C$20</xm:f>
              </x14:cfvo>
            </x14:iconSet>
          </x14:cfRule>
          <xm:sqref>K83</xm:sqref>
        </x14:conditionalFormatting>
        <x14:conditionalFormatting xmlns:xm="http://schemas.microsoft.com/office/excel/2006/main">
          <x14:cfRule type="iconSet" priority="192" id="{E2DFC1AA-29E3-4E97-A23A-7514D5426B5D}">
            <x14:iconSet iconSet="3TrafficLights2" reverse="1">
              <x14:cfvo type="percent">
                <xm:f>0</xm:f>
              </x14:cfvo>
              <x14:cfvo type="num" gte="0">
                <xm:f>'Modell-Kalibrierung'!$C$18</xm:f>
              </x14:cfvo>
              <x14:cfvo type="num">
                <xm:f>'Modell-Kalibrierung'!$C$20</xm:f>
              </x14:cfvo>
            </x14:iconSet>
          </x14:cfRule>
          <xm:sqref>K84</xm:sqref>
        </x14:conditionalFormatting>
        <x14:conditionalFormatting xmlns:xm="http://schemas.microsoft.com/office/excel/2006/main">
          <x14:cfRule type="iconSet" priority="191" id="{21ED767B-425D-46F0-A71E-35277186C0DF}">
            <x14:iconSet iconSet="3TrafficLights2" reverse="1">
              <x14:cfvo type="percent">
                <xm:f>0</xm:f>
              </x14:cfvo>
              <x14:cfvo type="num" gte="0">
                <xm:f>'Modell-Kalibrierung'!$C$18</xm:f>
              </x14:cfvo>
              <x14:cfvo type="num">
                <xm:f>'Modell-Kalibrierung'!$C$20</xm:f>
              </x14:cfvo>
            </x14:iconSet>
          </x14:cfRule>
          <xm:sqref>K85</xm:sqref>
        </x14:conditionalFormatting>
        <x14:conditionalFormatting xmlns:xm="http://schemas.microsoft.com/office/excel/2006/main">
          <x14:cfRule type="iconSet" priority="190" id="{61F20576-1B9B-4963-ACAA-28942BA0FE27}">
            <x14:iconSet iconSet="3TrafficLights2" reverse="1">
              <x14:cfvo type="percent">
                <xm:f>0</xm:f>
              </x14:cfvo>
              <x14:cfvo type="num" gte="0">
                <xm:f>'Modell-Kalibrierung'!$C$18</xm:f>
              </x14:cfvo>
              <x14:cfvo type="num">
                <xm:f>'Modell-Kalibrierung'!$C$20</xm:f>
              </x14:cfvo>
            </x14:iconSet>
          </x14:cfRule>
          <xm:sqref>K87</xm:sqref>
        </x14:conditionalFormatting>
        <x14:conditionalFormatting xmlns:xm="http://schemas.microsoft.com/office/excel/2006/main">
          <x14:cfRule type="iconSet" priority="189" id="{20EF40B6-4CC9-45E2-B3BE-D4AEB1E6CFCB}">
            <x14:iconSet iconSet="3TrafficLights2" reverse="1">
              <x14:cfvo type="percent">
                <xm:f>0</xm:f>
              </x14:cfvo>
              <x14:cfvo type="num" gte="0">
                <xm:f>'Modell-Kalibrierung'!$C$18</xm:f>
              </x14:cfvo>
              <x14:cfvo type="num">
                <xm:f>'Modell-Kalibrierung'!$C$20</xm:f>
              </x14:cfvo>
            </x14:iconSet>
          </x14:cfRule>
          <xm:sqref>K88</xm:sqref>
        </x14:conditionalFormatting>
        <x14:conditionalFormatting xmlns:xm="http://schemas.microsoft.com/office/excel/2006/main">
          <x14:cfRule type="iconSet" priority="188" id="{8F06E6DF-58B8-4026-802B-609E152267C2}">
            <x14:iconSet iconSet="3TrafficLights2" reverse="1">
              <x14:cfvo type="percent">
                <xm:f>0</xm:f>
              </x14:cfvo>
              <x14:cfvo type="num" gte="0">
                <xm:f>'Modell-Kalibrierung'!$C$18</xm:f>
              </x14:cfvo>
              <x14:cfvo type="num">
                <xm:f>'Modell-Kalibrierung'!$C$20</xm:f>
              </x14:cfvo>
            </x14:iconSet>
          </x14:cfRule>
          <xm:sqref>K89</xm:sqref>
        </x14:conditionalFormatting>
        <x14:conditionalFormatting xmlns:xm="http://schemas.microsoft.com/office/excel/2006/main">
          <x14:cfRule type="iconSet" priority="187" id="{91BB6478-3282-4730-920F-62C1D051F707}">
            <x14:iconSet iconSet="3TrafficLights2" reverse="1">
              <x14:cfvo type="percent">
                <xm:f>0</xm:f>
              </x14:cfvo>
              <x14:cfvo type="num" gte="0">
                <xm:f>'Modell-Kalibrierung'!$C$18</xm:f>
              </x14:cfvo>
              <x14:cfvo type="num">
                <xm:f>'Modell-Kalibrierung'!$C$20</xm:f>
              </x14:cfvo>
            </x14:iconSet>
          </x14:cfRule>
          <xm:sqref>K90</xm:sqref>
        </x14:conditionalFormatting>
        <x14:conditionalFormatting xmlns:xm="http://schemas.microsoft.com/office/excel/2006/main">
          <x14:cfRule type="iconSet" priority="186" id="{F715D96E-7A8F-4FF6-AC54-8FA476AAAD4B}">
            <x14:iconSet iconSet="3TrafficLights2" reverse="1">
              <x14:cfvo type="percent">
                <xm:f>0</xm:f>
              </x14:cfvo>
              <x14:cfvo type="num" gte="0">
                <xm:f>'Modell-Kalibrierung'!$C$18</xm:f>
              </x14:cfvo>
              <x14:cfvo type="num">
                <xm:f>'Modell-Kalibrierung'!$C$20</xm:f>
              </x14:cfvo>
            </x14:iconSet>
          </x14:cfRule>
          <xm:sqref>K91</xm:sqref>
        </x14:conditionalFormatting>
        <x14:conditionalFormatting xmlns:xm="http://schemas.microsoft.com/office/excel/2006/main">
          <x14:cfRule type="iconSet" priority="185" id="{FB2589ED-7421-4157-83DB-A35B29ABEEE7}">
            <x14:iconSet iconSet="3TrafficLights2" reverse="1">
              <x14:cfvo type="percent">
                <xm:f>0</xm:f>
              </x14:cfvo>
              <x14:cfvo type="num" gte="0">
                <xm:f>'Modell-Kalibrierung'!$C$18</xm:f>
              </x14:cfvo>
              <x14:cfvo type="num">
                <xm:f>'Modell-Kalibrierung'!$C$20</xm:f>
              </x14:cfvo>
            </x14:iconSet>
          </x14:cfRule>
          <xm:sqref>K93</xm:sqref>
        </x14:conditionalFormatting>
        <x14:conditionalFormatting xmlns:xm="http://schemas.microsoft.com/office/excel/2006/main">
          <x14:cfRule type="iconSet" priority="184" id="{B9F87D52-7710-429C-B846-539A5BE1CD95}">
            <x14:iconSet iconSet="3TrafficLights2" reverse="1">
              <x14:cfvo type="percent">
                <xm:f>0</xm:f>
              </x14:cfvo>
              <x14:cfvo type="num" gte="0">
                <xm:f>'Modell-Kalibrierung'!$C$18</xm:f>
              </x14:cfvo>
              <x14:cfvo type="num">
                <xm:f>'Modell-Kalibrierung'!$C$20</xm:f>
              </x14:cfvo>
            </x14:iconSet>
          </x14:cfRule>
          <xm:sqref>K94</xm:sqref>
        </x14:conditionalFormatting>
        <x14:conditionalFormatting xmlns:xm="http://schemas.microsoft.com/office/excel/2006/main">
          <x14:cfRule type="iconSet" priority="183" id="{98E1508D-207B-4003-AAF2-960E36FB59F3}">
            <x14:iconSet iconSet="3TrafficLights2" reverse="1">
              <x14:cfvo type="percent">
                <xm:f>0</xm:f>
              </x14:cfvo>
              <x14:cfvo type="num" gte="0">
                <xm:f>'Modell-Kalibrierung'!$C$18</xm:f>
              </x14:cfvo>
              <x14:cfvo type="num">
                <xm:f>'Modell-Kalibrierung'!$C$20</xm:f>
              </x14:cfvo>
            </x14:iconSet>
          </x14:cfRule>
          <xm:sqref>K95</xm:sqref>
        </x14:conditionalFormatting>
        <x14:conditionalFormatting xmlns:xm="http://schemas.microsoft.com/office/excel/2006/main">
          <x14:cfRule type="iconSet" priority="182" id="{CC8CF1AD-9742-4F65-940C-18BB7E8ADD1D}">
            <x14:iconSet iconSet="3TrafficLights2" reverse="1">
              <x14:cfvo type="percent">
                <xm:f>0</xm:f>
              </x14:cfvo>
              <x14:cfvo type="num" gte="0">
                <xm:f>'Modell-Kalibrierung'!$C$18</xm:f>
              </x14:cfvo>
              <x14:cfvo type="num">
                <xm:f>'Modell-Kalibrierung'!$C$20</xm:f>
              </x14:cfvo>
            </x14:iconSet>
          </x14:cfRule>
          <xm:sqref>K96</xm:sqref>
        </x14:conditionalFormatting>
        <x14:conditionalFormatting xmlns:xm="http://schemas.microsoft.com/office/excel/2006/main">
          <x14:cfRule type="iconSet" priority="181" id="{E837B732-42BC-4C77-A703-E36B3BBB1E0E}">
            <x14:iconSet iconSet="3TrafficLights2" reverse="1">
              <x14:cfvo type="percent">
                <xm:f>0</xm:f>
              </x14:cfvo>
              <x14:cfvo type="num" gte="0">
                <xm:f>'Modell-Kalibrierung'!$C$18</xm:f>
              </x14:cfvo>
              <x14:cfvo type="num">
                <xm:f>'Modell-Kalibrierung'!$C$20</xm:f>
              </x14:cfvo>
            </x14:iconSet>
          </x14:cfRule>
          <xm:sqref>K97</xm:sqref>
        </x14:conditionalFormatting>
        <x14:conditionalFormatting xmlns:xm="http://schemas.microsoft.com/office/excel/2006/main">
          <x14:cfRule type="iconSet" priority="180" id="{B45FE271-88A8-4481-AD47-D48ADCD4C405}">
            <x14:iconSet iconSet="3TrafficLights2" reverse="1">
              <x14:cfvo type="percent">
                <xm:f>0</xm:f>
              </x14:cfvo>
              <x14:cfvo type="num" gte="0">
                <xm:f>'Modell-Kalibrierung'!$C$18</xm:f>
              </x14:cfvo>
              <x14:cfvo type="num">
                <xm:f>'Modell-Kalibrierung'!$C$20</xm:f>
              </x14:cfvo>
            </x14:iconSet>
          </x14:cfRule>
          <xm:sqref>K99</xm:sqref>
        </x14:conditionalFormatting>
        <x14:conditionalFormatting xmlns:xm="http://schemas.microsoft.com/office/excel/2006/main">
          <x14:cfRule type="iconSet" priority="179" id="{ACC0D73D-A471-478A-B942-DF324C1DC420}">
            <x14:iconSet iconSet="3TrafficLights2" reverse="1">
              <x14:cfvo type="percent">
                <xm:f>0</xm:f>
              </x14:cfvo>
              <x14:cfvo type="num" gte="0">
                <xm:f>'Modell-Kalibrierung'!$C$18</xm:f>
              </x14:cfvo>
              <x14:cfvo type="num">
                <xm:f>'Modell-Kalibrierung'!$C$20</xm:f>
              </x14:cfvo>
            </x14:iconSet>
          </x14:cfRule>
          <xm:sqref>K100</xm:sqref>
        </x14:conditionalFormatting>
        <x14:conditionalFormatting xmlns:xm="http://schemas.microsoft.com/office/excel/2006/main">
          <x14:cfRule type="iconSet" priority="178" id="{681E94FE-5E90-45D0-95F3-0CD79ECFB6EE}">
            <x14:iconSet iconSet="3TrafficLights2" reverse="1">
              <x14:cfvo type="percent">
                <xm:f>0</xm:f>
              </x14:cfvo>
              <x14:cfvo type="num" gte="0">
                <xm:f>'Modell-Kalibrierung'!$C$18</xm:f>
              </x14:cfvo>
              <x14:cfvo type="num">
                <xm:f>'Modell-Kalibrierung'!$C$20</xm:f>
              </x14:cfvo>
            </x14:iconSet>
          </x14:cfRule>
          <xm:sqref>K101</xm:sqref>
        </x14:conditionalFormatting>
        <x14:conditionalFormatting xmlns:xm="http://schemas.microsoft.com/office/excel/2006/main">
          <x14:cfRule type="iconSet" priority="177" id="{9B87F007-768C-49A6-BEE4-EFE65C3AF662}">
            <x14:iconSet iconSet="3TrafficLights2" reverse="1">
              <x14:cfvo type="percent">
                <xm:f>0</xm:f>
              </x14:cfvo>
              <x14:cfvo type="num" gte="0">
                <xm:f>'Modell-Kalibrierung'!$C$18</xm:f>
              </x14:cfvo>
              <x14:cfvo type="num">
                <xm:f>'Modell-Kalibrierung'!$C$20</xm:f>
              </x14:cfvo>
            </x14:iconSet>
          </x14:cfRule>
          <xm:sqref>K102</xm:sqref>
        </x14:conditionalFormatting>
        <x14:conditionalFormatting xmlns:xm="http://schemas.microsoft.com/office/excel/2006/main">
          <x14:cfRule type="iconSet" priority="176" id="{7B788A02-C84F-46B4-A1DA-757AE85F2D78}">
            <x14:iconSet iconSet="3TrafficLights2" reverse="1">
              <x14:cfvo type="percent">
                <xm:f>0</xm:f>
              </x14:cfvo>
              <x14:cfvo type="num" gte="0">
                <xm:f>'Modell-Kalibrierung'!$C$18</xm:f>
              </x14:cfvo>
              <x14:cfvo type="num">
                <xm:f>'Modell-Kalibrierung'!$C$20</xm:f>
              </x14:cfvo>
            </x14:iconSet>
          </x14:cfRule>
          <xm:sqref>K103</xm:sqref>
        </x14:conditionalFormatting>
        <x14:conditionalFormatting xmlns:xm="http://schemas.microsoft.com/office/excel/2006/main">
          <x14:cfRule type="iconSet" priority="175" id="{8D9ED681-5712-4BAB-BA97-7E47480DB3E8}">
            <x14:iconSet iconSet="3TrafficLights2" reverse="1">
              <x14:cfvo type="percent">
                <xm:f>0</xm:f>
              </x14:cfvo>
              <x14:cfvo type="num" gte="0">
                <xm:f>'Modell-Kalibrierung'!$C$18</xm:f>
              </x14:cfvo>
              <x14:cfvo type="num">
                <xm:f>'Modell-Kalibrierung'!$C$20</xm:f>
              </x14:cfvo>
            </x14:iconSet>
          </x14:cfRule>
          <xm:sqref>K105</xm:sqref>
        </x14:conditionalFormatting>
        <x14:conditionalFormatting xmlns:xm="http://schemas.microsoft.com/office/excel/2006/main">
          <x14:cfRule type="iconSet" priority="174" id="{F5450188-A4BF-4631-A2D0-7591000C6DEC}">
            <x14:iconSet iconSet="3TrafficLights2" reverse="1">
              <x14:cfvo type="percent">
                <xm:f>0</xm:f>
              </x14:cfvo>
              <x14:cfvo type="num" gte="0">
                <xm:f>'Modell-Kalibrierung'!$C$18</xm:f>
              </x14:cfvo>
              <x14:cfvo type="num">
                <xm:f>'Modell-Kalibrierung'!$C$20</xm:f>
              </x14:cfvo>
            </x14:iconSet>
          </x14:cfRule>
          <xm:sqref>K106</xm:sqref>
        </x14:conditionalFormatting>
        <x14:conditionalFormatting xmlns:xm="http://schemas.microsoft.com/office/excel/2006/main">
          <x14:cfRule type="iconSet" priority="173" id="{41F8635B-19DB-4A7E-8AA0-DAD507408DDC}">
            <x14:iconSet iconSet="3TrafficLights2" reverse="1">
              <x14:cfvo type="percent">
                <xm:f>0</xm:f>
              </x14:cfvo>
              <x14:cfvo type="num" gte="0">
                <xm:f>'Modell-Kalibrierung'!$C$18</xm:f>
              </x14:cfvo>
              <x14:cfvo type="num">
                <xm:f>'Modell-Kalibrierung'!$C$20</xm:f>
              </x14:cfvo>
            </x14:iconSet>
          </x14:cfRule>
          <xm:sqref>K107</xm:sqref>
        </x14:conditionalFormatting>
        <x14:conditionalFormatting xmlns:xm="http://schemas.microsoft.com/office/excel/2006/main">
          <x14:cfRule type="iconSet" priority="172" id="{790510AA-A840-4CC6-B543-F797F30CD000}">
            <x14:iconSet iconSet="3TrafficLights2" reverse="1">
              <x14:cfvo type="percent">
                <xm:f>0</xm:f>
              </x14:cfvo>
              <x14:cfvo type="num" gte="0">
                <xm:f>'Modell-Kalibrierung'!$C$18</xm:f>
              </x14:cfvo>
              <x14:cfvo type="num">
                <xm:f>'Modell-Kalibrierung'!$C$20</xm:f>
              </x14:cfvo>
            </x14:iconSet>
          </x14:cfRule>
          <xm:sqref>K108</xm:sqref>
        </x14:conditionalFormatting>
        <x14:conditionalFormatting xmlns:xm="http://schemas.microsoft.com/office/excel/2006/main">
          <x14:cfRule type="iconSet" priority="171" id="{20EFC5D8-92DE-414B-9359-E17BDF3C0391}">
            <x14:iconSet iconSet="3TrafficLights2" reverse="1">
              <x14:cfvo type="percent">
                <xm:f>0</xm:f>
              </x14:cfvo>
              <x14:cfvo type="num" gte="0">
                <xm:f>'Modell-Kalibrierung'!$C$18</xm:f>
              </x14:cfvo>
              <x14:cfvo type="num">
                <xm:f>'Modell-Kalibrierung'!$C$20</xm:f>
              </x14:cfvo>
            </x14:iconSet>
          </x14:cfRule>
          <xm:sqref>K109</xm:sqref>
        </x14:conditionalFormatting>
        <x14:conditionalFormatting xmlns:xm="http://schemas.microsoft.com/office/excel/2006/main">
          <x14:cfRule type="iconSet" priority="170" id="{78AF1405-BCC2-47E8-9161-00CEB7B4477C}">
            <x14:iconSet iconSet="3TrafficLights2" reverse="1">
              <x14:cfvo type="percent">
                <xm:f>0</xm:f>
              </x14:cfvo>
              <x14:cfvo type="num" gte="0">
                <xm:f>'Modell-Kalibrierung'!$C$18</xm:f>
              </x14:cfvo>
              <x14:cfvo type="num">
                <xm:f>'Modell-Kalibrierung'!$C$20</xm:f>
              </x14:cfvo>
            </x14:iconSet>
          </x14:cfRule>
          <xm:sqref>K111</xm:sqref>
        </x14:conditionalFormatting>
        <x14:conditionalFormatting xmlns:xm="http://schemas.microsoft.com/office/excel/2006/main">
          <x14:cfRule type="iconSet" priority="169" id="{9CC543ED-8A05-4C2D-A5DA-BC16E85BF59A}">
            <x14:iconSet iconSet="3TrafficLights2" reverse="1">
              <x14:cfvo type="percent">
                <xm:f>0</xm:f>
              </x14:cfvo>
              <x14:cfvo type="num" gte="0">
                <xm:f>'Modell-Kalibrierung'!$C$18</xm:f>
              </x14:cfvo>
              <x14:cfvo type="num">
                <xm:f>'Modell-Kalibrierung'!$C$20</xm:f>
              </x14:cfvo>
            </x14:iconSet>
          </x14:cfRule>
          <xm:sqref>K112</xm:sqref>
        </x14:conditionalFormatting>
        <x14:conditionalFormatting xmlns:xm="http://schemas.microsoft.com/office/excel/2006/main">
          <x14:cfRule type="iconSet" priority="168" id="{43D39153-0556-4252-9D9D-276AE9C30233}">
            <x14:iconSet iconSet="3TrafficLights2" reverse="1">
              <x14:cfvo type="percent">
                <xm:f>0</xm:f>
              </x14:cfvo>
              <x14:cfvo type="num" gte="0">
                <xm:f>'Modell-Kalibrierung'!$C$18</xm:f>
              </x14:cfvo>
              <x14:cfvo type="num">
                <xm:f>'Modell-Kalibrierung'!$C$20</xm:f>
              </x14:cfvo>
            </x14:iconSet>
          </x14:cfRule>
          <xm:sqref>K113</xm:sqref>
        </x14:conditionalFormatting>
        <x14:conditionalFormatting xmlns:xm="http://schemas.microsoft.com/office/excel/2006/main">
          <x14:cfRule type="iconSet" priority="167" id="{56CA865F-D1D5-4021-A061-E38677388B57}">
            <x14:iconSet iconSet="3TrafficLights2" reverse="1">
              <x14:cfvo type="percent">
                <xm:f>0</xm:f>
              </x14:cfvo>
              <x14:cfvo type="num" gte="0">
                <xm:f>'Modell-Kalibrierung'!$C$18</xm:f>
              </x14:cfvo>
              <x14:cfvo type="num">
                <xm:f>'Modell-Kalibrierung'!$C$20</xm:f>
              </x14:cfvo>
            </x14:iconSet>
          </x14:cfRule>
          <xm:sqref>K114</xm:sqref>
        </x14:conditionalFormatting>
        <x14:conditionalFormatting xmlns:xm="http://schemas.microsoft.com/office/excel/2006/main">
          <x14:cfRule type="iconSet" priority="166" id="{B5E35FFC-BD73-4D75-A5EF-F377E3713C84}">
            <x14:iconSet iconSet="3TrafficLights2" reverse="1">
              <x14:cfvo type="percent">
                <xm:f>0</xm:f>
              </x14:cfvo>
              <x14:cfvo type="num" gte="0">
                <xm:f>'Modell-Kalibrierung'!$C$18</xm:f>
              </x14:cfvo>
              <x14:cfvo type="num">
                <xm:f>'Modell-Kalibrierung'!$C$20</xm:f>
              </x14:cfvo>
            </x14:iconSet>
          </x14:cfRule>
          <xm:sqref>K115</xm:sqref>
        </x14:conditionalFormatting>
        <x14:conditionalFormatting xmlns:xm="http://schemas.microsoft.com/office/excel/2006/main">
          <x14:cfRule type="iconSet" priority="165" id="{5CA3D4FA-B418-4B6D-B0E2-35BBE732FC4D}">
            <x14:iconSet iconSet="3TrafficLights2" reverse="1">
              <x14:cfvo type="percent">
                <xm:f>0</xm:f>
              </x14:cfvo>
              <x14:cfvo type="num" gte="0">
                <xm:f>'Modell-Kalibrierung'!$C$18</xm:f>
              </x14:cfvo>
              <x14:cfvo type="num">
                <xm:f>'Modell-Kalibrierung'!$C$20</xm:f>
              </x14:cfvo>
            </x14:iconSet>
          </x14:cfRule>
          <xm:sqref>K117</xm:sqref>
        </x14:conditionalFormatting>
        <x14:conditionalFormatting xmlns:xm="http://schemas.microsoft.com/office/excel/2006/main">
          <x14:cfRule type="iconSet" priority="164" id="{DFCD1CBB-DA98-41EA-847B-03C77E4EFCC2}">
            <x14:iconSet iconSet="3TrafficLights2" reverse="1">
              <x14:cfvo type="percent">
                <xm:f>0</xm:f>
              </x14:cfvo>
              <x14:cfvo type="num" gte="0">
                <xm:f>'Modell-Kalibrierung'!$C$18</xm:f>
              </x14:cfvo>
              <x14:cfvo type="num">
                <xm:f>'Modell-Kalibrierung'!$C$20</xm:f>
              </x14:cfvo>
            </x14:iconSet>
          </x14:cfRule>
          <xm:sqref>K118</xm:sqref>
        </x14:conditionalFormatting>
        <x14:conditionalFormatting xmlns:xm="http://schemas.microsoft.com/office/excel/2006/main">
          <x14:cfRule type="iconSet" priority="163" id="{983C1DAA-9788-464F-BFB6-FC64AB643E6F}">
            <x14:iconSet iconSet="3TrafficLights2" reverse="1">
              <x14:cfvo type="percent">
                <xm:f>0</xm:f>
              </x14:cfvo>
              <x14:cfvo type="num" gte="0">
                <xm:f>'Modell-Kalibrierung'!$C$18</xm:f>
              </x14:cfvo>
              <x14:cfvo type="num">
                <xm:f>'Modell-Kalibrierung'!$C$20</xm:f>
              </x14:cfvo>
            </x14:iconSet>
          </x14:cfRule>
          <xm:sqref>K119</xm:sqref>
        </x14:conditionalFormatting>
        <x14:conditionalFormatting xmlns:xm="http://schemas.microsoft.com/office/excel/2006/main">
          <x14:cfRule type="iconSet" priority="162" id="{CD752DB7-1C55-4F43-8B9A-FE5F5A55627E}">
            <x14:iconSet iconSet="3TrafficLights2" reverse="1">
              <x14:cfvo type="percent">
                <xm:f>0</xm:f>
              </x14:cfvo>
              <x14:cfvo type="num" gte="0">
                <xm:f>'Modell-Kalibrierung'!$C$18</xm:f>
              </x14:cfvo>
              <x14:cfvo type="num">
                <xm:f>'Modell-Kalibrierung'!$C$20</xm:f>
              </x14:cfvo>
            </x14:iconSet>
          </x14:cfRule>
          <xm:sqref>K120</xm:sqref>
        </x14:conditionalFormatting>
        <x14:conditionalFormatting xmlns:xm="http://schemas.microsoft.com/office/excel/2006/main">
          <x14:cfRule type="iconSet" priority="161" id="{13F7940A-E2CE-4279-A52E-7022367685DE}">
            <x14:iconSet iconSet="3TrafficLights2" reverse="1">
              <x14:cfvo type="percent">
                <xm:f>0</xm:f>
              </x14:cfvo>
              <x14:cfvo type="num" gte="0">
                <xm:f>'Modell-Kalibrierung'!$C$18</xm:f>
              </x14:cfvo>
              <x14:cfvo type="num">
                <xm:f>'Modell-Kalibrierung'!$C$20</xm:f>
              </x14:cfvo>
            </x14:iconSet>
          </x14:cfRule>
          <xm:sqref>K121</xm:sqref>
        </x14:conditionalFormatting>
        <x14:conditionalFormatting xmlns:xm="http://schemas.microsoft.com/office/excel/2006/main">
          <x14:cfRule type="cellIs" priority="148" operator="equal" id="{1863EC98-BA84-4062-A958-1C080B8B5A9A}">
            <xm:f>'Modell-Kalibrierung'!$B$16</xm:f>
            <x14:dxf>
              <fill>
                <patternFill>
                  <bgColor theme="0"/>
                </patternFill>
              </fill>
            </x14:dxf>
          </x14:cfRule>
          <xm:sqref>I48:I49</xm:sqref>
        </x14:conditionalFormatting>
        <x14:conditionalFormatting xmlns:xm="http://schemas.microsoft.com/office/excel/2006/main">
          <x14:cfRule type="cellIs" priority="141" operator="equal" id="{5ADD68AD-5209-4440-9487-CC882353867A}">
            <xm:f>'Modell-Kalibrierung'!$B$16</xm:f>
            <x14:dxf>
              <fill>
                <patternFill>
                  <bgColor theme="0"/>
                </patternFill>
              </fill>
            </x14:dxf>
          </x14:cfRule>
          <xm:sqref>G48:G49</xm:sqref>
        </x14:conditionalFormatting>
        <x14:conditionalFormatting xmlns:xm="http://schemas.microsoft.com/office/excel/2006/main">
          <x14:cfRule type="cellIs" priority="128" operator="equal" id="{51A380B2-6FC7-4D4A-B6AB-7925B5E1F8C8}">
            <xm:f>'Modell-Kalibrierung'!$B$16</xm:f>
            <x14:dxf>
              <fill>
                <patternFill>
                  <bgColor theme="0"/>
                </patternFill>
              </fill>
            </x14:dxf>
          </x14:cfRule>
          <xm:sqref>I45:I47</xm:sqref>
        </x14:conditionalFormatting>
        <x14:conditionalFormatting xmlns:xm="http://schemas.microsoft.com/office/excel/2006/main">
          <x14:cfRule type="cellIs" priority="121" operator="equal" id="{188EEAAA-F6AC-491C-89BE-60ACBB38A90F}">
            <xm:f>'Modell-Kalibrierung'!$B$16</xm:f>
            <x14:dxf>
              <fill>
                <patternFill>
                  <bgColor theme="0"/>
                </patternFill>
              </fill>
            </x14:dxf>
          </x14:cfRule>
          <xm:sqref>G45:G47</xm:sqref>
        </x14:conditionalFormatting>
        <x14:conditionalFormatting xmlns:xm="http://schemas.microsoft.com/office/excel/2006/main">
          <x14:cfRule type="cellIs" priority="108" operator="equal" id="{8DFDFDBE-A85E-4F4D-8F2A-C413272F92AB}">
            <xm:f>'Modell-Kalibrierung'!$B$16</xm:f>
            <x14:dxf>
              <fill>
                <patternFill>
                  <bgColor theme="0"/>
                </patternFill>
              </fill>
            </x14:dxf>
          </x14:cfRule>
          <xm:sqref>I54:I55</xm:sqref>
        </x14:conditionalFormatting>
        <x14:conditionalFormatting xmlns:xm="http://schemas.microsoft.com/office/excel/2006/main">
          <x14:cfRule type="cellIs" priority="101" operator="equal" id="{EBB7C07B-C780-4972-9337-953AF3F4BFFA}">
            <xm:f>'Modell-Kalibrierung'!$B$16</xm:f>
            <x14:dxf>
              <fill>
                <patternFill>
                  <bgColor theme="0"/>
                </patternFill>
              </fill>
            </x14:dxf>
          </x14:cfRule>
          <xm:sqref>G54:G55</xm:sqref>
        </x14:conditionalFormatting>
        <x14:conditionalFormatting xmlns:xm="http://schemas.microsoft.com/office/excel/2006/main">
          <x14:cfRule type="cellIs" priority="88" operator="equal" id="{73F93CCE-A7FC-47D5-895C-E020D6F3E328}">
            <xm:f>'Modell-Kalibrierung'!$B$16</xm:f>
            <x14:dxf>
              <fill>
                <patternFill>
                  <bgColor theme="0"/>
                </patternFill>
              </fill>
            </x14:dxf>
          </x14:cfRule>
          <xm:sqref>I51:I53</xm:sqref>
        </x14:conditionalFormatting>
        <x14:conditionalFormatting xmlns:xm="http://schemas.microsoft.com/office/excel/2006/main">
          <x14:cfRule type="cellIs" priority="81" operator="equal" id="{7F2D9F90-5FA6-4D1B-BD64-15F7F81B3EBC}">
            <xm:f>'Modell-Kalibrierung'!$B$16</xm:f>
            <x14:dxf>
              <fill>
                <patternFill>
                  <bgColor theme="0"/>
                </patternFill>
              </fill>
            </x14:dxf>
          </x14:cfRule>
          <xm:sqref>G51:G53</xm:sqref>
        </x14:conditionalFormatting>
        <x14:conditionalFormatting xmlns:xm="http://schemas.microsoft.com/office/excel/2006/main">
          <x14:cfRule type="cellIs" priority="68" operator="equal" id="{743AD5BD-1A79-4F38-85AE-193B1681BC6E}">
            <xm:f>'Modell-Kalibrierung'!$B$16</xm:f>
            <x14:dxf>
              <fill>
                <patternFill>
                  <bgColor theme="0"/>
                </patternFill>
              </fill>
            </x14:dxf>
          </x14:cfRule>
          <xm:sqref>I60:I61</xm:sqref>
        </x14:conditionalFormatting>
        <x14:conditionalFormatting xmlns:xm="http://schemas.microsoft.com/office/excel/2006/main">
          <x14:cfRule type="cellIs" priority="61" operator="equal" id="{B939F5D9-6193-4ED5-9C9D-8250CE8E29D8}">
            <xm:f>'Modell-Kalibrierung'!$B$16</xm:f>
            <x14:dxf>
              <fill>
                <patternFill>
                  <bgColor theme="0"/>
                </patternFill>
              </fill>
            </x14:dxf>
          </x14:cfRule>
          <xm:sqref>G60:G61</xm:sqref>
        </x14:conditionalFormatting>
        <x14:conditionalFormatting xmlns:xm="http://schemas.microsoft.com/office/excel/2006/main">
          <x14:cfRule type="cellIs" priority="48" operator="equal" id="{5D84E95C-6C6D-4FED-A3BF-DE7A2335423B}">
            <xm:f>'Modell-Kalibrierung'!$B$16</xm:f>
            <x14:dxf>
              <fill>
                <patternFill>
                  <bgColor theme="0"/>
                </patternFill>
              </fill>
            </x14:dxf>
          </x14:cfRule>
          <xm:sqref>I57:I59</xm:sqref>
        </x14:conditionalFormatting>
        <x14:conditionalFormatting xmlns:xm="http://schemas.microsoft.com/office/excel/2006/main">
          <x14:cfRule type="cellIs" priority="41" operator="equal" id="{E9B9C99F-B09F-454A-AF1D-29948F4875B7}">
            <xm:f>'Modell-Kalibrierung'!$B$16</xm:f>
            <x14:dxf>
              <fill>
                <patternFill>
                  <bgColor theme="0"/>
                </patternFill>
              </fill>
            </x14:dxf>
          </x14:cfRule>
          <xm:sqref>G57:G59</xm:sqref>
        </x14:conditionalFormatting>
        <x14:conditionalFormatting xmlns:xm="http://schemas.microsoft.com/office/excel/2006/main">
          <x14:cfRule type="cellIs" priority="28" operator="equal" id="{819257B7-7054-4B60-86BF-A1EEBA5BD7D3}">
            <xm:f>'Modell-Kalibrierung'!$B$16</xm:f>
            <x14:dxf>
              <fill>
                <patternFill>
                  <bgColor theme="0"/>
                </patternFill>
              </fill>
            </x14:dxf>
          </x14:cfRule>
          <xm:sqref>I36:I37</xm:sqref>
        </x14:conditionalFormatting>
        <x14:conditionalFormatting xmlns:xm="http://schemas.microsoft.com/office/excel/2006/main">
          <x14:cfRule type="cellIs" priority="21" operator="equal" id="{51E4A1BC-5567-41D9-93EE-BF01171FE3BB}">
            <xm:f>'Modell-Kalibrierung'!$B$16</xm:f>
            <x14:dxf>
              <fill>
                <patternFill>
                  <bgColor theme="0"/>
                </patternFill>
              </fill>
            </x14:dxf>
          </x14:cfRule>
          <xm:sqref>G36:G37</xm:sqref>
        </x14:conditionalFormatting>
        <x14:conditionalFormatting xmlns:xm="http://schemas.microsoft.com/office/excel/2006/main">
          <x14:cfRule type="cellIs" priority="8" operator="equal" id="{39AFB394-A956-44BE-82BD-6A9490D005B9}">
            <xm:f>'Modell-Kalibrierung'!$B$16</xm:f>
            <x14:dxf>
              <fill>
                <patternFill>
                  <bgColor theme="0"/>
                </patternFill>
              </fill>
            </x14:dxf>
          </x14:cfRule>
          <xm:sqref>I33:I35</xm:sqref>
        </x14:conditionalFormatting>
        <x14:conditionalFormatting xmlns:xm="http://schemas.microsoft.com/office/excel/2006/main">
          <x14:cfRule type="cellIs" priority="1" operator="equal" id="{EA08F24D-C80E-4251-A022-7646408E90FC}">
            <xm:f>'Modell-Kalibrierung'!$B$16</xm:f>
            <x14:dxf>
              <fill>
                <patternFill>
                  <bgColor theme="0"/>
                </patternFill>
              </fill>
            </x14:dxf>
          </x14:cfRule>
          <xm:sqref>G33:G35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'Modell-Kalibrierung'!$B$16:$B$22</xm:f>
          </x14:formula1>
          <xm:sqref>G117:G121 I117:I121 G39:G43 I39:I43 I57:I61 G57:G61 I45:I49 G45:G49 I51:I55 G51:G55 I63:I67 G63:G67 G69:G73 I69:I73 I87:I91 G87:G91 G81:G85 I81:I85 I75:I79 G75:G79 I99:I103 G99:G103 G93:G97 I93:I97 I111:I115 G111:G115 G105:G109 I105:I109 I33:I37 G33:G37</xm:sqref>
        </x14:dataValidation>
        <x14:dataValidation type="list" allowBlank="1" showInputMessage="1" showErrorMessage="1">
          <x14:formula1>
            <xm:f>'Modell-Kalibrierung'!$B$3:$B$8</xm:f>
          </x14:formula1>
          <xm:sqref>H117:H121 H39:H43 H57:H61 H45:H49 H51:H55 H63:H67 H69:H73 H87:H91 H81:H85 H75:H79 H99:H103 H93:H97 H111:H115 H105:H109 H33:H37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tabColor rgb="FF92D050"/>
    <pageSetUpPr fitToPage="1"/>
  </sheetPr>
  <dimension ref="A1:H249"/>
  <sheetViews>
    <sheetView view="pageBreakPreview" zoomScale="75" zoomScaleNormal="100" zoomScaleSheetLayoutView="75" workbookViewId="0">
      <selection activeCell="D24" sqref="D24"/>
    </sheetView>
  </sheetViews>
  <sheetFormatPr baseColWidth="10" defaultRowHeight="14.25" x14ac:dyDescent="0.2"/>
  <cols>
    <col min="1" max="1" width="1.875" customWidth="1"/>
    <col min="2" max="2" width="50.625" bestFit="1" customWidth="1"/>
    <col min="3" max="3" width="35.125" customWidth="1"/>
    <col min="4" max="4" width="13" customWidth="1"/>
    <col min="5" max="5" width="47.375" style="18" customWidth="1"/>
    <col min="6" max="6" width="2.125" bestFit="1" customWidth="1"/>
    <col min="8" max="8" width="19.125" customWidth="1"/>
  </cols>
  <sheetData>
    <row r="1" spans="1:8" ht="52.5" customHeight="1" x14ac:dyDescent="0.2">
      <c r="A1" s="56"/>
      <c r="B1" s="122" t="s">
        <v>69</v>
      </c>
      <c r="C1" s="122"/>
      <c r="D1" s="122"/>
      <c r="E1" s="122"/>
      <c r="F1" s="122"/>
      <c r="G1" s="122"/>
      <c r="H1" s="122"/>
    </row>
    <row r="2" spans="1:8" ht="54" customHeight="1" x14ac:dyDescent="0.2">
      <c r="A2" s="36"/>
      <c r="B2" s="52" t="s">
        <v>61</v>
      </c>
      <c r="C2" s="40">
        <f>F6</f>
        <v>0</v>
      </c>
      <c r="D2" s="36"/>
      <c r="E2" s="54"/>
      <c r="F2" s="36"/>
      <c r="G2" s="36"/>
      <c r="H2" s="36"/>
    </row>
    <row r="3" spans="1:8" ht="42.75" customHeight="1" x14ac:dyDescent="0.2">
      <c r="A3" s="36"/>
      <c r="B3" s="53" t="s">
        <v>63</v>
      </c>
      <c r="C3" s="55"/>
      <c r="D3" s="36"/>
      <c r="E3" s="54"/>
      <c r="F3" s="36"/>
      <c r="G3" s="36"/>
      <c r="H3" s="36"/>
    </row>
    <row r="4" spans="1:8" x14ac:dyDescent="0.2">
      <c r="A4" s="36"/>
      <c r="B4" s="36"/>
      <c r="C4" s="36"/>
      <c r="D4" s="36"/>
      <c r="E4" s="54"/>
      <c r="F4" s="36"/>
      <c r="G4" s="36"/>
      <c r="H4" s="36"/>
    </row>
    <row r="5" spans="1:8" ht="15" thickBot="1" x14ac:dyDescent="0.25">
      <c r="A5" s="36"/>
      <c r="B5" s="36"/>
      <c r="C5" s="36"/>
      <c r="D5" s="36"/>
      <c r="E5" s="54"/>
      <c r="F5" s="36"/>
      <c r="G5" s="36"/>
      <c r="H5" s="36"/>
    </row>
    <row r="6" spans="1:8" ht="15.75" thickBot="1" x14ac:dyDescent="0.3">
      <c r="A6" s="36"/>
      <c r="B6" s="41" t="s">
        <v>56</v>
      </c>
      <c r="C6" s="19" t="s">
        <v>48</v>
      </c>
      <c r="D6" s="22" t="s">
        <v>57</v>
      </c>
      <c r="E6" s="19" t="s">
        <v>66</v>
      </c>
      <c r="F6" s="54">
        <f>SUM(F7:F102)</f>
        <v>0</v>
      </c>
      <c r="G6" s="123" t="s">
        <v>67</v>
      </c>
      <c r="H6" s="124"/>
    </row>
    <row r="7" spans="1:8" ht="15.75" thickBot="1" x14ac:dyDescent="0.3">
      <c r="A7" s="36"/>
      <c r="B7" s="57" t="str">
        <f>IF('Modell-Kalibrierung'!B29=0," ",'Modell-Kalibrierung'!B29)</f>
        <v>Strategische Bedeutung/ Beitrag zur Unternehmensstrategie</v>
      </c>
      <c r="C7" s="21" t="str">
        <f>IF('Modell-Kalibrierung'!C29=0," ",'Modell-Kalibrierung'!C29)</f>
        <v>sehr wichtig</v>
      </c>
      <c r="D7" s="58"/>
      <c r="E7" s="117"/>
      <c r="F7" s="54">
        <f>IF(C7=" "," ",(VLOOKUP(C7,'Modell-Kalibrierung'!$H$28:$I$32,2,FALSE))*D7)</f>
        <v>0</v>
      </c>
      <c r="G7" s="26" t="s">
        <v>50</v>
      </c>
      <c r="H7" s="27" t="s">
        <v>58</v>
      </c>
    </row>
    <row r="8" spans="1:8" x14ac:dyDescent="0.2">
      <c r="A8" s="36"/>
      <c r="B8" s="57" t="str">
        <f>IF('Modell-Kalibrierung'!B30=0," ",'Modell-Kalibrierung'!B30)</f>
        <v>Wirtschaftlichkeit Kosten/Nutzenrelation)</v>
      </c>
      <c r="C8" s="21" t="str">
        <f>IF('Modell-Kalibrierung'!C30=0," ",'Modell-Kalibrierung'!C30)</f>
        <v>wichtig</v>
      </c>
      <c r="D8" s="58"/>
      <c r="E8" s="117"/>
      <c r="F8" s="54">
        <f>IF(C8=" "," ",(VLOOKUP(C8,'Modell-Kalibrierung'!$H$28:$I$32,2,FALSE))*D8)</f>
        <v>0</v>
      </c>
      <c r="G8" s="28">
        <f>'Modell-Kalibrierung'!E29</f>
        <v>1</v>
      </c>
      <c r="H8" s="29" t="str">
        <f>IF('Modell-Kalibrierung'!F29=0," ",'Modell-Kalibrierung'!F29)</f>
        <v>sehr gering/ schlecht</v>
      </c>
    </row>
    <row r="9" spans="1:8" x14ac:dyDescent="0.2">
      <c r="A9" s="36"/>
      <c r="B9" s="57" t="str">
        <f>IF('Modell-Kalibrierung'!B31=0," ",'Modell-Kalibrierung'!B31)</f>
        <v>Operative Dringlichkeit</v>
      </c>
      <c r="C9" s="21" t="str">
        <f>IF('Modell-Kalibrierung'!C31=0," ",'Modell-Kalibrierung'!C31)</f>
        <v>weniger wichtig</v>
      </c>
      <c r="D9" s="58"/>
      <c r="E9" s="117"/>
      <c r="F9" s="54">
        <f>IF(C9=" "," ",(VLOOKUP(C9,'Modell-Kalibrierung'!$H$28:$I$32,2,FALSE))*D9)</f>
        <v>0</v>
      </c>
      <c r="G9" s="30">
        <f>'Modell-Kalibrierung'!E30</f>
        <v>2</v>
      </c>
      <c r="H9" s="31" t="str">
        <f>IF('Modell-Kalibrierung'!F30=0," ",'Modell-Kalibrierung'!F30)</f>
        <v xml:space="preserve"> </v>
      </c>
    </row>
    <row r="10" spans="1:8" x14ac:dyDescent="0.2">
      <c r="A10" s="36"/>
      <c r="B10" s="57" t="str">
        <f>IF('Modell-Kalibrierung'!B32=0," ",'Modell-Kalibrierung'!B32)</f>
        <v>Wichtigkeit des Kunden</v>
      </c>
      <c r="C10" s="21" t="str">
        <f>IF('Modell-Kalibrierung'!C32=0," ",'Modell-Kalibrierung'!C32)</f>
        <v>sehr wichtig</v>
      </c>
      <c r="D10" s="58"/>
      <c r="E10" s="117"/>
      <c r="F10" s="54">
        <f>IF(C10=" "," ",(VLOOKUP(C10,'Modell-Kalibrierung'!$H$28:$I$32,2,FALSE))*D10)</f>
        <v>0</v>
      </c>
      <c r="G10" s="30">
        <f>'Modell-Kalibrierung'!E31</f>
        <v>3</v>
      </c>
      <c r="H10" s="31" t="str">
        <f>IF('Modell-Kalibrierung'!F31=0," ",'Modell-Kalibrierung'!F31)</f>
        <v xml:space="preserve"> </v>
      </c>
    </row>
    <row r="11" spans="1:8" x14ac:dyDescent="0.2">
      <c r="A11" s="36"/>
      <c r="B11" s="57" t="str">
        <f>IF('Modell-Kalibrierung'!B33=0," ",'Modell-Kalibrierung'!B33)</f>
        <v>Markt/ Wettbewerbssituation</v>
      </c>
      <c r="C11" s="21" t="str">
        <f>IF('Modell-Kalibrierung'!C33=0," ",'Modell-Kalibrierung'!C33)</f>
        <v>kann vernachlässigt werden</v>
      </c>
      <c r="D11" s="58"/>
      <c r="E11" s="117"/>
      <c r="F11" s="54">
        <f>IF(C11=" "," ",(VLOOKUP(C11,'Modell-Kalibrierung'!$H$28:$I$32,2,FALSE))*D11)</f>
        <v>0</v>
      </c>
      <c r="G11" s="30">
        <f>'Modell-Kalibrierung'!E32</f>
        <v>4</v>
      </c>
      <c r="H11" s="31" t="str">
        <f>IF('Modell-Kalibrierung'!F32=0," ",'Modell-Kalibrierung'!F32)</f>
        <v xml:space="preserve"> </v>
      </c>
    </row>
    <row r="12" spans="1:8" x14ac:dyDescent="0.2">
      <c r="A12" s="36"/>
      <c r="B12" s="57" t="str">
        <f>IF('Modell-Kalibrierung'!B34=0," ",'Modell-Kalibrierung'!B34)</f>
        <v>Reputation</v>
      </c>
      <c r="C12" s="21" t="str">
        <f>IF('Modell-Kalibrierung'!C34=0," ",'Modell-Kalibrierung'!C34)</f>
        <v>wichtig</v>
      </c>
      <c r="D12" s="58"/>
      <c r="E12" s="117"/>
      <c r="F12" s="54">
        <f>IF(C12=" "," ",(VLOOKUP(C12,'Modell-Kalibrierung'!$H$28:$I$32,2,FALSE))*D12)</f>
        <v>0</v>
      </c>
      <c r="G12" s="30">
        <f>'Modell-Kalibrierung'!E33</f>
        <v>5</v>
      </c>
      <c r="H12" s="31" t="str">
        <f>IF('Modell-Kalibrierung'!F33=0," ",'Modell-Kalibrierung'!F33)</f>
        <v xml:space="preserve"> </v>
      </c>
    </row>
    <row r="13" spans="1:8" x14ac:dyDescent="0.2">
      <c r="A13" s="36"/>
      <c r="B13" s="57" t="str">
        <f>IF('Modell-Kalibrierung'!B35=0," ",'Modell-Kalibrierung'!B35)</f>
        <v xml:space="preserve"> </v>
      </c>
      <c r="C13" s="21" t="str">
        <f>IF('Modell-Kalibrierung'!C35=0," ",'Modell-Kalibrierung'!C35)</f>
        <v xml:space="preserve"> </v>
      </c>
      <c r="D13" s="58"/>
      <c r="E13" s="117"/>
      <c r="F13" s="54" t="str">
        <f>IF(C13=" "," ",(VLOOKUP(C13,'Modell-Kalibrierung'!$H$28:$I$32,2,FALSE))*D13)</f>
        <v xml:space="preserve"> </v>
      </c>
      <c r="G13" s="30">
        <f>'Modell-Kalibrierung'!E34</f>
        <v>6</v>
      </c>
      <c r="H13" s="31" t="str">
        <f>IF('Modell-Kalibrierung'!F34=0," ",'Modell-Kalibrierung'!F34)</f>
        <v xml:space="preserve"> </v>
      </c>
    </row>
    <row r="14" spans="1:8" x14ac:dyDescent="0.2">
      <c r="A14" s="36"/>
      <c r="B14" s="57" t="str">
        <f>IF('Modell-Kalibrierung'!B36=0," ",'Modell-Kalibrierung'!B36)</f>
        <v xml:space="preserve"> </v>
      </c>
      <c r="C14" s="21" t="str">
        <f>IF('Modell-Kalibrierung'!C36=0," ",'Modell-Kalibrierung'!C36)</f>
        <v xml:space="preserve"> </v>
      </c>
      <c r="D14" s="58"/>
      <c r="E14" s="117"/>
      <c r="F14" s="54" t="str">
        <f>IF(C14=" "," ",(VLOOKUP(C14,'Modell-Kalibrierung'!$H$28:$I$32,2,FALSE))*D14)</f>
        <v xml:space="preserve"> </v>
      </c>
      <c r="G14" s="30">
        <f>'Modell-Kalibrierung'!E35</f>
        <v>7</v>
      </c>
      <c r="H14" s="31" t="str">
        <f>IF('Modell-Kalibrierung'!F35=0," ",'Modell-Kalibrierung'!F35)</f>
        <v xml:space="preserve"> </v>
      </c>
    </row>
    <row r="15" spans="1:8" ht="15" thickBot="1" x14ac:dyDescent="0.25">
      <c r="A15" s="36"/>
      <c r="B15" s="57" t="str">
        <f>IF('Modell-Kalibrierung'!B37=0," ",'Modell-Kalibrierung'!B37)</f>
        <v xml:space="preserve"> </v>
      </c>
      <c r="C15" s="21" t="str">
        <f>IF('Modell-Kalibrierung'!C37=0," ",'Modell-Kalibrierung'!C37)</f>
        <v xml:space="preserve"> </v>
      </c>
      <c r="D15" s="58"/>
      <c r="E15" s="117"/>
      <c r="F15" s="54" t="str">
        <f>IF(C15=" "," ",(VLOOKUP(C15,'Modell-Kalibrierung'!$H$28:$I$32,2,FALSE))*D15)</f>
        <v xml:space="preserve"> </v>
      </c>
      <c r="G15" s="32">
        <f>'Modell-Kalibrierung'!E36</f>
        <v>8</v>
      </c>
      <c r="H15" s="33" t="str">
        <f>IF('Modell-Kalibrierung'!F36=0," ",'Modell-Kalibrierung'!F36)</f>
        <v>sehr hoch/ gut</v>
      </c>
    </row>
    <row r="16" spans="1:8" x14ac:dyDescent="0.2">
      <c r="A16" s="36"/>
      <c r="B16" s="57" t="str">
        <f>IF('Modell-Kalibrierung'!B38=0," ",'Modell-Kalibrierung'!B38)</f>
        <v xml:space="preserve"> </v>
      </c>
      <c r="C16" s="21" t="str">
        <f>IF('Modell-Kalibrierung'!C38=0," ",'Modell-Kalibrierung'!C38)</f>
        <v xml:space="preserve"> </v>
      </c>
      <c r="D16" s="58"/>
      <c r="E16" s="117"/>
      <c r="F16" s="54" t="str">
        <f>IF(C16=" "," ",(VLOOKUP(C16,'Modell-Kalibrierung'!$H$28:$I$32,2,FALSE))*D16)</f>
        <v xml:space="preserve"> </v>
      </c>
      <c r="G16" s="36"/>
      <c r="H16" s="36"/>
    </row>
    <row r="17" spans="1:8" x14ac:dyDescent="0.2">
      <c r="A17" s="36"/>
      <c r="B17" s="57" t="str">
        <f>IF('Modell-Kalibrierung'!B39=0," ",'Modell-Kalibrierung'!B39)</f>
        <v xml:space="preserve"> </v>
      </c>
      <c r="C17" s="21" t="str">
        <f>IF('Modell-Kalibrierung'!C39=0," ",'Modell-Kalibrierung'!C39)</f>
        <v xml:space="preserve"> </v>
      </c>
      <c r="D17" s="58"/>
      <c r="E17" s="117"/>
      <c r="F17" s="54" t="str">
        <f>IF(C17=" "," ",(VLOOKUP(C17,'Modell-Kalibrierung'!$H$28:$I$32,2,FALSE))*D17)</f>
        <v xml:space="preserve"> </v>
      </c>
      <c r="G17" s="36"/>
      <c r="H17" s="36"/>
    </row>
    <row r="18" spans="1:8" x14ac:dyDescent="0.2">
      <c r="A18" s="36"/>
      <c r="B18" s="57" t="str">
        <f>IF('Modell-Kalibrierung'!B40=0," ",'Modell-Kalibrierung'!B40)</f>
        <v xml:space="preserve"> </v>
      </c>
      <c r="C18" s="21" t="str">
        <f>IF('Modell-Kalibrierung'!C40=0," ",'Modell-Kalibrierung'!C40)</f>
        <v xml:space="preserve"> </v>
      </c>
      <c r="D18" s="58"/>
      <c r="E18" s="117"/>
      <c r="F18" s="54" t="str">
        <f>IF(C18=" "," ",(VLOOKUP(C18,'Modell-Kalibrierung'!$H$28:$I$32,2,FALSE))*D18)</f>
        <v xml:space="preserve"> </v>
      </c>
      <c r="G18" s="36"/>
      <c r="H18" s="36"/>
    </row>
    <row r="19" spans="1:8" x14ac:dyDescent="0.2">
      <c r="A19" s="36"/>
      <c r="B19" s="57" t="str">
        <f>IF('Modell-Kalibrierung'!B41=0," ",'Modell-Kalibrierung'!B41)</f>
        <v xml:space="preserve"> </v>
      </c>
      <c r="C19" s="21" t="str">
        <f>IF('Modell-Kalibrierung'!C41=0," ",'Modell-Kalibrierung'!C41)</f>
        <v xml:space="preserve"> </v>
      </c>
      <c r="D19" s="58"/>
      <c r="E19" s="117"/>
      <c r="F19" s="54" t="str">
        <f>IF(C19=" "," ",(VLOOKUP(C19,'Modell-Kalibrierung'!$H$28:$I$32,2,FALSE))*D19)</f>
        <v xml:space="preserve"> </v>
      </c>
      <c r="G19" s="36"/>
      <c r="H19" s="36"/>
    </row>
    <row r="20" spans="1:8" x14ac:dyDescent="0.2">
      <c r="A20" s="36"/>
      <c r="B20" s="57" t="str">
        <f>IF('Modell-Kalibrierung'!B42=0," ",'Modell-Kalibrierung'!B42)</f>
        <v xml:space="preserve"> </v>
      </c>
      <c r="C20" s="21" t="str">
        <f>IF('Modell-Kalibrierung'!C42=0," ",'Modell-Kalibrierung'!C42)</f>
        <v xml:space="preserve"> </v>
      </c>
      <c r="D20" s="58"/>
      <c r="E20" s="117"/>
      <c r="F20" s="54" t="str">
        <f>IF(C20=" "," ",(VLOOKUP(C20,'Modell-Kalibrierung'!$H$28:$I$32,2,FALSE))*D20)</f>
        <v xml:space="preserve"> </v>
      </c>
      <c r="G20" s="36"/>
      <c r="H20" s="36"/>
    </row>
    <row r="21" spans="1:8" x14ac:dyDescent="0.2">
      <c r="A21" s="36"/>
      <c r="B21" s="57" t="str">
        <f>IF('Modell-Kalibrierung'!B43=0," ",'Modell-Kalibrierung'!B43)</f>
        <v xml:space="preserve"> </v>
      </c>
      <c r="C21" s="21" t="str">
        <f>IF('Modell-Kalibrierung'!C43=0," ",'Modell-Kalibrierung'!C43)</f>
        <v xml:space="preserve"> </v>
      </c>
      <c r="D21" s="58"/>
      <c r="E21" s="117"/>
      <c r="F21" s="54" t="str">
        <f>IF(C21=" "," ",(VLOOKUP(C21,'Modell-Kalibrierung'!$H$28:$I$32,2,FALSE))*D21)</f>
        <v xml:space="preserve"> </v>
      </c>
      <c r="G21" s="36"/>
      <c r="H21" s="36"/>
    </row>
    <row r="22" spans="1:8" x14ac:dyDescent="0.2">
      <c r="A22" s="36"/>
      <c r="B22" s="57" t="str">
        <f>IF('Modell-Kalibrierung'!B44=0," ",'Modell-Kalibrierung'!B44)</f>
        <v xml:space="preserve"> </v>
      </c>
      <c r="C22" s="21" t="str">
        <f>IF('Modell-Kalibrierung'!C44=0," ",'Modell-Kalibrierung'!C44)</f>
        <v xml:space="preserve"> </v>
      </c>
      <c r="D22" s="58"/>
      <c r="E22" s="117"/>
      <c r="F22" s="54" t="str">
        <f>IF(C22=" "," ",(VLOOKUP(C22,'Modell-Kalibrierung'!$H$28:$I$32,2,FALSE))*D22)</f>
        <v xml:space="preserve"> </v>
      </c>
      <c r="G22" s="36"/>
      <c r="H22" s="36"/>
    </row>
    <row r="23" spans="1:8" x14ac:dyDescent="0.2">
      <c r="A23" s="36"/>
      <c r="B23" s="57" t="str">
        <f>IF('Modell-Kalibrierung'!B45=0," ",'Modell-Kalibrierung'!B45)</f>
        <v xml:space="preserve"> </v>
      </c>
      <c r="C23" s="21" t="str">
        <f>IF('Modell-Kalibrierung'!C45=0," ",'Modell-Kalibrierung'!C45)</f>
        <v xml:space="preserve"> </v>
      </c>
      <c r="D23" s="58"/>
      <c r="E23" s="117"/>
      <c r="F23" s="54" t="str">
        <f>IF(C23=" "," ",(VLOOKUP(C23,'Modell-Kalibrierung'!$H$28:$I$32,2,FALSE))*D23)</f>
        <v xml:space="preserve"> </v>
      </c>
      <c r="G23" s="36"/>
      <c r="H23" s="36"/>
    </row>
    <row r="24" spans="1:8" x14ac:dyDescent="0.2">
      <c r="A24" s="36"/>
      <c r="B24" s="57" t="str">
        <f>IF('Modell-Kalibrierung'!B46=0," ",'Modell-Kalibrierung'!B46)</f>
        <v xml:space="preserve"> </v>
      </c>
      <c r="C24" s="21" t="str">
        <f>IF('Modell-Kalibrierung'!C46=0," ",'Modell-Kalibrierung'!C46)</f>
        <v xml:space="preserve"> </v>
      </c>
      <c r="D24" s="58"/>
      <c r="E24" s="117"/>
      <c r="F24" s="54" t="str">
        <f>IF(C24=" "," ",(VLOOKUP(C24,'Modell-Kalibrierung'!$H$28:$I$32,2,FALSE))*D24)</f>
        <v xml:space="preserve"> </v>
      </c>
      <c r="G24" s="36"/>
      <c r="H24" s="36"/>
    </row>
    <row r="25" spans="1:8" x14ac:dyDescent="0.2">
      <c r="A25" s="36"/>
      <c r="B25" s="57" t="str">
        <f>IF('Modell-Kalibrierung'!B47=0," ",'Modell-Kalibrierung'!B47)</f>
        <v xml:space="preserve"> </v>
      </c>
      <c r="C25" s="21" t="str">
        <f>IF('Modell-Kalibrierung'!C47=0," ",'Modell-Kalibrierung'!C47)</f>
        <v xml:space="preserve"> </v>
      </c>
      <c r="D25" s="58"/>
      <c r="E25" s="117"/>
      <c r="F25" s="54" t="str">
        <f>IF(C25=" "," ",(VLOOKUP(C25,'Modell-Kalibrierung'!$H$28:$I$32,2,FALSE))*D25)</f>
        <v xml:space="preserve"> </v>
      </c>
      <c r="G25" s="36"/>
      <c r="H25" s="36"/>
    </row>
    <row r="26" spans="1:8" x14ac:dyDescent="0.2">
      <c r="A26" s="36"/>
      <c r="B26" s="57" t="str">
        <f>IF('Modell-Kalibrierung'!B48=0," ",'Modell-Kalibrierung'!B48)</f>
        <v xml:space="preserve"> </v>
      </c>
      <c r="C26" s="21" t="str">
        <f>IF('Modell-Kalibrierung'!C48=0," ",'Modell-Kalibrierung'!C48)</f>
        <v xml:space="preserve"> </v>
      </c>
      <c r="D26" s="58"/>
      <c r="E26" s="117"/>
      <c r="F26" s="54" t="str">
        <f>IF(C26=" "," ",(VLOOKUP(C26,'Modell-Kalibrierung'!$H$28:$I$32,2,FALSE))*D26)</f>
        <v xml:space="preserve"> </v>
      </c>
      <c r="G26" s="36"/>
      <c r="H26" s="36"/>
    </row>
    <row r="27" spans="1:8" x14ac:dyDescent="0.2">
      <c r="A27" s="36"/>
      <c r="B27" s="57" t="str">
        <f>IF('Modell-Kalibrierung'!B49=0," ",'Modell-Kalibrierung'!B49)</f>
        <v xml:space="preserve"> </v>
      </c>
      <c r="C27" s="21" t="str">
        <f>IF('Modell-Kalibrierung'!C49=0," ",'Modell-Kalibrierung'!C49)</f>
        <v xml:space="preserve"> </v>
      </c>
      <c r="D27" s="58"/>
      <c r="E27" s="117"/>
      <c r="F27" s="54" t="str">
        <f>IF(C27=" "," ",(VLOOKUP(C27,'Modell-Kalibrierung'!$H$28:$I$32,2,FALSE))*D27)</f>
        <v xml:space="preserve"> </v>
      </c>
      <c r="G27" s="36"/>
      <c r="H27" s="36"/>
    </row>
    <row r="28" spans="1:8" x14ac:dyDescent="0.2">
      <c r="A28" s="36"/>
      <c r="B28" s="57" t="str">
        <f>IF('Modell-Kalibrierung'!B50=0," ",'Modell-Kalibrierung'!B50)</f>
        <v xml:space="preserve"> </v>
      </c>
      <c r="C28" s="21" t="str">
        <f>IF('Modell-Kalibrierung'!C50=0," ",'Modell-Kalibrierung'!C50)</f>
        <v xml:space="preserve"> </v>
      </c>
      <c r="D28" s="58"/>
      <c r="E28" s="117"/>
      <c r="F28" s="54" t="str">
        <f>IF(C28=" "," ",(VLOOKUP(C28,'Modell-Kalibrierung'!$H$28:$I$32,2,FALSE))*D28)</f>
        <v xml:space="preserve"> </v>
      </c>
      <c r="G28" s="36"/>
      <c r="H28" s="36"/>
    </row>
    <row r="29" spans="1:8" x14ac:dyDescent="0.2">
      <c r="A29" s="36"/>
      <c r="B29" s="57" t="str">
        <f>IF('Modell-Kalibrierung'!B51=0," ",'Modell-Kalibrierung'!B51)</f>
        <v xml:space="preserve"> </v>
      </c>
      <c r="C29" s="21" t="str">
        <f>IF('Modell-Kalibrierung'!C51=0," ",'Modell-Kalibrierung'!C51)</f>
        <v xml:space="preserve"> </v>
      </c>
      <c r="D29" s="58"/>
      <c r="E29" s="117"/>
      <c r="F29" s="54" t="str">
        <f>IF(C29=" "," ",(VLOOKUP(C29,'Modell-Kalibrierung'!$H$28:$I$32,2,FALSE))*D29)</f>
        <v xml:space="preserve"> </v>
      </c>
      <c r="G29" s="36"/>
      <c r="H29" s="36"/>
    </row>
    <row r="30" spans="1:8" x14ac:dyDescent="0.2">
      <c r="A30" s="36"/>
      <c r="B30" s="57" t="str">
        <f>IF('Modell-Kalibrierung'!B52=0," ",'Modell-Kalibrierung'!B52)</f>
        <v xml:space="preserve"> </v>
      </c>
      <c r="C30" s="21" t="str">
        <f>IF('Modell-Kalibrierung'!C52=0," ",'Modell-Kalibrierung'!C52)</f>
        <v xml:space="preserve"> </v>
      </c>
      <c r="D30" s="58"/>
      <c r="E30" s="117"/>
      <c r="F30" s="54" t="str">
        <f>IF(C30=" "," ",(VLOOKUP(C30,'Modell-Kalibrierung'!$H$28:$I$32,2,FALSE))*D30)</f>
        <v xml:space="preserve"> </v>
      </c>
      <c r="G30" s="36"/>
      <c r="H30" s="36"/>
    </row>
    <row r="31" spans="1:8" x14ac:dyDescent="0.2">
      <c r="A31" s="36"/>
      <c r="B31" s="57" t="str">
        <f>IF('Modell-Kalibrierung'!B53=0," ",'Modell-Kalibrierung'!B53)</f>
        <v xml:space="preserve"> </v>
      </c>
      <c r="C31" s="21" t="str">
        <f>IF('Modell-Kalibrierung'!C53=0," ",'Modell-Kalibrierung'!C53)</f>
        <v xml:space="preserve"> </v>
      </c>
      <c r="D31" s="58"/>
      <c r="E31" s="117"/>
      <c r="F31" s="54" t="str">
        <f>IF(C31=" "," ",(VLOOKUP(C31,'Modell-Kalibrierung'!$H$28:$I$32,2,FALSE))*D31)</f>
        <v xml:space="preserve"> </v>
      </c>
      <c r="G31" s="36"/>
      <c r="H31" s="36"/>
    </row>
    <row r="32" spans="1:8" x14ac:dyDescent="0.2">
      <c r="A32" s="36"/>
      <c r="B32" s="57" t="str">
        <f>IF('Modell-Kalibrierung'!B54=0," ",'Modell-Kalibrierung'!B54)</f>
        <v xml:space="preserve"> </v>
      </c>
      <c r="C32" s="21" t="str">
        <f>IF('Modell-Kalibrierung'!C54=0," ",'Modell-Kalibrierung'!C54)</f>
        <v xml:space="preserve"> </v>
      </c>
      <c r="D32" s="58"/>
      <c r="E32" s="117"/>
      <c r="F32" s="54" t="str">
        <f>IF(C32=" "," ",(VLOOKUP(C32,'Modell-Kalibrierung'!$H$28:$I$32,2,FALSE))*D32)</f>
        <v xml:space="preserve"> </v>
      </c>
      <c r="G32" s="36"/>
      <c r="H32" s="36"/>
    </row>
    <row r="33" spans="1:8" x14ac:dyDescent="0.2">
      <c r="A33" s="36"/>
      <c r="B33" s="57" t="str">
        <f>IF('Modell-Kalibrierung'!B55=0," ",'Modell-Kalibrierung'!B55)</f>
        <v xml:space="preserve"> </v>
      </c>
      <c r="C33" s="21" t="str">
        <f>IF('Modell-Kalibrierung'!C55=0," ",'Modell-Kalibrierung'!C55)</f>
        <v xml:space="preserve"> </v>
      </c>
      <c r="D33" s="58"/>
      <c r="E33" s="117"/>
      <c r="F33" s="54" t="str">
        <f>IF(C33=" "," ",(VLOOKUP(C33,'Modell-Kalibrierung'!$H$28:$I$32,2,FALSE))*D33)</f>
        <v xml:space="preserve"> </v>
      </c>
      <c r="G33" s="36"/>
      <c r="H33" s="36"/>
    </row>
    <row r="34" spans="1:8" x14ac:dyDescent="0.2">
      <c r="A34" s="36"/>
      <c r="B34" s="57" t="str">
        <f>IF('Modell-Kalibrierung'!B56=0," ",'Modell-Kalibrierung'!B56)</f>
        <v xml:space="preserve"> </v>
      </c>
      <c r="C34" s="21" t="str">
        <f>IF('Modell-Kalibrierung'!C56=0," ",'Modell-Kalibrierung'!C56)</f>
        <v xml:space="preserve"> </v>
      </c>
      <c r="D34" s="58"/>
      <c r="E34" s="117"/>
      <c r="F34" s="54" t="str">
        <f>IF(C34=" "," ",(VLOOKUP(C34,'Modell-Kalibrierung'!$H$28:$I$32,2,FALSE))*D34)</f>
        <v xml:space="preserve"> </v>
      </c>
      <c r="G34" s="36"/>
      <c r="H34" s="36"/>
    </row>
    <row r="35" spans="1:8" x14ac:dyDescent="0.2">
      <c r="A35" s="36"/>
      <c r="B35" s="57" t="str">
        <f>IF('Modell-Kalibrierung'!B57=0," ",'Modell-Kalibrierung'!B57)</f>
        <v xml:space="preserve"> </v>
      </c>
      <c r="C35" s="21" t="str">
        <f>IF('Modell-Kalibrierung'!C57=0," ",'Modell-Kalibrierung'!C57)</f>
        <v xml:space="preserve"> </v>
      </c>
      <c r="D35" s="58"/>
      <c r="E35" s="117"/>
      <c r="F35" s="54" t="str">
        <f>IF(C35=" "," ",(VLOOKUP(C35,'Modell-Kalibrierung'!$H$28:$I$32,2,FALSE))*D35)</f>
        <v xml:space="preserve"> </v>
      </c>
      <c r="G35" s="36"/>
      <c r="H35" s="36"/>
    </row>
    <row r="36" spans="1:8" x14ac:dyDescent="0.2">
      <c r="A36" s="36"/>
      <c r="B36" s="57" t="str">
        <f>IF('Modell-Kalibrierung'!B58=0," ",'Modell-Kalibrierung'!B58)</f>
        <v xml:space="preserve"> </v>
      </c>
      <c r="C36" s="21" t="str">
        <f>IF('Modell-Kalibrierung'!C58=0," ",'Modell-Kalibrierung'!C58)</f>
        <v xml:space="preserve"> </v>
      </c>
      <c r="D36" s="58"/>
      <c r="E36" s="117"/>
      <c r="F36" s="54" t="str">
        <f>IF(C36=" "," ",(VLOOKUP(C36,'Modell-Kalibrierung'!$H$28:$I$32,2,FALSE))*D36)</f>
        <v xml:space="preserve"> </v>
      </c>
      <c r="G36" s="36"/>
      <c r="H36" s="36"/>
    </row>
    <row r="37" spans="1:8" x14ac:dyDescent="0.2">
      <c r="A37" s="36"/>
      <c r="B37" s="57" t="str">
        <f>IF('Modell-Kalibrierung'!B59=0," ",'Modell-Kalibrierung'!B59)</f>
        <v xml:space="preserve"> </v>
      </c>
      <c r="C37" s="21" t="str">
        <f>IF('Modell-Kalibrierung'!C59=0," ",'Modell-Kalibrierung'!C59)</f>
        <v xml:space="preserve"> </v>
      </c>
      <c r="D37" s="58"/>
      <c r="E37" s="117"/>
      <c r="F37" s="54" t="str">
        <f>IF(C37=" "," ",(VLOOKUP(C37,'Modell-Kalibrierung'!$H$28:$I$32,2,FALSE))*D37)</f>
        <v xml:space="preserve"> </v>
      </c>
      <c r="G37" s="36"/>
      <c r="H37" s="36"/>
    </row>
    <row r="38" spans="1:8" x14ac:dyDescent="0.2">
      <c r="A38" s="36"/>
      <c r="B38" s="57" t="str">
        <f>IF('Modell-Kalibrierung'!B60=0," ",'Modell-Kalibrierung'!B60)</f>
        <v xml:space="preserve"> </v>
      </c>
      <c r="C38" s="21" t="str">
        <f>IF('Modell-Kalibrierung'!C60=0," ",'Modell-Kalibrierung'!C60)</f>
        <v xml:space="preserve"> </v>
      </c>
      <c r="D38" s="58"/>
      <c r="E38" s="117"/>
      <c r="F38" s="54" t="str">
        <f>IF(C38=" "," ",(VLOOKUP(C38,'Modell-Kalibrierung'!$H$28:$I$32,2,FALSE))*D38)</f>
        <v xml:space="preserve"> </v>
      </c>
      <c r="G38" s="36"/>
      <c r="H38" s="36"/>
    </row>
    <row r="39" spans="1:8" x14ac:dyDescent="0.2">
      <c r="A39" s="36"/>
      <c r="B39" s="57" t="str">
        <f>IF('Modell-Kalibrierung'!B61=0," ",'Modell-Kalibrierung'!B61)</f>
        <v xml:space="preserve"> </v>
      </c>
      <c r="C39" s="21" t="str">
        <f>IF('Modell-Kalibrierung'!C61=0," ",'Modell-Kalibrierung'!C61)</f>
        <v xml:space="preserve"> </v>
      </c>
      <c r="D39" s="58"/>
      <c r="E39" s="117"/>
      <c r="F39" s="54" t="str">
        <f>IF(C39=" "," ",(VLOOKUP(C39,'Modell-Kalibrierung'!$H$28:$I$32,2,FALSE))*D39)</f>
        <v xml:space="preserve"> </v>
      </c>
      <c r="G39" s="36"/>
      <c r="H39" s="36"/>
    </row>
    <row r="40" spans="1:8" x14ac:dyDescent="0.2">
      <c r="A40" s="36"/>
      <c r="B40" s="57" t="str">
        <f>IF('Modell-Kalibrierung'!B62=0," ",'Modell-Kalibrierung'!B62)</f>
        <v xml:space="preserve"> </v>
      </c>
      <c r="C40" s="21" t="str">
        <f>IF('Modell-Kalibrierung'!C62=0," ",'Modell-Kalibrierung'!C62)</f>
        <v xml:space="preserve"> </v>
      </c>
      <c r="D40" s="58"/>
      <c r="E40" s="117"/>
      <c r="F40" s="54" t="str">
        <f>IF(C40=" "," ",(VLOOKUP(C40,'Modell-Kalibrierung'!$H$28:$I$32,2,FALSE))*D40)</f>
        <v xml:space="preserve"> </v>
      </c>
      <c r="G40" s="36"/>
      <c r="H40" s="36"/>
    </row>
    <row r="41" spans="1:8" x14ac:dyDescent="0.2">
      <c r="A41" s="36"/>
      <c r="B41" s="57" t="str">
        <f>IF('Modell-Kalibrierung'!B63=0," ",'Modell-Kalibrierung'!B63)</f>
        <v xml:space="preserve"> </v>
      </c>
      <c r="C41" s="21" t="str">
        <f>IF('Modell-Kalibrierung'!C63=0," ",'Modell-Kalibrierung'!C63)</f>
        <v xml:space="preserve"> </v>
      </c>
      <c r="D41" s="58"/>
      <c r="E41" s="117"/>
      <c r="F41" s="54" t="str">
        <f>IF(C41=" "," ",(VLOOKUP(C41,'Modell-Kalibrierung'!$H$28:$I$32,2,FALSE))*D41)</f>
        <v xml:space="preserve"> </v>
      </c>
      <c r="G41" s="36"/>
      <c r="H41" s="36"/>
    </row>
    <row r="42" spans="1:8" x14ac:dyDescent="0.2">
      <c r="A42" s="36"/>
      <c r="B42" s="57" t="str">
        <f>IF('Modell-Kalibrierung'!B64=0," ",'Modell-Kalibrierung'!B64)</f>
        <v xml:space="preserve"> </v>
      </c>
      <c r="C42" s="21" t="str">
        <f>IF('Modell-Kalibrierung'!C64=0," ",'Modell-Kalibrierung'!C64)</f>
        <v xml:space="preserve"> </v>
      </c>
      <c r="D42" s="58"/>
      <c r="E42" s="117"/>
      <c r="F42" s="54" t="str">
        <f>IF(C42=" "," ",(VLOOKUP(C42,'Modell-Kalibrierung'!$H$28:$I$32,2,FALSE))*D42)</f>
        <v xml:space="preserve"> </v>
      </c>
      <c r="G42" s="36"/>
      <c r="H42" s="36"/>
    </row>
    <row r="43" spans="1:8" x14ac:dyDescent="0.2">
      <c r="A43" s="36"/>
      <c r="B43" s="57" t="str">
        <f>IF('Modell-Kalibrierung'!B65=0," ",'Modell-Kalibrierung'!B65)</f>
        <v xml:space="preserve"> </v>
      </c>
      <c r="C43" s="21" t="str">
        <f>IF('Modell-Kalibrierung'!C65=0," ",'Modell-Kalibrierung'!C65)</f>
        <v xml:space="preserve"> </v>
      </c>
      <c r="D43" s="58"/>
      <c r="E43" s="117"/>
      <c r="F43" s="54" t="str">
        <f>IF(C43=" "," ",(VLOOKUP(C43,'Modell-Kalibrierung'!$H$28:$I$32,2,FALSE))*D43)</f>
        <v xml:space="preserve"> </v>
      </c>
      <c r="G43" s="36"/>
      <c r="H43" s="36"/>
    </row>
    <row r="44" spans="1:8" x14ac:dyDescent="0.2">
      <c r="A44" s="36"/>
      <c r="B44" s="57" t="str">
        <f>IF('Modell-Kalibrierung'!B66=0," ",'Modell-Kalibrierung'!B66)</f>
        <v xml:space="preserve"> </v>
      </c>
      <c r="C44" s="21" t="str">
        <f>IF('Modell-Kalibrierung'!C66=0," ",'Modell-Kalibrierung'!C66)</f>
        <v xml:space="preserve"> </v>
      </c>
      <c r="D44" s="58"/>
      <c r="E44" s="117"/>
      <c r="F44" s="54" t="str">
        <f>IF(C44=" "," ",(VLOOKUP(C44,'Modell-Kalibrierung'!$H$28:$I$32,2,FALSE))*D44)</f>
        <v xml:space="preserve"> </v>
      </c>
      <c r="G44" s="36"/>
      <c r="H44" s="36"/>
    </row>
    <row r="45" spans="1:8" x14ac:dyDescent="0.2">
      <c r="A45" s="36"/>
      <c r="B45" s="57" t="str">
        <f>IF('Modell-Kalibrierung'!B67=0," ",'Modell-Kalibrierung'!B67)</f>
        <v xml:space="preserve"> </v>
      </c>
      <c r="C45" s="21" t="str">
        <f>IF('Modell-Kalibrierung'!C67=0," ",'Modell-Kalibrierung'!C67)</f>
        <v xml:space="preserve"> </v>
      </c>
      <c r="D45" s="58"/>
      <c r="E45" s="117"/>
      <c r="F45" s="54" t="str">
        <f>IF(C45=" "," ",(VLOOKUP(C45,'Modell-Kalibrierung'!$H$28:$I$32,2,FALSE))*D45)</f>
        <v xml:space="preserve"> </v>
      </c>
      <c r="G45" s="36"/>
      <c r="H45" s="36"/>
    </row>
    <row r="46" spans="1:8" x14ac:dyDescent="0.2">
      <c r="A46" s="36"/>
      <c r="B46" s="57" t="str">
        <f>IF('Modell-Kalibrierung'!B68=0," ",'Modell-Kalibrierung'!B68)</f>
        <v xml:space="preserve"> </v>
      </c>
      <c r="C46" s="21" t="str">
        <f>IF('Modell-Kalibrierung'!C68=0," ",'Modell-Kalibrierung'!C68)</f>
        <v xml:space="preserve"> </v>
      </c>
      <c r="D46" s="58"/>
      <c r="E46" s="117"/>
      <c r="F46" s="54" t="str">
        <f>IF(C46=" "," ",(VLOOKUP(C46,'Modell-Kalibrierung'!$H$28:$I$32,2,FALSE))*D46)</f>
        <v xml:space="preserve"> </v>
      </c>
      <c r="G46" s="36"/>
      <c r="H46" s="36"/>
    </row>
    <row r="47" spans="1:8" x14ac:dyDescent="0.2">
      <c r="A47" s="36"/>
      <c r="B47" s="57" t="str">
        <f>IF('Modell-Kalibrierung'!B69=0," ",'Modell-Kalibrierung'!B69)</f>
        <v xml:space="preserve"> </v>
      </c>
      <c r="C47" s="21" t="str">
        <f>IF('Modell-Kalibrierung'!C69=0," ",'Modell-Kalibrierung'!C69)</f>
        <v xml:space="preserve"> </v>
      </c>
      <c r="D47" s="58"/>
      <c r="E47" s="117"/>
      <c r="F47" s="54" t="str">
        <f>IF(C47=" "," ",(VLOOKUP(C47,'Modell-Kalibrierung'!$H$28:$I$32,2,FALSE))*D47)</f>
        <v xml:space="preserve"> </v>
      </c>
      <c r="G47" s="36"/>
      <c r="H47" s="36"/>
    </row>
    <row r="48" spans="1:8" x14ac:dyDescent="0.2">
      <c r="A48" s="36"/>
      <c r="B48" s="57" t="str">
        <f>IF('Modell-Kalibrierung'!B70=0," ",'Modell-Kalibrierung'!B70)</f>
        <v xml:space="preserve"> </v>
      </c>
      <c r="C48" s="21" t="str">
        <f>IF('Modell-Kalibrierung'!C70=0," ",'Modell-Kalibrierung'!C70)</f>
        <v xml:space="preserve"> </v>
      </c>
      <c r="D48" s="58"/>
      <c r="E48" s="117"/>
      <c r="F48" s="54" t="str">
        <f>IF(C48=" "," ",(VLOOKUP(C48,'Modell-Kalibrierung'!$H$28:$I$32,2,FALSE))*D48)</f>
        <v xml:space="preserve"> </v>
      </c>
      <c r="G48" s="36"/>
      <c r="H48" s="36"/>
    </row>
    <row r="49" spans="1:8" x14ac:dyDescent="0.2">
      <c r="A49" s="36"/>
      <c r="B49" s="57" t="str">
        <f>IF('Modell-Kalibrierung'!B71=0," ",'Modell-Kalibrierung'!B71)</f>
        <v xml:space="preserve"> </v>
      </c>
      <c r="C49" s="21" t="str">
        <f>IF('Modell-Kalibrierung'!C71=0," ",'Modell-Kalibrierung'!C71)</f>
        <v xml:space="preserve"> </v>
      </c>
      <c r="D49" s="58"/>
      <c r="E49" s="117"/>
      <c r="F49" s="54" t="str">
        <f>IF(C49=" "," ",(VLOOKUP(C49,'Modell-Kalibrierung'!$H$28:$I$32,2,FALSE))*D49)</f>
        <v xml:space="preserve"> </v>
      </c>
      <c r="G49" s="36"/>
      <c r="H49" s="36"/>
    </row>
    <row r="50" spans="1:8" x14ac:dyDescent="0.2">
      <c r="A50" s="36"/>
      <c r="B50" s="57" t="str">
        <f>IF('Modell-Kalibrierung'!B72=0," ",'Modell-Kalibrierung'!B72)</f>
        <v xml:space="preserve"> </v>
      </c>
      <c r="C50" s="21" t="str">
        <f>IF('Modell-Kalibrierung'!C72=0," ",'Modell-Kalibrierung'!C72)</f>
        <v xml:space="preserve"> </v>
      </c>
      <c r="D50" s="58"/>
      <c r="E50" s="117"/>
      <c r="F50" s="54" t="str">
        <f>IF(C50=" "," ",(VLOOKUP(C50,'Modell-Kalibrierung'!$H$28:$I$32,2,FALSE))*D50)</f>
        <v xml:space="preserve"> </v>
      </c>
      <c r="G50" s="36"/>
      <c r="H50" s="36"/>
    </row>
    <row r="51" spans="1:8" x14ac:dyDescent="0.2">
      <c r="A51" s="36"/>
      <c r="B51" s="57" t="str">
        <f>IF('Modell-Kalibrierung'!B73=0," ",'Modell-Kalibrierung'!B73)</f>
        <v xml:space="preserve"> </v>
      </c>
      <c r="C51" s="21" t="str">
        <f>IF('Modell-Kalibrierung'!C73=0," ",'Modell-Kalibrierung'!C73)</f>
        <v xml:space="preserve"> </v>
      </c>
      <c r="D51" s="58"/>
      <c r="E51" s="117"/>
      <c r="F51" s="54" t="str">
        <f>IF(C51=" "," ",(VLOOKUP(C51,'Modell-Kalibrierung'!$H$28:$I$32,2,FALSE))*D51)</f>
        <v xml:space="preserve"> </v>
      </c>
      <c r="G51" s="36"/>
      <c r="H51" s="36"/>
    </row>
    <row r="52" spans="1:8" x14ac:dyDescent="0.2">
      <c r="A52" s="36"/>
      <c r="B52" s="57" t="str">
        <f>IF('Modell-Kalibrierung'!B74=0," ",'Modell-Kalibrierung'!B74)</f>
        <v xml:space="preserve"> </v>
      </c>
      <c r="C52" s="21" t="str">
        <f>IF('Modell-Kalibrierung'!C74=0," ",'Modell-Kalibrierung'!C74)</f>
        <v xml:space="preserve"> </v>
      </c>
      <c r="D52" s="58"/>
      <c r="E52" s="117"/>
      <c r="F52" s="54" t="str">
        <f>IF(C52=" "," ",(VLOOKUP(C52,'Modell-Kalibrierung'!$H$28:$I$32,2,FALSE))*D52)</f>
        <v xml:space="preserve"> </v>
      </c>
      <c r="G52" s="36"/>
      <c r="H52" s="36"/>
    </row>
    <row r="53" spans="1:8" x14ac:dyDescent="0.2">
      <c r="A53" s="36"/>
      <c r="B53" s="57" t="str">
        <f>IF('Modell-Kalibrierung'!B75=0," ",'Modell-Kalibrierung'!B75)</f>
        <v xml:space="preserve"> </v>
      </c>
      <c r="C53" s="21" t="str">
        <f>IF('Modell-Kalibrierung'!C75=0," ",'Modell-Kalibrierung'!C75)</f>
        <v xml:space="preserve"> </v>
      </c>
      <c r="D53" s="59"/>
      <c r="E53" s="117"/>
      <c r="F53" s="54" t="str">
        <f>IF(C53=" "," ",(VLOOKUP(C53,'Modell-Kalibrierung'!$H$28:$I$32,2,FALSE))*D53)</f>
        <v xml:space="preserve"> </v>
      </c>
      <c r="G53" s="36"/>
      <c r="H53" s="36"/>
    </row>
    <row r="54" spans="1:8" x14ac:dyDescent="0.2">
      <c r="A54" s="36"/>
      <c r="B54" s="57" t="str">
        <f>IF('Modell-Kalibrierung'!B76=0," ",'Modell-Kalibrierung'!B76)</f>
        <v xml:space="preserve"> </v>
      </c>
      <c r="C54" s="21" t="str">
        <f>IF('Modell-Kalibrierung'!C76=0," ",'Modell-Kalibrierung'!C76)</f>
        <v xml:space="preserve"> </v>
      </c>
      <c r="D54" s="59"/>
      <c r="E54" s="117"/>
      <c r="F54" s="54" t="str">
        <f>IF(C54=" "," ",(VLOOKUP(C54,'Modell-Kalibrierung'!$H$28:$I$32,2,FALSE))*D54)</f>
        <v xml:space="preserve"> </v>
      </c>
      <c r="G54" s="36"/>
      <c r="H54" s="36"/>
    </row>
    <row r="55" spans="1:8" x14ac:dyDescent="0.2">
      <c r="A55" s="36"/>
      <c r="B55" s="57" t="str">
        <f>IF('Modell-Kalibrierung'!B77=0," ",'Modell-Kalibrierung'!B77)</f>
        <v xml:space="preserve"> </v>
      </c>
      <c r="C55" s="21" t="str">
        <f>IF('Modell-Kalibrierung'!C77=0," ",'Modell-Kalibrierung'!C77)</f>
        <v xml:space="preserve"> </v>
      </c>
      <c r="D55" s="59"/>
      <c r="E55" s="117"/>
      <c r="F55" s="54" t="str">
        <f>IF(C55=" "," ",(VLOOKUP(C55,'Modell-Kalibrierung'!$H$28:$I$32,2,FALSE))*D55)</f>
        <v xml:space="preserve"> </v>
      </c>
      <c r="G55" s="36"/>
      <c r="H55" s="36"/>
    </row>
    <row r="56" spans="1:8" x14ac:dyDescent="0.2">
      <c r="A56" s="36"/>
      <c r="B56" s="57" t="str">
        <f>IF('Modell-Kalibrierung'!B78=0," ",'Modell-Kalibrierung'!B78)</f>
        <v xml:space="preserve"> </v>
      </c>
      <c r="C56" s="21" t="str">
        <f>IF('Modell-Kalibrierung'!C78=0," ",'Modell-Kalibrierung'!C78)</f>
        <v xml:space="preserve"> </v>
      </c>
      <c r="D56" s="59"/>
      <c r="E56" s="117"/>
      <c r="F56" s="54" t="str">
        <f>IF(C56=" "," ",(VLOOKUP(C56,'Modell-Kalibrierung'!$H$28:$I$32,2,FALSE))*D56)</f>
        <v xml:space="preserve"> </v>
      </c>
      <c r="G56" s="36"/>
      <c r="H56" s="36"/>
    </row>
    <row r="57" spans="1:8" x14ac:dyDescent="0.2">
      <c r="A57" s="36"/>
      <c r="B57" s="57" t="str">
        <f>IF('Modell-Kalibrierung'!B79=0," ",'Modell-Kalibrierung'!B79)</f>
        <v xml:space="preserve"> </v>
      </c>
      <c r="C57" s="21" t="str">
        <f>IF('Modell-Kalibrierung'!C79=0," ",'Modell-Kalibrierung'!C79)</f>
        <v xml:space="preserve"> </v>
      </c>
      <c r="D57" s="59"/>
      <c r="E57" s="117"/>
      <c r="F57" s="54" t="str">
        <f>IF(C57=" "," ",(VLOOKUP(C57,'Modell-Kalibrierung'!$H$28:$I$32,2,FALSE))*D57)</f>
        <v xml:space="preserve"> </v>
      </c>
      <c r="G57" s="36"/>
      <c r="H57" s="36"/>
    </row>
    <row r="58" spans="1:8" x14ac:dyDescent="0.2">
      <c r="A58" s="36"/>
      <c r="B58" s="57" t="str">
        <f>IF('Modell-Kalibrierung'!B80=0," ",'Modell-Kalibrierung'!B80)</f>
        <v xml:space="preserve"> </v>
      </c>
      <c r="C58" s="21" t="str">
        <f>IF('Modell-Kalibrierung'!C80=0," ",'Modell-Kalibrierung'!C80)</f>
        <v xml:space="preserve"> </v>
      </c>
      <c r="D58" s="59"/>
      <c r="E58" s="117"/>
      <c r="F58" s="54" t="str">
        <f>IF(C58=" "," ",(VLOOKUP(C58,'Modell-Kalibrierung'!$H$28:$I$32,2,FALSE))*D58)</f>
        <v xml:space="preserve"> </v>
      </c>
      <c r="G58" s="36"/>
      <c r="H58" s="36"/>
    </row>
    <row r="59" spans="1:8" x14ac:dyDescent="0.2">
      <c r="A59" s="36"/>
      <c r="B59" s="57" t="str">
        <f>IF('Modell-Kalibrierung'!B81=0," ",'Modell-Kalibrierung'!B81)</f>
        <v xml:space="preserve"> </v>
      </c>
      <c r="C59" s="21" t="str">
        <f>IF('Modell-Kalibrierung'!C81=0," ",'Modell-Kalibrierung'!C81)</f>
        <v xml:space="preserve"> </v>
      </c>
      <c r="D59" s="59"/>
      <c r="E59" s="117"/>
      <c r="F59" s="54" t="str">
        <f>IF(C59=" "," ",(VLOOKUP(C59,'Modell-Kalibrierung'!$H$28:$I$32,2,FALSE))*D59)</f>
        <v xml:space="preserve"> </v>
      </c>
      <c r="G59" s="36"/>
      <c r="H59" s="36"/>
    </row>
    <row r="60" spans="1:8" x14ac:dyDescent="0.2">
      <c r="A60" s="36"/>
      <c r="B60" s="57" t="str">
        <f>IF('Modell-Kalibrierung'!B82=0," ",'Modell-Kalibrierung'!B82)</f>
        <v xml:space="preserve"> </v>
      </c>
      <c r="C60" s="21" t="str">
        <f>IF('Modell-Kalibrierung'!C82=0," ",'Modell-Kalibrierung'!C82)</f>
        <v xml:space="preserve"> </v>
      </c>
      <c r="D60" s="59"/>
      <c r="E60" s="117"/>
      <c r="F60" s="54" t="str">
        <f>IF(C60=" "," ",(VLOOKUP(C60,'Modell-Kalibrierung'!$H$28:$I$32,2,FALSE))*D60)</f>
        <v xml:space="preserve"> </v>
      </c>
      <c r="G60" s="36"/>
      <c r="H60" s="36"/>
    </row>
    <row r="61" spans="1:8" x14ac:dyDescent="0.2">
      <c r="A61" s="36"/>
      <c r="B61" s="57" t="str">
        <f>IF('Modell-Kalibrierung'!B83=0," ",'Modell-Kalibrierung'!B83)</f>
        <v xml:space="preserve"> </v>
      </c>
      <c r="C61" s="21" t="str">
        <f>IF('Modell-Kalibrierung'!C83=0," ",'Modell-Kalibrierung'!C83)</f>
        <v xml:space="preserve"> </v>
      </c>
      <c r="D61" s="59"/>
      <c r="E61" s="117"/>
      <c r="F61" s="54" t="str">
        <f>IF(C61=" "," ",(VLOOKUP(C61,'Modell-Kalibrierung'!$H$28:$I$32,2,FALSE))*D61)</f>
        <v xml:space="preserve"> </v>
      </c>
      <c r="G61" s="36"/>
      <c r="H61" s="36"/>
    </row>
    <row r="62" spans="1:8" x14ac:dyDescent="0.2">
      <c r="A62" s="36"/>
      <c r="B62" s="57" t="str">
        <f>IF('Modell-Kalibrierung'!B84=0," ",'Modell-Kalibrierung'!B84)</f>
        <v xml:space="preserve"> </v>
      </c>
      <c r="C62" s="21" t="str">
        <f>IF('Modell-Kalibrierung'!C84=0," ",'Modell-Kalibrierung'!C84)</f>
        <v xml:space="preserve"> </v>
      </c>
      <c r="D62" s="59"/>
      <c r="E62" s="117"/>
      <c r="F62" s="54" t="str">
        <f>IF(C62=" "," ",(VLOOKUP(C62,'Modell-Kalibrierung'!$H$28:$I$32,2,FALSE))*D62)</f>
        <v xml:space="preserve"> </v>
      </c>
      <c r="G62" s="36"/>
      <c r="H62" s="36"/>
    </row>
    <row r="63" spans="1:8" x14ac:dyDescent="0.2">
      <c r="A63" s="36"/>
      <c r="B63" s="57" t="str">
        <f>IF('Modell-Kalibrierung'!B85=0," ",'Modell-Kalibrierung'!B85)</f>
        <v xml:space="preserve"> </v>
      </c>
      <c r="C63" s="21" t="str">
        <f>IF('Modell-Kalibrierung'!C85=0," ",'Modell-Kalibrierung'!C85)</f>
        <v xml:space="preserve"> </v>
      </c>
      <c r="D63" s="59"/>
      <c r="E63" s="117"/>
      <c r="F63" s="54" t="str">
        <f>IF(C63=" "," ",(VLOOKUP(C63,'Modell-Kalibrierung'!$H$28:$I$32,2,FALSE))*D63)</f>
        <v xml:space="preserve"> </v>
      </c>
      <c r="G63" s="36"/>
      <c r="H63" s="36"/>
    </row>
    <row r="64" spans="1:8" x14ac:dyDescent="0.2">
      <c r="A64" s="36"/>
      <c r="B64" s="57" t="str">
        <f>IF('Modell-Kalibrierung'!B86=0," ",'Modell-Kalibrierung'!B86)</f>
        <v xml:space="preserve"> </v>
      </c>
      <c r="C64" s="21" t="str">
        <f>IF('Modell-Kalibrierung'!C86=0," ",'Modell-Kalibrierung'!C86)</f>
        <v xml:space="preserve"> </v>
      </c>
      <c r="D64" s="59"/>
      <c r="E64" s="117"/>
      <c r="F64" s="54" t="str">
        <f>IF(C64=" "," ",(VLOOKUP(C64,'Modell-Kalibrierung'!$H$28:$I$32,2,FALSE))*D64)</f>
        <v xml:space="preserve"> </v>
      </c>
      <c r="G64" s="36"/>
      <c r="H64" s="36"/>
    </row>
    <row r="65" spans="1:8" x14ac:dyDescent="0.2">
      <c r="A65" s="36"/>
      <c r="B65" s="57" t="str">
        <f>IF('Modell-Kalibrierung'!B87=0," ",'Modell-Kalibrierung'!B87)</f>
        <v xml:space="preserve"> </v>
      </c>
      <c r="C65" s="21" t="str">
        <f>IF('Modell-Kalibrierung'!C87=0," ",'Modell-Kalibrierung'!C87)</f>
        <v xml:space="preserve"> </v>
      </c>
      <c r="D65" s="59"/>
      <c r="E65" s="117"/>
      <c r="F65" s="54" t="str">
        <f>IF(C65=" "," ",(VLOOKUP(C65,'Modell-Kalibrierung'!$H$28:$I$32,2,FALSE))*D65)</f>
        <v xml:space="preserve"> </v>
      </c>
      <c r="G65" s="36"/>
      <c r="H65" s="36"/>
    </row>
    <row r="66" spans="1:8" x14ac:dyDescent="0.2">
      <c r="A66" s="36"/>
      <c r="B66" s="57" t="str">
        <f>IF('Modell-Kalibrierung'!B88=0," ",'Modell-Kalibrierung'!B88)</f>
        <v xml:space="preserve"> </v>
      </c>
      <c r="C66" s="21" t="str">
        <f>IF('Modell-Kalibrierung'!C88=0," ",'Modell-Kalibrierung'!C88)</f>
        <v xml:space="preserve"> </v>
      </c>
      <c r="D66" s="59"/>
      <c r="E66" s="117"/>
      <c r="F66" s="54" t="str">
        <f>IF(C66=" "," ",(VLOOKUP(C66,'Modell-Kalibrierung'!$H$28:$I$32,2,FALSE))*D66)</f>
        <v xml:space="preserve"> </v>
      </c>
      <c r="G66" s="36"/>
      <c r="H66" s="36"/>
    </row>
    <row r="67" spans="1:8" x14ac:dyDescent="0.2">
      <c r="A67" s="36"/>
      <c r="B67" s="57" t="str">
        <f>IF('Modell-Kalibrierung'!B89=0," ",'Modell-Kalibrierung'!B89)</f>
        <v xml:space="preserve"> </v>
      </c>
      <c r="C67" s="21" t="str">
        <f>IF('Modell-Kalibrierung'!C89=0," ",'Modell-Kalibrierung'!C89)</f>
        <v xml:space="preserve"> </v>
      </c>
      <c r="D67" s="59"/>
      <c r="E67" s="117"/>
      <c r="F67" s="54" t="str">
        <f>IF(C67=" "," ",(VLOOKUP(C67,'Modell-Kalibrierung'!$H$28:$I$32,2,FALSE))*D67)</f>
        <v xml:space="preserve"> </v>
      </c>
      <c r="G67" s="36"/>
      <c r="H67" s="36"/>
    </row>
    <row r="68" spans="1:8" x14ac:dyDescent="0.2">
      <c r="A68" s="36"/>
      <c r="B68" s="57" t="str">
        <f>IF('Modell-Kalibrierung'!B90=0," ",'Modell-Kalibrierung'!B90)</f>
        <v xml:space="preserve"> </v>
      </c>
      <c r="C68" s="21" t="str">
        <f>IF('Modell-Kalibrierung'!C90=0," ",'Modell-Kalibrierung'!C90)</f>
        <v xml:space="preserve"> </v>
      </c>
      <c r="D68" s="59"/>
      <c r="E68" s="117"/>
      <c r="F68" s="54" t="str">
        <f>IF(C68=" "," ",(VLOOKUP(C68,'Modell-Kalibrierung'!$H$28:$I$32,2,FALSE))*D68)</f>
        <v xml:space="preserve"> </v>
      </c>
      <c r="G68" s="36"/>
      <c r="H68" s="36"/>
    </row>
    <row r="69" spans="1:8" x14ac:dyDescent="0.2">
      <c r="A69" s="36"/>
      <c r="B69" s="57" t="str">
        <f>IF('Modell-Kalibrierung'!B91=0," ",'Modell-Kalibrierung'!B91)</f>
        <v xml:space="preserve"> </v>
      </c>
      <c r="C69" s="21" t="str">
        <f>IF('Modell-Kalibrierung'!C91=0," ",'Modell-Kalibrierung'!C91)</f>
        <v xml:space="preserve"> </v>
      </c>
      <c r="D69" s="59"/>
      <c r="E69" s="117"/>
      <c r="F69" s="54" t="str">
        <f>IF(C69=" "," ",(VLOOKUP(C69,'Modell-Kalibrierung'!$H$28:$I$32,2,FALSE))*D69)</f>
        <v xml:space="preserve"> </v>
      </c>
      <c r="G69" s="36"/>
      <c r="H69" s="36"/>
    </row>
    <row r="70" spans="1:8" x14ac:dyDescent="0.2">
      <c r="A70" s="36"/>
      <c r="B70" s="57" t="str">
        <f>IF('Modell-Kalibrierung'!B92=0," ",'Modell-Kalibrierung'!B92)</f>
        <v xml:space="preserve"> </v>
      </c>
      <c r="C70" s="21" t="str">
        <f>IF('Modell-Kalibrierung'!C92=0," ",'Modell-Kalibrierung'!C92)</f>
        <v xml:space="preserve"> </v>
      </c>
      <c r="D70" s="59"/>
      <c r="E70" s="117"/>
      <c r="F70" s="54" t="str">
        <f>IF(C70=" "," ",(VLOOKUP(C70,'Modell-Kalibrierung'!$H$28:$I$32,2,FALSE))*D70)</f>
        <v xml:space="preserve"> </v>
      </c>
      <c r="G70" s="36"/>
      <c r="H70" s="36"/>
    </row>
    <row r="71" spans="1:8" x14ac:dyDescent="0.2">
      <c r="A71" s="36"/>
      <c r="B71" s="57" t="str">
        <f>IF('Modell-Kalibrierung'!B93=0," ",'Modell-Kalibrierung'!B93)</f>
        <v xml:space="preserve"> </v>
      </c>
      <c r="C71" s="21" t="str">
        <f>IF('Modell-Kalibrierung'!C93=0," ",'Modell-Kalibrierung'!C93)</f>
        <v xml:space="preserve"> </v>
      </c>
      <c r="D71" s="59"/>
      <c r="E71" s="117"/>
      <c r="F71" s="54" t="str">
        <f>IF(C71=" "," ",(VLOOKUP(C71,'Modell-Kalibrierung'!$H$28:$I$32,2,FALSE))*D71)</f>
        <v xml:space="preserve"> </v>
      </c>
      <c r="G71" s="36"/>
      <c r="H71" s="36"/>
    </row>
    <row r="72" spans="1:8" x14ac:dyDescent="0.2">
      <c r="A72" s="36"/>
      <c r="B72" s="57" t="str">
        <f>IF('Modell-Kalibrierung'!B94=0," ",'Modell-Kalibrierung'!B94)</f>
        <v xml:space="preserve"> </v>
      </c>
      <c r="C72" s="21" t="str">
        <f>IF('Modell-Kalibrierung'!C94=0," ",'Modell-Kalibrierung'!C94)</f>
        <v xml:space="preserve"> </v>
      </c>
      <c r="D72" s="59"/>
      <c r="E72" s="117"/>
      <c r="F72" s="54" t="str">
        <f>IF(C72=" "," ",(VLOOKUP(C72,'Modell-Kalibrierung'!$H$28:$I$32,2,FALSE))*D72)</f>
        <v xml:space="preserve"> </v>
      </c>
      <c r="G72" s="36"/>
      <c r="H72" s="36"/>
    </row>
    <row r="73" spans="1:8" x14ac:dyDescent="0.2">
      <c r="A73" s="36"/>
      <c r="B73" s="57" t="str">
        <f>IF('Modell-Kalibrierung'!B95=0," ",'Modell-Kalibrierung'!B95)</f>
        <v xml:space="preserve"> </v>
      </c>
      <c r="C73" s="21" t="str">
        <f>IF('Modell-Kalibrierung'!C95=0," ",'Modell-Kalibrierung'!C95)</f>
        <v xml:space="preserve"> </v>
      </c>
      <c r="D73" s="59"/>
      <c r="E73" s="117"/>
      <c r="F73" s="54" t="str">
        <f>IF(C73=" "," ",(VLOOKUP(C73,'Modell-Kalibrierung'!$H$28:$I$32,2,FALSE))*D73)</f>
        <v xml:space="preserve"> </v>
      </c>
      <c r="G73" s="36"/>
      <c r="H73" s="36"/>
    </row>
    <row r="74" spans="1:8" x14ac:dyDescent="0.2">
      <c r="A74" s="36"/>
      <c r="B74" s="57" t="str">
        <f>IF('Modell-Kalibrierung'!B96=0," ",'Modell-Kalibrierung'!B96)</f>
        <v xml:space="preserve"> </v>
      </c>
      <c r="C74" s="21" t="str">
        <f>IF('Modell-Kalibrierung'!C96=0," ",'Modell-Kalibrierung'!C96)</f>
        <v xml:space="preserve"> </v>
      </c>
      <c r="D74" s="59"/>
      <c r="E74" s="117"/>
      <c r="F74" s="54" t="str">
        <f>IF(C74=" "," ",(VLOOKUP(C74,'Modell-Kalibrierung'!$H$28:$I$32,2,FALSE))*D74)</f>
        <v xml:space="preserve"> </v>
      </c>
      <c r="G74" s="36"/>
      <c r="H74" s="36"/>
    </row>
    <row r="75" spans="1:8" x14ac:dyDescent="0.2">
      <c r="A75" s="36"/>
      <c r="B75" s="57" t="str">
        <f>IF('Modell-Kalibrierung'!B97=0," ",'Modell-Kalibrierung'!B97)</f>
        <v xml:space="preserve"> </v>
      </c>
      <c r="C75" s="21" t="str">
        <f>IF('Modell-Kalibrierung'!C97=0," ",'Modell-Kalibrierung'!C97)</f>
        <v xml:space="preserve"> </v>
      </c>
      <c r="D75" s="59"/>
      <c r="E75" s="117"/>
      <c r="F75" s="54" t="str">
        <f>IF(C75=" "," ",(VLOOKUP(C75,'Modell-Kalibrierung'!$H$28:$I$32,2,FALSE))*D75)</f>
        <v xml:space="preserve"> </v>
      </c>
      <c r="G75" s="36"/>
      <c r="H75" s="36"/>
    </row>
    <row r="76" spans="1:8" x14ac:dyDescent="0.2">
      <c r="A76" s="36"/>
      <c r="B76" s="57" t="str">
        <f>IF('Modell-Kalibrierung'!B98=0," ",'Modell-Kalibrierung'!B98)</f>
        <v xml:space="preserve"> </v>
      </c>
      <c r="C76" s="21" t="str">
        <f>IF('Modell-Kalibrierung'!C98=0," ",'Modell-Kalibrierung'!C98)</f>
        <v xml:space="preserve"> </v>
      </c>
      <c r="D76" s="59"/>
      <c r="E76" s="117"/>
      <c r="F76" s="54" t="str">
        <f>IF(C76=" "," ",(VLOOKUP(C76,'Modell-Kalibrierung'!$H$28:$I$32,2,FALSE))*D76)</f>
        <v xml:space="preserve"> </v>
      </c>
      <c r="G76" s="36"/>
      <c r="H76" s="36"/>
    </row>
    <row r="77" spans="1:8" x14ac:dyDescent="0.2">
      <c r="A77" s="36"/>
      <c r="B77" s="57" t="str">
        <f>IF('Modell-Kalibrierung'!B99=0," ",'Modell-Kalibrierung'!B99)</f>
        <v xml:space="preserve"> </v>
      </c>
      <c r="C77" s="21" t="str">
        <f>IF('Modell-Kalibrierung'!C99=0," ",'Modell-Kalibrierung'!C99)</f>
        <v xml:space="preserve"> </v>
      </c>
      <c r="D77" s="59"/>
      <c r="E77" s="117"/>
      <c r="F77" s="54" t="str">
        <f>IF(C77=" "," ",(VLOOKUP(C77,'Modell-Kalibrierung'!$H$28:$I$32,2,FALSE))*D77)</f>
        <v xml:space="preserve"> </v>
      </c>
      <c r="G77" s="36"/>
      <c r="H77" s="36"/>
    </row>
    <row r="78" spans="1:8" x14ac:dyDescent="0.2">
      <c r="A78" s="36"/>
      <c r="B78" s="57" t="str">
        <f>IF('Modell-Kalibrierung'!B100=0," ",'Modell-Kalibrierung'!B100)</f>
        <v xml:space="preserve"> </v>
      </c>
      <c r="C78" s="21" t="str">
        <f>IF('Modell-Kalibrierung'!C100=0," ",'Modell-Kalibrierung'!C100)</f>
        <v xml:space="preserve"> </v>
      </c>
      <c r="D78" s="59"/>
      <c r="E78" s="117"/>
      <c r="F78" s="54" t="str">
        <f>IF(C78=" "," ",(VLOOKUP(C78,'Modell-Kalibrierung'!$H$28:$I$32,2,FALSE))*D78)</f>
        <v xml:space="preserve"> </v>
      </c>
      <c r="G78" s="36"/>
      <c r="H78" s="36"/>
    </row>
    <row r="79" spans="1:8" x14ac:dyDescent="0.2">
      <c r="A79" s="36"/>
      <c r="B79" s="57" t="str">
        <f>IF('Modell-Kalibrierung'!B101=0," ",'Modell-Kalibrierung'!B101)</f>
        <v xml:space="preserve"> </v>
      </c>
      <c r="C79" s="21" t="str">
        <f>IF('Modell-Kalibrierung'!C101=0," ",'Modell-Kalibrierung'!C101)</f>
        <v xml:space="preserve"> </v>
      </c>
      <c r="D79" s="59"/>
      <c r="E79" s="117"/>
      <c r="F79" s="54" t="str">
        <f>IF(C79=" "," ",(VLOOKUP(C79,'Modell-Kalibrierung'!$H$28:$I$32,2,FALSE))*D79)</f>
        <v xml:space="preserve"> </v>
      </c>
      <c r="G79" s="36"/>
      <c r="H79" s="36"/>
    </row>
    <row r="80" spans="1:8" x14ac:dyDescent="0.2">
      <c r="A80" s="36"/>
      <c r="B80" s="57" t="str">
        <f>IF('Modell-Kalibrierung'!B102=0," ",'Modell-Kalibrierung'!B102)</f>
        <v xml:space="preserve"> </v>
      </c>
      <c r="C80" s="21" t="str">
        <f>IF('Modell-Kalibrierung'!C102=0," ",'Modell-Kalibrierung'!C102)</f>
        <v xml:space="preserve"> </v>
      </c>
      <c r="D80" s="59"/>
      <c r="E80" s="117"/>
      <c r="F80" s="54" t="str">
        <f>IF(C80=" "," ",(VLOOKUP(C80,'Modell-Kalibrierung'!$H$28:$I$32,2,FALSE))*D80)</f>
        <v xml:space="preserve"> </v>
      </c>
      <c r="G80" s="36"/>
      <c r="H80" s="36"/>
    </row>
    <row r="81" spans="1:8" x14ac:dyDescent="0.2">
      <c r="A81" s="36"/>
      <c r="B81" s="57" t="str">
        <f>IF('Modell-Kalibrierung'!B103=0," ",'Modell-Kalibrierung'!B103)</f>
        <v xml:space="preserve"> </v>
      </c>
      <c r="C81" s="21" t="str">
        <f>IF('Modell-Kalibrierung'!C103=0," ",'Modell-Kalibrierung'!C103)</f>
        <v xml:space="preserve"> </v>
      </c>
      <c r="D81" s="59"/>
      <c r="E81" s="117"/>
      <c r="F81" s="54" t="str">
        <f>IF(C81=" "," ",(VLOOKUP(C81,'Modell-Kalibrierung'!$H$28:$I$32,2,FALSE))*D81)</f>
        <v xml:space="preserve"> </v>
      </c>
      <c r="G81" s="36"/>
      <c r="H81" s="36"/>
    </row>
    <row r="82" spans="1:8" x14ac:dyDescent="0.2">
      <c r="A82" s="36"/>
      <c r="B82" s="57" t="str">
        <f>IF('Modell-Kalibrierung'!B104=0," ",'Modell-Kalibrierung'!B104)</f>
        <v xml:space="preserve"> </v>
      </c>
      <c r="C82" s="21" t="str">
        <f>IF('Modell-Kalibrierung'!C104=0," ",'Modell-Kalibrierung'!C104)</f>
        <v xml:space="preserve"> </v>
      </c>
      <c r="D82" s="59"/>
      <c r="E82" s="117"/>
      <c r="F82" s="54" t="str">
        <f>IF(C82=" "," ",(VLOOKUP(C82,'Modell-Kalibrierung'!$H$28:$I$32,2,FALSE))*D82)</f>
        <v xml:space="preserve"> </v>
      </c>
      <c r="G82" s="36"/>
      <c r="H82" s="36"/>
    </row>
    <row r="83" spans="1:8" x14ac:dyDescent="0.2">
      <c r="A83" s="36"/>
      <c r="B83" s="57" t="str">
        <f>IF('Modell-Kalibrierung'!B105=0," ",'Modell-Kalibrierung'!B105)</f>
        <v xml:space="preserve"> </v>
      </c>
      <c r="C83" s="21" t="str">
        <f>IF('Modell-Kalibrierung'!C105=0," ",'Modell-Kalibrierung'!C105)</f>
        <v xml:space="preserve"> </v>
      </c>
      <c r="D83" s="59"/>
      <c r="E83" s="117"/>
      <c r="F83" s="54" t="str">
        <f>IF(C83=" "," ",(VLOOKUP(C83,'Modell-Kalibrierung'!$H$28:$I$32,2,FALSE))*D83)</f>
        <v xml:space="preserve"> </v>
      </c>
      <c r="G83" s="36"/>
      <c r="H83" s="36"/>
    </row>
    <row r="84" spans="1:8" x14ac:dyDescent="0.2">
      <c r="A84" s="36"/>
      <c r="B84" s="57" t="str">
        <f>IF('Modell-Kalibrierung'!B106=0," ",'Modell-Kalibrierung'!B106)</f>
        <v xml:space="preserve"> </v>
      </c>
      <c r="C84" s="21" t="str">
        <f>IF('Modell-Kalibrierung'!C106=0," ",'Modell-Kalibrierung'!C106)</f>
        <v xml:space="preserve"> </v>
      </c>
      <c r="D84" s="59"/>
      <c r="E84" s="117"/>
      <c r="F84" s="54" t="str">
        <f>IF(C84=" "," ",(VLOOKUP(C84,'Modell-Kalibrierung'!$H$28:$I$32,2,FALSE))*D84)</f>
        <v xml:space="preserve"> </v>
      </c>
      <c r="G84" s="36"/>
      <c r="H84" s="36"/>
    </row>
    <row r="85" spans="1:8" x14ac:dyDescent="0.2">
      <c r="A85" s="36"/>
      <c r="B85" s="57" t="str">
        <f>IF('Modell-Kalibrierung'!B107=0," ",'Modell-Kalibrierung'!B107)</f>
        <v xml:space="preserve"> </v>
      </c>
      <c r="C85" s="21" t="str">
        <f>IF('Modell-Kalibrierung'!C107=0," ",'Modell-Kalibrierung'!C107)</f>
        <v xml:space="preserve"> </v>
      </c>
      <c r="D85" s="59"/>
      <c r="E85" s="117"/>
      <c r="F85" s="54" t="str">
        <f>IF(C85=" "," ",(VLOOKUP(C85,'Modell-Kalibrierung'!$H$28:$I$32,2,FALSE))*D85)</f>
        <v xml:space="preserve"> </v>
      </c>
      <c r="G85" s="36"/>
      <c r="H85" s="36"/>
    </row>
    <row r="86" spans="1:8" x14ac:dyDescent="0.2">
      <c r="A86" s="36"/>
      <c r="B86" s="57" t="str">
        <f>IF('Modell-Kalibrierung'!B108=0," ",'Modell-Kalibrierung'!B108)</f>
        <v xml:space="preserve"> </v>
      </c>
      <c r="C86" s="21" t="str">
        <f>IF('Modell-Kalibrierung'!C108=0," ",'Modell-Kalibrierung'!C108)</f>
        <v xml:space="preserve"> </v>
      </c>
      <c r="D86" s="59"/>
      <c r="E86" s="117"/>
      <c r="F86" s="54" t="str">
        <f>IF(C86=" "," ",(VLOOKUP(C86,'Modell-Kalibrierung'!$H$28:$I$32,2,FALSE))*D86)</f>
        <v xml:space="preserve"> </v>
      </c>
      <c r="G86" s="36"/>
      <c r="H86" s="36"/>
    </row>
    <row r="87" spans="1:8" x14ac:dyDescent="0.2">
      <c r="A87" s="36"/>
      <c r="B87" s="57" t="str">
        <f>IF('Modell-Kalibrierung'!B109=0," ",'Modell-Kalibrierung'!B109)</f>
        <v xml:space="preserve"> </v>
      </c>
      <c r="C87" s="21" t="str">
        <f>IF('Modell-Kalibrierung'!C109=0," ",'Modell-Kalibrierung'!C109)</f>
        <v xml:space="preserve"> </v>
      </c>
      <c r="D87" s="59"/>
      <c r="E87" s="117"/>
      <c r="F87" s="54" t="str">
        <f>IF(C87=" "," ",(VLOOKUP(C87,'Modell-Kalibrierung'!$H$28:$I$32,2,FALSE))*D87)</f>
        <v xml:space="preserve"> </v>
      </c>
      <c r="G87" s="36"/>
      <c r="H87" s="36"/>
    </row>
    <row r="88" spans="1:8" x14ac:dyDescent="0.2">
      <c r="A88" s="36"/>
      <c r="B88" s="57" t="str">
        <f>IF('Modell-Kalibrierung'!B110=0," ",'Modell-Kalibrierung'!B110)</f>
        <v xml:space="preserve"> </v>
      </c>
      <c r="C88" s="21" t="str">
        <f>IF('Modell-Kalibrierung'!C110=0," ",'Modell-Kalibrierung'!C110)</f>
        <v xml:space="preserve"> </v>
      </c>
      <c r="D88" s="59"/>
      <c r="E88" s="117"/>
      <c r="F88" s="54" t="str">
        <f>IF(C88=" "," ",(VLOOKUP(C88,'Modell-Kalibrierung'!$H$28:$I$32,2,FALSE))*D88)</f>
        <v xml:space="preserve"> </v>
      </c>
      <c r="G88" s="36"/>
      <c r="H88" s="36"/>
    </row>
    <row r="89" spans="1:8" x14ac:dyDescent="0.2">
      <c r="A89" s="36"/>
      <c r="B89" s="57" t="str">
        <f>IF('Modell-Kalibrierung'!B111=0," ",'Modell-Kalibrierung'!B111)</f>
        <v xml:space="preserve"> </v>
      </c>
      <c r="C89" s="21" t="str">
        <f>IF('Modell-Kalibrierung'!C111=0," ",'Modell-Kalibrierung'!C111)</f>
        <v xml:space="preserve"> </v>
      </c>
      <c r="D89" s="59"/>
      <c r="E89" s="117"/>
      <c r="F89" s="54" t="str">
        <f>IF(C89=" "," ",(VLOOKUP(C89,'Modell-Kalibrierung'!$H$28:$I$32,2,FALSE))*D89)</f>
        <v xml:space="preserve"> </v>
      </c>
      <c r="G89" s="36"/>
      <c r="H89" s="36"/>
    </row>
    <row r="90" spans="1:8" x14ac:dyDescent="0.2">
      <c r="A90" s="36"/>
      <c r="B90" s="57" t="str">
        <f>IF('Modell-Kalibrierung'!B112=0," ",'Modell-Kalibrierung'!B112)</f>
        <v xml:space="preserve"> </v>
      </c>
      <c r="C90" s="21" t="str">
        <f>IF('Modell-Kalibrierung'!C112=0," ",'Modell-Kalibrierung'!C112)</f>
        <v xml:space="preserve"> </v>
      </c>
      <c r="D90" s="59"/>
      <c r="E90" s="117"/>
      <c r="F90" s="54" t="str">
        <f>IF(C90=" "," ",(VLOOKUP(C90,'Modell-Kalibrierung'!$H$28:$I$32,2,FALSE))*D90)</f>
        <v xml:space="preserve"> </v>
      </c>
      <c r="G90" s="36"/>
      <c r="H90" s="36"/>
    </row>
    <row r="91" spans="1:8" x14ac:dyDescent="0.2">
      <c r="A91" s="36"/>
      <c r="B91" s="57" t="str">
        <f>IF('Modell-Kalibrierung'!B113=0," ",'Modell-Kalibrierung'!B113)</f>
        <v xml:space="preserve"> </v>
      </c>
      <c r="C91" s="21" t="str">
        <f>IF('Modell-Kalibrierung'!C113=0," ",'Modell-Kalibrierung'!C113)</f>
        <v xml:space="preserve"> </v>
      </c>
      <c r="D91" s="59"/>
      <c r="E91" s="117"/>
      <c r="F91" s="54" t="str">
        <f>IF(C91=" "," ",(VLOOKUP(C91,'Modell-Kalibrierung'!$H$28:$I$32,2,FALSE))*D91)</f>
        <v xml:space="preserve"> </v>
      </c>
      <c r="G91" s="36"/>
      <c r="H91" s="36"/>
    </row>
    <row r="92" spans="1:8" x14ac:dyDescent="0.2">
      <c r="A92" s="36"/>
      <c r="B92" s="57" t="str">
        <f>IF('Modell-Kalibrierung'!B114=0," ",'Modell-Kalibrierung'!B114)</f>
        <v xml:space="preserve"> </v>
      </c>
      <c r="C92" s="21" t="str">
        <f>IF('Modell-Kalibrierung'!C114=0," ",'Modell-Kalibrierung'!C114)</f>
        <v xml:space="preserve"> </v>
      </c>
      <c r="D92" s="59"/>
      <c r="E92" s="117"/>
      <c r="F92" s="54" t="str">
        <f>IF(C92=" "," ",(VLOOKUP(C92,'Modell-Kalibrierung'!$H$28:$I$32,2,FALSE))*D92)</f>
        <v xml:space="preserve"> </v>
      </c>
      <c r="G92" s="36"/>
      <c r="H92" s="36"/>
    </row>
    <row r="93" spans="1:8" x14ac:dyDescent="0.2">
      <c r="A93" s="36"/>
      <c r="B93" s="57" t="str">
        <f>IF('Modell-Kalibrierung'!B115=0," ",'Modell-Kalibrierung'!B115)</f>
        <v xml:space="preserve"> </v>
      </c>
      <c r="C93" s="21" t="str">
        <f>IF('Modell-Kalibrierung'!C115=0," ",'Modell-Kalibrierung'!C115)</f>
        <v xml:space="preserve"> </v>
      </c>
      <c r="D93" s="59"/>
      <c r="E93" s="117"/>
      <c r="F93" s="54" t="str">
        <f>IF(C93=" "," ",(VLOOKUP(C93,'Modell-Kalibrierung'!$H$28:$I$32,2,FALSE))*D93)</f>
        <v xml:space="preserve"> </v>
      </c>
      <c r="G93" s="36"/>
      <c r="H93" s="36"/>
    </row>
    <row r="94" spans="1:8" x14ac:dyDescent="0.2">
      <c r="A94" s="36"/>
      <c r="B94" s="57" t="str">
        <f>IF('Modell-Kalibrierung'!B116=0," ",'Modell-Kalibrierung'!B116)</f>
        <v xml:space="preserve"> </v>
      </c>
      <c r="C94" s="21" t="str">
        <f>IF('Modell-Kalibrierung'!C116=0," ",'Modell-Kalibrierung'!C116)</f>
        <v xml:space="preserve"> </v>
      </c>
      <c r="D94" s="59"/>
      <c r="E94" s="117"/>
      <c r="F94" s="54" t="str">
        <f>IF(C94=" "," ",(VLOOKUP(C94,'Modell-Kalibrierung'!$H$28:$I$32,2,FALSE))*D94)</f>
        <v xml:space="preserve"> </v>
      </c>
      <c r="G94" s="36"/>
      <c r="H94" s="36"/>
    </row>
    <row r="95" spans="1:8" x14ac:dyDescent="0.2">
      <c r="A95" s="36"/>
      <c r="B95" s="57" t="str">
        <f>IF('Modell-Kalibrierung'!B117=0," ",'Modell-Kalibrierung'!B117)</f>
        <v xml:space="preserve"> </v>
      </c>
      <c r="C95" s="21" t="str">
        <f>IF('Modell-Kalibrierung'!C117=0," ",'Modell-Kalibrierung'!C117)</f>
        <v xml:space="preserve"> </v>
      </c>
      <c r="D95" s="59"/>
      <c r="E95" s="117"/>
      <c r="F95" s="54" t="str">
        <f>IF(C95=" "," ",(VLOOKUP(C95,'Modell-Kalibrierung'!$H$28:$I$32,2,FALSE))*D95)</f>
        <v xml:space="preserve"> </v>
      </c>
      <c r="G95" s="36"/>
      <c r="H95" s="36"/>
    </row>
    <row r="96" spans="1:8" x14ac:dyDescent="0.2">
      <c r="A96" s="36"/>
      <c r="B96" s="57" t="str">
        <f>IF('Modell-Kalibrierung'!B118=0," ",'Modell-Kalibrierung'!B118)</f>
        <v xml:space="preserve"> </v>
      </c>
      <c r="C96" s="21" t="str">
        <f>IF('Modell-Kalibrierung'!C118=0," ",'Modell-Kalibrierung'!C118)</f>
        <v xml:space="preserve"> </v>
      </c>
      <c r="D96" s="59"/>
      <c r="E96" s="117"/>
      <c r="F96" s="54" t="str">
        <f>IF(C96=" "," ",(VLOOKUP(C96,'Modell-Kalibrierung'!$H$28:$I$32,2,FALSE))*D96)</f>
        <v xml:space="preserve"> </v>
      </c>
      <c r="G96" s="36"/>
      <c r="H96" s="36"/>
    </row>
    <row r="97" spans="1:8" x14ac:dyDescent="0.2">
      <c r="A97" s="36"/>
      <c r="B97" s="57" t="str">
        <f>IF('Modell-Kalibrierung'!B119=0," ",'Modell-Kalibrierung'!B119)</f>
        <v xml:space="preserve"> </v>
      </c>
      <c r="C97" s="21" t="str">
        <f>IF('Modell-Kalibrierung'!C119=0," ",'Modell-Kalibrierung'!C119)</f>
        <v xml:space="preserve"> </v>
      </c>
      <c r="D97" s="59"/>
      <c r="E97" s="117"/>
      <c r="F97" s="54" t="str">
        <f>IF(C97=" "," ",(VLOOKUP(C97,'Modell-Kalibrierung'!$H$28:$I$32,2,FALSE))*D97)</f>
        <v xml:space="preserve"> </v>
      </c>
      <c r="G97" s="36"/>
      <c r="H97" s="36"/>
    </row>
    <row r="98" spans="1:8" x14ac:dyDescent="0.2">
      <c r="A98" s="36"/>
      <c r="B98" s="57" t="str">
        <f>IF('Modell-Kalibrierung'!B120=0," ",'Modell-Kalibrierung'!B120)</f>
        <v xml:space="preserve"> </v>
      </c>
      <c r="C98" s="21" t="str">
        <f>IF('Modell-Kalibrierung'!C120=0," ",'Modell-Kalibrierung'!C120)</f>
        <v xml:space="preserve"> </v>
      </c>
      <c r="D98" s="59"/>
      <c r="E98" s="117"/>
      <c r="F98" s="54" t="str">
        <f>IF(C98=" "," ",(VLOOKUP(C98,'Modell-Kalibrierung'!$H$28:$I$32,2,FALSE))*D98)</f>
        <v xml:space="preserve"> </v>
      </c>
      <c r="G98" s="36"/>
      <c r="H98" s="36"/>
    </row>
    <row r="99" spans="1:8" x14ac:dyDescent="0.2">
      <c r="A99" s="36"/>
      <c r="B99" s="57" t="str">
        <f>IF('Modell-Kalibrierung'!B121=0," ",'Modell-Kalibrierung'!B121)</f>
        <v xml:space="preserve"> </v>
      </c>
      <c r="C99" s="21" t="str">
        <f>IF('Modell-Kalibrierung'!C121=0," ",'Modell-Kalibrierung'!C121)</f>
        <v xml:space="preserve"> </v>
      </c>
      <c r="D99" s="59"/>
      <c r="E99" s="117"/>
      <c r="F99" s="54" t="str">
        <f>IF(C99=" "," ",(VLOOKUP(C99,'Modell-Kalibrierung'!$H$28:$I$32,2,FALSE))*D99)</f>
        <v xml:space="preserve"> </v>
      </c>
      <c r="G99" s="36"/>
      <c r="H99" s="36"/>
    </row>
    <row r="100" spans="1:8" x14ac:dyDescent="0.2">
      <c r="A100" s="36"/>
      <c r="B100" s="57" t="str">
        <f>IF('Modell-Kalibrierung'!B122=0," ",'Modell-Kalibrierung'!B122)</f>
        <v xml:space="preserve"> </v>
      </c>
      <c r="C100" s="21" t="str">
        <f>IF('Modell-Kalibrierung'!C122=0," ",'Modell-Kalibrierung'!C122)</f>
        <v xml:space="preserve"> </v>
      </c>
      <c r="D100" s="59"/>
      <c r="E100" s="117"/>
      <c r="F100" s="54" t="str">
        <f>IF(C100=" "," ",(VLOOKUP(C100,'Modell-Kalibrierung'!$H$28:$I$32,2,FALSE))*D100)</f>
        <v xml:space="preserve"> </v>
      </c>
      <c r="G100" s="36"/>
      <c r="H100" s="36"/>
    </row>
    <row r="101" spans="1:8" x14ac:dyDescent="0.2">
      <c r="A101" s="36"/>
      <c r="B101" s="57" t="str">
        <f>IF('Modell-Kalibrierung'!B123=0," ",'Modell-Kalibrierung'!B123)</f>
        <v xml:space="preserve"> </v>
      </c>
      <c r="C101" s="21" t="str">
        <f>IF('Modell-Kalibrierung'!C123=0," ",'Modell-Kalibrierung'!C123)</f>
        <v xml:space="preserve"> </v>
      </c>
      <c r="D101" s="59"/>
      <c r="E101" s="117"/>
      <c r="F101" s="54" t="str">
        <f>IF(C101=" "," ",(VLOOKUP(C101,'Modell-Kalibrierung'!$H$28:$I$32,2,FALSE))*D101)</f>
        <v xml:space="preserve"> </v>
      </c>
      <c r="G101" s="36"/>
      <c r="H101" s="36"/>
    </row>
    <row r="102" spans="1:8" x14ac:dyDescent="0.2">
      <c r="A102" s="36"/>
      <c r="B102" s="57" t="str">
        <f>IF('Modell-Kalibrierung'!B124=0," ",'Modell-Kalibrierung'!B124)</f>
        <v xml:space="preserve"> </v>
      </c>
      <c r="C102" s="21" t="str">
        <f>IF('Modell-Kalibrierung'!C124=0," ",'Modell-Kalibrierung'!C124)</f>
        <v xml:space="preserve"> </v>
      </c>
      <c r="D102" s="59"/>
      <c r="E102" s="117"/>
      <c r="F102" s="54" t="str">
        <f>IF(C102=" "," ",(VLOOKUP(C102,'Modell-Kalibrierung'!$H$28:$I$32,2,FALSE))*D102)</f>
        <v xml:space="preserve"> </v>
      </c>
      <c r="G102" s="36"/>
      <c r="H102" s="36"/>
    </row>
    <row r="103" spans="1:8" x14ac:dyDescent="0.2">
      <c r="A103" s="36"/>
      <c r="B103" s="57" t="str">
        <f>IF('Modell-Kalibrierung'!B125=0," ",'Modell-Kalibrierung'!B125)</f>
        <v xml:space="preserve"> </v>
      </c>
      <c r="C103" s="21" t="str">
        <f>IF('Modell-Kalibrierung'!C125=0," ",'Modell-Kalibrierung'!C125)</f>
        <v xml:space="preserve"> </v>
      </c>
      <c r="D103" s="59"/>
      <c r="E103" s="117"/>
      <c r="F103" s="54" t="str">
        <f>IF(C103=" "," ",(VLOOKUP(C103,'Modell-Kalibrierung'!$H$28:$I$32,2,FALSE))*D103)</f>
        <v xml:space="preserve"> </v>
      </c>
      <c r="G103" s="36"/>
      <c r="H103" s="36"/>
    </row>
    <row r="104" spans="1:8" x14ac:dyDescent="0.2">
      <c r="A104" s="36"/>
      <c r="B104" s="57" t="str">
        <f>IF('Modell-Kalibrierung'!B126=0," ",'Modell-Kalibrierung'!B126)</f>
        <v xml:space="preserve"> </v>
      </c>
      <c r="C104" s="21" t="str">
        <f>IF('Modell-Kalibrierung'!C126=0," ",'Modell-Kalibrierung'!C126)</f>
        <v xml:space="preserve"> </v>
      </c>
      <c r="D104" s="59"/>
      <c r="E104" s="117"/>
      <c r="F104" s="54" t="str">
        <f>IF(C104=" "," ",(VLOOKUP(C104,'Modell-Kalibrierung'!$H$28:$I$32,2,FALSE))*D104)</f>
        <v xml:space="preserve"> </v>
      </c>
      <c r="G104" s="36"/>
      <c r="H104" s="36"/>
    </row>
    <row r="105" spans="1:8" x14ac:dyDescent="0.2">
      <c r="A105" s="36"/>
      <c r="B105" s="57" t="str">
        <f>IF('Modell-Kalibrierung'!B127=0," ",'Modell-Kalibrierung'!B127)</f>
        <v xml:space="preserve"> </v>
      </c>
      <c r="C105" s="21" t="str">
        <f>IF('Modell-Kalibrierung'!C127=0," ",'Modell-Kalibrierung'!C127)</f>
        <v xml:space="preserve"> </v>
      </c>
      <c r="D105" s="59"/>
      <c r="E105" s="117"/>
      <c r="F105" s="54" t="str">
        <f>IF(C105=" "," ",(VLOOKUP(C105,'Modell-Kalibrierung'!$H$28:$I$32,2,FALSE))*D105)</f>
        <v xml:space="preserve"> </v>
      </c>
      <c r="G105" s="36"/>
      <c r="H105" s="36"/>
    </row>
    <row r="106" spans="1:8" x14ac:dyDescent="0.2">
      <c r="A106" s="36"/>
      <c r="B106" s="57" t="str">
        <f>IF('Modell-Kalibrierung'!B128=0," ",'Modell-Kalibrierung'!B128)</f>
        <v xml:space="preserve"> </v>
      </c>
      <c r="C106" s="21" t="str">
        <f>IF('Modell-Kalibrierung'!C128=0," ",'Modell-Kalibrierung'!C128)</f>
        <v xml:space="preserve"> </v>
      </c>
      <c r="D106" s="59"/>
      <c r="E106" s="117"/>
      <c r="F106" s="54" t="str">
        <f>IF(C106=" "," ",(VLOOKUP(C106,'Modell-Kalibrierung'!$H$28:$I$32,2,FALSE))*D106)</f>
        <v xml:space="preserve"> </v>
      </c>
      <c r="G106" s="36"/>
      <c r="H106" s="36"/>
    </row>
    <row r="107" spans="1:8" x14ac:dyDescent="0.2">
      <c r="A107" s="36"/>
      <c r="B107" s="57" t="str">
        <f>IF('Modell-Kalibrierung'!B129=0," ",'Modell-Kalibrierung'!B129)</f>
        <v xml:space="preserve"> </v>
      </c>
      <c r="C107" s="21" t="str">
        <f>IF('Modell-Kalibrierung'!C129=0," ",'Modell-Kalibrierung'!C129)</f>
        <v xml:space="preserve"> </v>
      </c>
      <c r="D107" s="59"/>
      <c r="E107" s="117"/>
      <c r="F107" s="54" t="str">
        <f>IF(C107=" "," ",(VLOOKUP(C107,'Modell-Kalibrierung'!$H$28:$I$32,2,FALSE))*D107)</f>
        <v xml:space="preserve"> </v>
      </c>
      <c r="G107" s="36"/>
      <c r="H107" s="36"/>
    </row>
    <row r="108" spans="1:8" x14ac:dyDescent="0.2">
      <c r="A108" s="36"/>
      <c r="B108" s="57" t="str">
        <f>IF('Modell-Kalibrierung'!B130=0," ",'Modell-Kalibrierung'!B130)</f>
        <v xml:space="preserve"> </v>
      </c>
      <c r="C108" s="21" t="str">
        <f>IF('Modell-Kalibrierung'!C130=0," ",'Modell-Kalibrierung'!C130)</f>
        <v xml:space="preserve"> </v>
      </c>
      <c r="D108" s="59"/>
      <c r="E108" s="117"/>
      <c r="F108" s="54" t="str">
        <f>IF(C108=" "," ",(VLOOKUP(C108,'Modell-Kalibrierung'!$H$28:$I$32,2,FALSE))*D108)</f>
        <v xml:space="preserve"> </v>
      </c>
      <c r="G108" s="36"/>
      <c r="H108" s="36"/>
    </row>
    <row r="109" spans="1:8" x14ac:dyDescent="0.2">
      <c r="A109" s="36"/>
      <c r="B109" s="57" t="str">
        <f>IF('Modell-Kalibrierung'!B131=0," ",'Modell-Kalibrierung'!B131)</f>
        <v xml:space="preserve"> </v>
      </c>
      <c r="C109" s="21" t="str">
        <f>IF('Modell-Kalibrierung'!C131=0," ",'Modell-Kalibrierung'!C131)</f>
        <v xml:space="preserve"> </v>
      </c>
      <c r="D109" s="59"/>
      <c r="E109" s="117"/>
      <c r="F109" s="54" t="str">
        <f>IF(C109=" "," ",(VLOOKUP(C109,'Modell-Kalibrierung'!$H$28:$I$32,2,FALSE))*D109)</f>
        <v xml:space="preserve"> </v>
      </c>
      <c r="G109" s="36"/>
      <c r="H109" s="36"/>
    </row>
    <row r="110" spans="1:8" x14ac:dyDescent="0.2">
      <c r="A110" s="36"/>
      <c r="B110" s="57" t="str">
        <f>IF('Modell-Kalibrierung'!B132=0," ",'Modell-Kalibrierung'!B132)</f>
        <v xml:space="preserve"> </v>
      </c>
      <c r="C110" s="21" t="str">
        <f>IF('Modell-Kalibrierung'!C132=0," ",'Modell-Kalibrierung'!C132)</f>
        <v xml:space="preserve"> </v>
      </c>
      <c r="D110" s="59"/>
      <c r="E110" s="117"/>
      <c r="F110" s="54" t="str">
        <f>IF(C110=" "," ",(VLOOKUP(C110,'Modell-Kalibrierung'!$H$28:$I$32,2,FALSE))*D110)</f>
        <v xml:space="preserve"> </v>
      </c>
      <c r="G110" s="36"/>
      <c r="H110" s="36"/>
    </row>
    <row r="111" spans="1:8" x14ac:dyDescent="0.2">
      <c r="A111" s="36"/>
      <c r="B111" s="57" t="str">
        <f>IF('Modell-Kalibrierung'!B133=0," ",'Modell-Kalibrierung'!B133)</f>
        <v xml:space="preserve"> </v>
      </c>
      <c r="C111" s="21" t="str">
        <f>IF('Modell-Kalibrierung'!C133=0," ",'Modell-Kalibrierung'!C133)</f>
        <v xml:space="preserve"> </v>
      </c>
      <c r="D111" s="59"/>
      <c r="E111" s="117"/>
      <c r="F111" s="54" t="str">
        <f>IF(C111=" "," ",(VLOOKUP(C111,'Modell-Kalibrierung'!$H$28:$I$32,2,FALSE))*D111)</f>
        <v xml:space="preserve"> </v>
      </c>
      <c r="G111" s="36"/>
      <c r="H111" s="36"/>
    </row>
    <row r="112" spans="1:8" x14ac:dyDescent="0.2">
      <c r="A112" s="36"/>
      <c r="B112" s="57" t="str">
        <f>IF('Modell-Kalibrierung'!B134=0," ",'Modell-Kalibrierung'!B134)</f>
        <v xml:space="preserve"> </v>
      </c>
      <c r="C112" s="21" t="str">
        <f>IF('Modell-Kalibrierung'!C134=0," ",'Modell-Kalibrierung'!C134)</f>
        <v xml:space="preserve"> </v>
      </c>
      <c r="D112" s="59"/>
      <c r="E112" s="117"/>
      <c r="F112" s="54" t="str">
        <f>IF(C112=" "," ",(VLOOKUP(C112,'Modell-Kalibrierung'!$H$28:$I$32,2,FALSE))*D112)</f>
        <v xml:space="preserve"> </v>
      </c>
      <c r="G112" s="36"/>
      <c r="H112" s="36"/>
    </row>
    <row r="113" spans="1:8" x14ac:dyDescent="0.2">
      <c r="A113" s="36"/>
      <c r="B113" s="57" t="str">
        <f>IF('Modell-Kalibrierung'!B135=0," ",'Modell-Kalibrierung'!B135)</f>
        <v xml:space="preserve"> </v>
      </c>
      <c r="C113" s="21" t="str">
        <f>IF('Modell-Kalibrierung'!C135=0," ",'Modell-Kalibrierung'!C135)</f>
        <v xml:space="preserve"> </v>
      </c>
      <c r="D113" s="59"/>
      <c r="E113" s="117"/>
      <c r="F113" s="54" t="str">
        <f>IF(C113=" "," ",(VLOOKUP(C113,'Modell-Kalibrierung'!$H$28:$I$32,2,FALSE))*D113)</f>
        <v xml:space="preserve"> </v>
      </c>
      <c r="G113" s="36"/>
      <c r="H113" s="36"/>
    </row>
    <row r="114" spans="1:8" x14ac:dyDescent="0.2">
      <c r="A114" s="36"/>
      <c r="B114" s="57" t="str">
        <f>IF('Modell-Kalibrierung'!B136=0," ",'Modell-Kalibrierung'!B136)</f>
        <v xml:space="preserve"> </v>
      </c>
      <c r="C114" s="21" t="str">
        <f>IF('Modell-Kalibrierung'!C136=0," ",'Modell-Kalibrierung'!C136)</f>
        <v xml:space="preserve"> </v>
      </c>
      <c r="D114" s="59"/>
      <c r="E114" s="117"/>
      <c r="F114" s="54" t="str">
        <f>IF(C114=" "," ",(VLOOKUP(C114,'Modell-Kalibrierung'!$H$28:$I$32,2,FALSE))*D114)</f>
        <v xml:space="preserve"> </v>
      </c>
      <c r="G114" s="36"/>
      <c r="H114" s="36"/>
    </row>
    <row r="115" spans="1:8" x14ac:dyDescent="0.2">
      <c r="A115" s="36"/>
      <c r="B115" s="57" t="str">
        <f>IF('Modell-Kalibrierung'!B137=0," ",'Modell-Kalibrierung'!B137)</f>
        <v xml:space="preserve"> </v>
      </c>
      <c r="C115" s="21" t="str">
        <f>IF('Modell-Kalibrierung'!C137=0," ",'Modell-Kalibrierung'!C137)</f>
        <v xml:space="preserve"> </v>
      </c>
      <c r="D115" s="59"/>
      <c r="E115" s="117"/>
      <c r="F115" s="54" t="str">
        <f>IF(C115=" "," ",(VLOOKUP(C115,'Modell-Kalibrierung'!$H$28:$I$32,2,FALSE))*D115)</f>
        <v xml:space="preserve"> </v>
      </c>
      <c r="G115" s="36"/>
      <c r="H115" s="36"/>
    </row>
    <row r="116" spans="1:8" x14ac:dyDescent="0.2">
      <c r="A116" s="36"/>
      <c r="B116" s="57" t="str">
        <f>IF('Modell-Kalibrierung'!B138=0," ",'Modell-Kalibrierung'!B138)</f>
        <v xml:space="preserve"> </v>
      </c>
      <c r="C116" s="21" t="str">
        <f>IF('Modell-Kalibrierung'!C138=0," ",'Modell-Kalibrierung'!C138)</f>
        <v xml:space="preserve"> </v>
      </c>
      <c r="D116" s="59"/>
      <c r="E116" s="117"/>
      <c r="F116" s="54" t="str">
        <f>IF(C116=" "," ",(VLOOKUP(C116,'Modell-Kalibrierung'!$H$28:$I$32,2,FALSE))*D116)</f>
        <v xml:space="preserve"> </v>
      </c>
      <c r="G116" s="36"/>
      <c r="H116" s="36"/>
    </row>
    <row r="117" spans="1:8" x14ac:dyDescent="0.2">
      <c r="A117" s="36"/>
      <c r="B117" s="57" t="str">
        <f>IF('Modell-Kalibrierung'!B139=0," ",'Modell-Kalibrierung'!B139)</f>
        <v xml:space="preserve"> </v>
      </c>
      <c r="C117" s="21" t="str">
        <f>IF('Modell-Kalibrierung'!C139=0," ",'Modell-Kalibrierung'!C139)</f>
        <v xml:space="preserve"> </v>
      </c>
      <c r="D117" s="59"/>
      <c r="E117" s="117"/>
      <c r="F117" s="54" t="str">
        <f>IF(C117=" "," ",(VLOOKUP(C117,'Modell-Kalibrierung'!$H$28:$I$32,2,FALSE))*D117)</f>
        <v xml:space="preserve"> </v>
      </c>
      <c r="G117" s="36"/>
      <c r="H117" s="36"/>
    </row>
    <row r="118" spans="1:8" x14ac:dyDescent="0.2">
      <c r="A118" s="36"/>
      <c r="B118" s="57" t="str">
        <f>IF('Modell-Kalibrierung'!B140=0," ",'Modell-Kalibrierung'!B140)</f>
        <v xml:space="preserve"> </v>
      </c>
      <c r="C118" s="21" t="str">
        <f>IF('Modell-Kalibrierung'!C140=0," ",'Modell-Kalibrierung'!C140)</f>
        <v xml:space="preserve"> </v>
      </c>
      <c r="D118" s="59"/>
      <c r="E118" s="117"/>
      <c r="F118" s="54" t="str">
        <f>IF(C118=" "," ",(VLOOKUP(C118,'Modell-Kalibrierung'!$H$28:$I$32,2,FALSE))*D118)</f>
        <v xml:space="preserve"> </v>
      </c>
      <c r="G118" s="36"/>
      <c r="H118" s="36"/>
    </row>
    <row r="119" spans="1:8" x14ac:dyDescent="0.2">
      <c r="A119" s="36"/>
      <c r="B119" s="36"/>
      <c r="C119" s="36"/>
      <c r="D119" s="44"/>
      <c r="E119" s="54"/>
      <c r="F119" s="36"/>
      <c r="G119" s="36"/>
      <c r="H119" s="36"/>
    </row>
    <row r="120" spans="1:8" x14ac:dyDescent="0.2">
      <c r="A120" s="36"/>
      <c r="B120" s="36"/>
      <c r="C120" s="36"/>
      <c r="D120" s="44"/>
      <c r="E120" s="54"/>
      <c r="F120" s="36"/>
      <c r="G120" s="36"/>
      <c r="H120" s="36"/>
    </row>
    <row r="121" spans="1:8" x14ac:dyDescent="0.2">
      <c r="A121" s="36"/>
      <c r="B121" s="36"/>
      <c r="C121" s="36"/>
      <c r="D121" s="44"/>
      <c r="E121" s="54"/>
      <c r="F121" s="36"/>
      <c r="G121" s="36"/>
      <c r="H121" s="36"/>
    </row>
    <row r="122" spans="1:8" x14ac:dyDescent="0.2">
      <c r="A122" s="36"/>
      <c r="B122" s="36"/>
      <c r="C122" s="36"/>
      <c r="D122" s="44"/>
      <c r="E122" s="54"/>
      <c r="F122" s="36"/>
      <c r="G122" s="36"/>
      <c r="H122" s="36"/>
    </row>
    <row r="123" spans="1:8" x14ac:dyDescent="0.2">
      <c r="A123" s="36"/>
      <c r="B123" s="36"/>
      <c r="C123" s="36"/>
      <c r="D123" s="44"/>
      <c r="E123" s="54"/>
      <c r="F123" s="36"/>
      <c r="G123" s="36"/>
      <c r="H123" s="36"/>
    </row>
    <row r="124" spans="1:8" x14ac:dyDescent="0.2">
      <c r="A124" s="36"/>
      <c r="B124" s="36"/>
      <c r="C124" s="36"/>
      <c r="D124" s="44"/>
      <c r="E124" s="54"/>
      <c r="F124" s="36"/>
      <c r="G124" s="36"/>
      <c r="H124" s="36"/>
    </row>
    <row r="125" spans="1:8" x14ac:dyDescent="0.2">
      <c r="A125" s="36"/>
      <c r="B125" s="36"/>
      <c r="C125" s="36"/>
      <c r="D125" s="44"/>
      <c r="E125" s="54"/>
      <c r="F125" s="36"/>
      <c r="G125" s="36"/>
      <c r="H125" s="36"/>
    </row>
    <row r="126" spans="1:8" x14ac:dyDescent="0.2">
      <c r="D126" s="13"/>
    </row>
    <row r="127" spans="1:8" x14ac:dyDescent="0.2">
      <c r="D127" s="13"/>
    </row>
    <row r="128" spans="1:8" x14ac:dyDescent="0.2">
      <c r="D128" s="13"/>
    </row>
    <row r="129" spans="4:4" x14ac:dyDescent="0.2">
      <c r="D129" s="13"/>
    </row>
    <row r="130" spans="4:4" x14ac:dyDescent="0.2">
      <c r="D130" s="13"/>
    </row>
    <row r="131" spans="4:4" x14ac:dyDescent="0.2">
      <c r="D131" s="13"/>
    </row>
    <row r="132" spans="4:4" x14ac:dyDescent="0.2">
      <c r="D132" s="13"/>
    </row>
    <row r="133" spans="4:4" x14ac:dyDescent="0.2">
      <c r="D133" s="13"/>
    </row>
    <row r="134" spans="4:4" x14ac:dyDescent="0.2">
      <c r="D134" s="13"/>
    </row>
    <row r="135" spans="4:4" x14ac:dyDescent="0.2">
      <c r="D135" s="13"/>
    </row>
    <row r="136" spans="4:4" x14ac:dyDescent="0.2">
      <c r="D136" s="13"/>
    </row>
    <row r="137" spans="4:4" x14ac:dyDescent="0.2">
      <c r="D137" s="13"/>
    </row>
    <row r="138" spans="4:4" x14ac:dyDescent="0.2">
      <c r="D138" s="13"/>
    </row>
    <row r="139" spans="4:4" x14ac:dyDescent="0.2">
      <c r="D139" s="13"/>
    </row>
    <row r="140" spans="4:4" x14ac:dyDescent="0.2">
      <c r="D140" s="13"/>
    </row>
    <row r="141" spans="4:4" x14ac:dyDescent="0.2">
      <c r="D141" s="13"/>
    </row>
    <row r="142" spans="4:4" x14ac:dyDescent="0.2">
      <c r="D142" s="13"/>
    </row>
    <row r="143" spans="4:4" x14ac:dyDescent="0.2">
      <c r="D143" s="13"/>
    </row>
    <row r="144" spans="4:4" x14ac:dyDescent="0.2">
      <c r="D144" s="13"/>
    </row>
    <row r="145" spans="4:4" x14ac:dyDescent="0.2">
      <c r="D145" s="13"/>
    </row>
    <row r="146" spans="4:4" x14ac:dyDescent="0.2">
      <c r="D146" s="13"/>
    </row>
    <row r="147" spans="4:4" x14ac:dyDescent="0.2">
      <c r="D147" s="13"/>
    </row>
    <row r="148" spans="4:4" x14ac:dyDescent="0.2">
      <c r="D148" s="13"/>
    </row>
    <row r="149" spans="4:4" x14ac:dyDescent="0.2">
      <c r="D149" s="13"/>
    </row>
    <row r="150" spans="4:4" x14ac:dyDescent="0.2">
      <c r="D150" s="13"/>
    </row>
    <row r="151" spans="4:4" x14ac:dyDescent="0.2">
      <c r="D151" s="13"/>
    </row>
    <row r="152" spans="4:4" x14ac:dyDescent="0.2">
      <c r="D152" s="13"/>
    </row>
    <row r="153" spans="4:4" x14ac:dyDescent="0.2">
      <c r="D153" s="13"/>
    </row>
    <row r="154" spans="4:4" x14ac:dyDescent="0.2">
      <c r="D154" s="13"/>
    </row>
    <row r="155" spans="4:4" x14ac:dyDescent="0.2">
      <c r="D155" s="13"/>
    </row>
    <row r="156" spans="4:4" x14ac:dyDescent="0.2">
      <c r="D156" s="13"/>
    </row>
    <row r="157" spans="4:4" x14ac:dyDescent="0.2">
      <c r="D157" s="13"/>
    </row>
    <row r="158" spans="4:4" x14ac:dyDescent="0.2">
      <c r="D158" s="13"/>
    </row>
    <row r="159" spans="4:4" x14ac:dyDescent="0.2">
      <c r="D159" s="13"/>
    </row>
    <row r="160" spans="4:4" x14ac:dyDescent="0.2">
      <c r="D160" s="13"/>
    </row>
    <row r="161" spans="4:4" x14ac:dyDescent="0.2">
      <c r="D161" s="13"/>
    </row>
    <row r="162" spans="4:4" x14ac:dyDescent="0.2">
      <c r="D162" s="13"/>
    </row>
    <row r="163" spans="4:4" x14ac:dyDescent="0.2">
      <c r="D163" s="13"/>
    </row>
    <row r="164" spans="4:4" x14ac:dyDescent="0.2">
      <c r="D164" s="13"/>
    </row>
    <row r="165" spans="4:4" x14ac:dyDescent="0.2">
      <c r="D165" s="13"/>
    </row>
    <row r="166" spans="4:4" x14ac:dyDescent="0.2">
      <c r="D166" s="13"/>
    </row>
    <row r="167" spans="4:4" x14ac:dyDescent="0.2">
      <c r="D167" s="13"/>
    </row>
    <row r="168" spans="4:4" x14ac:dyDescent="0.2">
      <c r="D168" s="13"/>
    </row>
    <row r="169" spans="4:4" x14ac:dyDescent="0.2">
      <c r="D169" s="13"/>
    </row>
    <row r="170" spans="4:4" x14ac:dyDescent="0.2">
      <c r="D170" s="13"/>
    </row>
    <row r="171" spans="4:4" x14ac:dyDescent="0.2">
      <c r="D171" s="13"/>
    </row>
    <row r="172" spans="4:4" x14ac:dyDescent="0.2">
      <c r="D172" s="13"/>
    </row>
    <row r="173" spans="4:4" x14ac:dyDescent="0.2">
      <c r="D173" s="13"/>
    </row>
    <row r="174" spans="4:4" x14ac:dyDescent="0.2">
      <c r="D174" s="13"/>
    </row>
    <row r="175" spans="4:4" x14ac:dyDescent="0.2">
      <c r="D175" s="13"/>
    </row>
    <row r="176" spans="4:4" x14ac:dyDescent="0.2">
      <c r="D176" s="13"/>
    </row>
    <row r="177" spans="4:4" x14ac:dyDescent="0.2">
      <c r="D177" s="13"/>
    </row>
    <row r="178" spans="4:4" x14ac:dyDescent="0.2">
      <c r="D178" s="13"/>
    </row>
    <row r="179" spans="4:4" x14ac:dyDescent="0.2">
      <c r="D179" s="13"/>
    </row>
    <row r="180" spans="4:4" x14ac:dyDescent="0.2">
      <c r="D180" s="13"/>
    </row>
    <row r="181" spans="4:4" x14ac:dyDescent="0.2">
      <c r="D181" s="13"/>
    </row>
    <row r="182" spans="4:4" x14ac:dyDescent="0.2">
      <c r="D182" s="13"/>
    </row>
    <row r="183" spans="4:4" x14ac:dyDescent="0.2">
      <c r="D183" s="13"/>
    </row>
    <row r="184" spans="4:4" x14ac:dyDescent="0.2">
      <c r="D184" s="13"/>
    </row>
    <row r="185" spans="4:4" x14ac:dyDescent="0.2">
      <c r="D185" s="13"/>
    </row>
    <row r="186" spans="4:4" x14ac:dyDescent="0.2">
      <c r="D186" s="13"/>
    </row>
    <row r="187" spans="4:4" x14ac:dyDescent="0.2">
      <c r="D187" s="13"/>
    </row>
    <row r="188" spans="4:4" x14ac:dyDescent="0.2">
      <c r="D188" s="13"/>
    </row>
    <row r="189" spans="4:4" x14ac:dyDescent="0.2">
      <c r="D189" s="13"/>
    </row>
    <row r="190" spans="4:4" x14ac:dyDescent="0.2">
      <c r="D190" s="13"/>
    </row>
    <row r="191" spans="4:4" x14ac:dyDescent="0.2">
      <c r="D191" s="13"/>
    </row>
    <row r="192" spans="4:4" x14ac:dyDescent="0.2">
      <c r="D192" s="13"/>
    </row>
    <row r="193" spans="4:4" x14ac:dyDescent="0.2">
      <c r="D193" s="13"/>
    </row>
    <row r="194" spans="4:4" x14ac:dyDescent="0.2">
      <c r="D194" s="13"/>
    </row>
    <row r="195" spans="4:4" x14ac:dyDescent="0.2">
      <c r="D195" s="13"/>
    </row>
    <row r="196" spans="4:4" x14ac:dyDescent="0.2">
      <c r="D196" s="13"/>
    </row>
    <row r="197" spans="4:4" x14ac:dyDescent="0.2">
      <c r="D197" s="13"/>
    </row>
    <row r="198" spans="4:4" x14ac:dyDescent="0.2">
      <c r="D198" s="13"/>
    </row>
    <row r="199" spans="4:4" x14ac:dyDescent="0.2">
      <c r="D199" s="13"/>
    </row>
    <row r="200" spans="4:4" x14ac:dyDescent="0.2">
      <c r="D200" s="13"/>
    </row>
    <row r="201" spans="4:4" x14ac:dyDescent="0.2">
      <c r="D201" s="13"/>
    </row>
    <row r="202" spans="4:4" x14ac:dyDescent="0.2">
      <c r="D202" s="13"/>
    </row>
    <row r="203" spans="4:4" x14ac:dyDescent="0.2">
      <c r="D203" s="13"/>
    </row>
    <row r="204" spans="4:4" x14ac:dyDescent="0.2">
      <c r="D204" s="13"/>
    </row>
    <row r="205" spans="4:4" x14ac:dyDescent="0.2">
      <c r="D205" s="13"/>
    </row>
    <row r="206" spans="4:4" x14ac:dyDescent="0.2">
      <c r="D206" s="13"/>
    </row>
    <row r="207" spans="4:4" x14ac:dyDescent="0.2">
      <c r="D207" s="13"/>
    </row>
    <row r="208" spans="4:4" x14ac:dyDescent="0.2">
      <c r="D208" s="13"/>
    </row>
    <row r="209" spans="4:4" x14ac:dyDescent="0.2">
      <c r="D209" s="13"/>
    </row>
    <row r="210" spans="4:4" x14ac:dyDescent="0.2">
      <c r="D210" s="13"/>
    </row>
    <row r="211" spans="4:4" x14ac:dyDescent="0.2">
      <c r="D211" s="13"/>
    </row>
    <row r="212" spans="4:4" x14ac:dyDescent="0.2">
      <c r="D212" s="13"/>
    </row>
    <row r="213" spans="4:4" x14ac:dyDescent="0.2">
      <c r="D213" s="13"/>
    </row>
    <row r="214" spans="4:4" x14ac:dyDescent="0.2">
      <c r="D214" s="13"/>
    </row>
    <row r="215" spans="4:4" x14ac:dyDescent="0.2">
      <c r="D215" s="13"/>
    </row>
    <row r="216" spans="4:4" x14ac:dyDescent="0.2">
      <c r="D216" s="13"/>
    </row>
    <row r="217" spans="4:4" x14ac:dyDescent="0.2">
      <c r="D217" s="13"/>
    </row>
    <row r="218" spans="4:4" x14ac:dyDescent="0.2">
      <c r="D218" s="13"/>
    </row>
    <row r="219" spans="4:4" x14ac:dyDescent="0.2">
      <c r="D219" s="13"/>
    </row>
    <row r="220" spans="4:4" x14ac:dyDescent="0.2">
      <c r="D220" s="13"/>
    </row>
    <row r="221" spans="4:4" x14ac:dyDescent="0.2">
      <c r="D221" s="13"/>
    </row>
    <row r="222" spans="4:4" x14ac:dyDescent="0.2">
      <c r="D222" s="13"/>
    </row>
    <row r="223" spans="4:4" x14ac:dyDescent="0.2">
      <c r="D223" s="13"/>
    </row>
    <row r="224" spans="4:4" x14ac:dyDescent="0.2">
      <c r="D224" s="13"/>
    </row>
    <row r="225" spans="4:4" x14ac:dyDescent="0.2">
      <c r="D225" s="13"/>
    </row>
    <row r="226" spans="4:4" x14ac:dyDescent="0.2">
      <c r="D226" s="13"/>
    </row>
    <row r="227" spans="4:4" x14ac:dyDescent="0.2">
      <c r="D227" s="13"/>
    </row>
    <row r="228" spans="4:4" x14ac:dyDescent="0.2">
      <c r="D228" s="13"/>
    </row>
    <row r="229" spans="4:4" x14ac:dyDescent="0.2">
      <c r="D229" s="13"/>
    </row>
    <row r="230" spans="4:4" x14ac:dyDescent="0.2">
      <c r="D230" s="13"/>
    </row>
    <row r="231" spans="4:4" x14ac:dyDescent="0.2">
      <c r="D231" s="13"/>
    </row>
    <row r="232" spans="4:4" x14ac:dyDescent="0.2">
      <c r="D232" s="13"/>
    </row>
    <row r="233" spans="4:4" x14ac:dyDescent="0.2">
      <c r="D233" s="13"/>
    </row>
    <row r="234" spans="4:4" x14ac:dyDescent="0.2">
      <c r="D234" s="13"/>
    </row>
    <row r="235" spans="4:4" x14ac:dyDescent="0.2">
      <c r="D235" s="13"/>
    </row>
    <row r="236" spans="4:4" x14ac:dyDescent="0.2">
      <c r="D236" s="13"/>
    </row>
    <row r="237" spans="4:4" x14ac:dyDescent="0.2">
      <c r="D237" s="13"/>
    </row>
    <row r="238" spans="4:4" x14ac:dyDescent="0.2">
      <c r="D238" s="13"/>
    </row>
    <row r="239" spans="4:4" x14ac:dyDescent="0.2">
      <c r="D239" s="13"/>
    </row>
    <row r="240" spans="4:4" x14ac:dyDescent="0.2">
      <c r="D240" s="13"/>
    </row>
    <row r="241" spans="4:4" x14ac:dyDescent="0.2">
      <c r="D241" s="13"/>
    </row>
    <row r="242" spans="4:4" x14ac:dyDescent="0.2">
      <c r="D242" s="13"/>
    </row>
    <row r="243" spans="4:4" x14ac:dyDescent="0.2">
      <c r="D243" s="13"/>
    </row>
    <row r="244" spans="4:4" x14ac:dyDescent="0.2">
      <c r="D244" s="13"/>
    </row>
    <row r="245" spans="4:4" x14ac:dyDescent="0.2">
      <c r="D245" s="13"/>
    </row>
    <row r="246" spans="4:4" x14ac:dyDescent="0.2">
      <c r="D246" s="13"/>
    </row>
    <row r="247" spans="4:4" x14ac:dyDescent="0.2">
      <c r="D247" s="13"/>
    </row>
    <row r="248" spans="4:4" x14ac:dyDescent="0.2">
      <c r="D248" s="13"/>
    </row>
    <row r="249" spans="4:4" x14ac:dyDescent="0.2">
      <c r="D249" s="13"/>
    </row>
  </sheetData>
  <sheetProtection sheet="1" objects="1" scenarios="1" selectLockedCells="1"/>
  <mergeCells count="2">
    <mergeCell ref="B1:H1"/>
    <mergeCell ref="G6:H6"/>
  </mergeCells>
  <pageMargins left="0.7" right="0.7" top="0.78740157499999996" bottom="0.78740157499999996" header="0.3" footer="0.3"/>
  <pageSetup paperSize="8" scale="62" orientation="portrait" r:id="rId1"/>
  <drawing r:id="rId2"/>
  <legacyDrawing r:id="rId3"/>
  <controls>
    <mc:AlternateContent xmlns:mc="http://schemas.openxmlformats.org/markup-compatibility/2006">
      <mc:Choice Requires="x14">
        <control shapeId="128001" r:id="rId4" name="ComboBox1">
          <controlPr defaultSize="0" autoLine="0" r:id="rId5">
            <anchor moveWithCells="1">
              <from>
                <xdr:col>1</xdr:col>
                <xdr:colOff>1600200</xdr:colOff>
                <xdr:row>0</xdr:row>
                <xdr:rowOff>28575</xdr:rowOff>
              </from>
              <to>
                <xdr:col>1</xdr:col>
                <xdr:colOff>3400425</xdr:colOff>
                <xdr:row>0</xdr:row>
                <xdr:rowOff>657225</xdr:rowOff>
              </to>
            </anchor>
          </controlPr>
        </control>
      </mc:Choice>
      <mc:Fallback>
        <control shapeId="128001" r:id="rId4" name="ComboBox1"/>
      </mc:Fallback>
    </mc:AlternateContent>
    <mc:AlternateContent xmlns:mc="http://schemas.openxmlformats.org/markup-compatibility/2006">
      <mc:Choice Requires="x14">
        <control shapeId="128002" r:id="rId6" name="Löschbutton">
          <controlPr defaultSize="0" autoLine="0" r:id="rId7">
            <anchor moveWithCells="1">
              <from>
                <xdr:col>0</xdr:col>
                <xdr:colOff>123825</xdr:colOff>
                <xdr:row>0</xdr:row>
                <xdr:rowOff>28575</xdr:rowOff>
              </from>
              <to>
                <xdr:col>1</xdr:col>
                <xdr:colOff>1524000</xdr:colOff>
                <xdr:row>0</xdr:row>
                <xdr:rowOff>657225</xdr:rowOff>
              </to>
            </anchor>
          </controlPr>
        </control>
      </mc:Choice>
      <mc:Fallback>
        <control shapeId="128002" r:id="rId6" name="Löschbutton"/>
      </mc:Fallback>
    </mc:AlternateContent>
    <mc:AlternateContent xmlns:mc="http://schemas.openxmlformats.org/markup-compatibility/2006">
      <mc:Choice Requires="x14">
        <control shapeId="128003" r:id="rId8" name="Portfolioview">
          <controlPr defaultSize="0" autoLine="0" r:id="rId9">
            <anchor moveWithCells="1">
              <from>
                <xdr:col>1</xdr:col>
                <xdr:colOff>1600200</xdr:colOff>
                <xdr:row>0</xdr:row>
                <xdr:rowOff>28575</xdr:rowOff>
              </from>
              <to>
                <xdr:col>1</xdr:col>
                <xdr:colOff>3238500</xdr:colOff>
                <xdr:row>0</xdr:row>
                <xdr:rowOff>657225</xdr:rowOff>
              </to>
            </anchor>
          </controlPr>
        </control>
      </mc:Choice>
      <mc:Fallback>
        <control shapeId="128003" r:id="rId8" name="Portfolioview"/>
      </mc:Fallback>
    </mc:AlternateContent>
  </controls>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'Modell-Kalibrierung'!$E$29:$E$36</xm:f>
          </x14:formula1>
          <xm:sqref>D7:D59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5">
    <tabColor rgb="FF00B050"/>
    <pageSetUpPr fitToPage="1"/>
  </sheetPr>
  <dimension ref="A1:AJ189"/>
  <sheetViews>
    <sheetView view="pageBreakPreview" zoomScale="55" zoomScaleNormal="55" zoomScaleSheetLayoutView="55" zoomScalePageLayoutView="50" workbookViewId="0">
      <pane ySplit="32" topLeftCell="A33" activePane="bottomLeft" state="frozen"/>
      <selection activeCell="D31" sqref="D31"/>
      <selection pane="bottomLeft" activeCell="D49" sqref="D49"/>
    </sheetView>
  </sheetViews>
  <sheetFormatPr baseColWidth="10" defaultRowHeight="14.25" x14ac:dyDescent="0.2"/>
  <cols>
    <col min="1" max="1" width="3.75" customWidth="1"/>
    <col min="2" max="2" width="37.25" customWidth="1"/>
    <col min="3" max="3" width="44.125" customWidth="1"/>
    <col min="4" max="4" width="44.75" customWidth="1"/>
    <col min="5" max="5" width="38.75" customWidth="1"/>
    <col min="6" max="6" width="37.125" customWidth="1"/>
    <col min="7" max="7" width="26.375" customWidth="1"/>
    <col min="8" max="8" width="26.625" customWidth="1"/>
    <col min="9" max="9" width="26.375" customWidth="1"/>
    <col min="10" max="10" width="35.75" customWidth="1"/>
    <col min="11" max="11" width="15.25" bestFit="1" customWidth="1"/>
    <col min="12" max="12" width="62.375" bestFit="1" customWidth="1"/>
    <col min="13" max="13" width="3.75" style="54" customWidth="1"/>
    <col min="14" max="14" width="4.125" style="54" customWidth="1"/>
    <col min="15" max="15" width="11" style="99"/>
    <col min="16" max="16" width="17.875" style="99" customWidth="1"/>
    <col min="17" max="17" width="13.75" style="99" bestFit="1" customWidth="1"/>
    <col min="18" max="18" width="18.125" style="99" bestFit="1" customWidth="1"/>
    <col min="19" max="19" width="16.5" style="99" bestFit="1" customWidth="1"/>
    <col min="20" max="20" width="11" style="99"/>
    <col min="21" max="21" width="17.375" style="99" customWidth="1"/>
    <col min="22" max="23" width="11" style="99"/>
    <col min="24" max="24" width="22.125" style="99" bestFit="1" customWidth="1"/>
    <col min="25" max="25" width="18" style="99" customWidth="1"/>
    <col min="26" max="31" width="11" style="99"/>
  </cols>
  <sheetData>
    <row r="1" spans="1:16" s="100" customFormat="1" ht="46.5" hidden="1" customHeight="1" x14ac:dyDescent="0.2">
      <c r="B1" s="101" t="str">
        <f>B33</f>
        <v xml:space="preserve">Gesetzgebung </v>
      </c>
      <c r="C1" s="101" t="str">
        <f>B39</f>
        <v>politische Stabilität/ Rechtssicherheit</v>
      </c>
      <c r="D1" s="101" t="str">
        <f>B45</f>
        <v xml:space="preserve">Handelshemmnisse (Zölle/ Schranken/ regolatorische Hemmnisse ...) </v>
      </c>
      <c r="E1" s="101" t="str">
        <f>B51</f>
        <v xml:space="preserve">Wirtschaftswachstum </v>
      </c>
      <c r="F1" s="101" t="str">
        <f>B57</f>
        <v xml:space="preserve">Inflation, Zinsen, Wechselkurse </v>
      </c>
      <c r="G1" s="101" t="str">
        <f>B63</f>
        <v xml:space="preserve">Arbeitsmarkt (Quantität/ Qualität ...) </v>
      </c>
      <c r="H1" s="101" t="str">
        <f>B69</f>
        <v xml:space="preserve">Globalisierung/ Internationalisierung </v>
      </c>
      <c r="I1" s="101" t="str">
        <f>B75</f>
        <v xml:space="preserve">Ressourcenverfügbarkeit </v>
      </c>
      <c r="J1" s="101" t="str">
        <f>B81</f>
        <v xml:space="preserve">Werte </v>
      </c>
      <c r="K1" s="101" t="str">
        <f>B87</f>
        <v xml:space="preserve">Lebensstil/ Mentalitäten </v>
      </c>
      <c r="L1" s="101" t="str">
        <f>B93</f>
        <v>Bildung</v>
      </c>
      <c r="M1" s="100" t="str">
        <f>B99</f>
        <v xml:space="preserve">Forschung </v>
      </c>
      <c r="N1" s="102" t="str">
        <f>B105</f>
        <v xml:space="preserve">neue Technologien und Produkte </v>
      </c>
      <c r="O1" s="102" t="str">
        <f>B111</f>
        <v>neue Prozesse</v>
      </c>
      <c r="P1" s="102" t="str">
        <f>B117</f>
        <v>Produktlebenszyklen</v>
      </c>
    </row>
    <row r="2" spans="1:16" s="100" customFormat="1" hidden="1" x14ac:dyDescent="0.2">
      <c r="A2" s="100" t="str">
        <f>'Modell-Kalibrierung'!B16</f>
        <v>nicht vorhanden</v>
      </c>
      <c r="B2" s="100">
        <f t="shared" ref="B2:B8" si="0">COUNTIF(G$33:G$37,A2)+COUNTIF(I$33:I$37,A2)</f>
        <v>0</v>
      </c>
      <c r="C2" s="100">
        <f t="shared" ref="C2:C8" si="1">COUNTIF(G$39:G$43,A2)+COUNTIF(I$39:I$43,A2)</f>
        <v>0</v>
      </c>
      <c r="D2" s="100">
        <f t="shared" ref="D2:D8" si="2">COUNTIF(G$45:G$49,A2)+COUNTIF(I$45:I$49,A2)</f>
        <v>0</v>
      </c>
      <c r="E2" s="100">
        <f t="shared" ref="E2:E8" si="3">COUNTIF(G$51:G$55,A2)+COUNTIF(I$51:I$55,A2)</f>
        <v>0</v>
      </c>
      <c r="F2" s="100">
        <f t="shared" ref="F2:F8" si="4">COUNTIF(G$57:G$61,A2)+COUNTIF(I$57:I$61,A2)</f>
        <v>0</v>
      </c>
      <c r="G2" s="100">
        <f t="shared" ref="G2:G8" si="5">COUNTIF(G$63:G$67,A2)+COUNTIF(I$63:I$67,A2)</f>
        <v>0</v>
      </c>
      <c r="H2" s="100">
        <f t="shared" ref="H2:H8" si="6">COUNTIF(G$69:G$73,A2)+COUNTIF(I$69:I$73,A2)</f>
        <v>0</v>
      </c>
      <c r="I2" s="100">
        <f t="shared" ref="I2:I8" si="7">COUNTIF(G$75:G$79,A2)+COUNTIF(I$75:I$79,A2)</f>
        <v>0</v>
      </c>
      <c r="J2" s="100">
        <f t="shared" ref="J2:J8" si="8">COUNTIF(G$81:G$85,A2)+COUNTIF(I$81:I$85,A2)</f>
        <v>0</v>
      </c>
      <c r="K2" s="100">
        <f t="shared" ref="K2:K8" si="9">COUNTIF(G$87:G$91,A2)+COUNTIF(I$87:I$91,A2)</f>
        <v>0</v>
      </c>
      <c r="L2" s="100">
        <f t="shared" ref="L2:L8" si="10">COUNTIF(G$93:G$97,A2)+COUNTIF(I$93:I$97,A2)</f>
        <v>0</v>
      </c>
      <c r="M2" s="100">
        <f t="shared" ref="M2:M8" si="11">COUNTIF(G$99:G$103,A2)+COUNTIF(I$99:I$103,A2)</f>
        <v>0</v>
      </c>
      <c r="N2" s="100">
        <f t="shared" ref="N2:N8" si="12">COUNTIF(G$105:G$109,A2)+COUNTIF(I$105:I$109,A2)</f>
        <v>0</v>
      </c>
      <c r="O2" s="100">
        <f t="shared" ref="O2:O8" si="13">COUNTIF(G$111:G$115,A2)+COUNTIF(I$111:I$115,A2)</f>
        <v>0</v>
      </c>
      <c r="P2" s="100">
        <f t="shared" ref="P2:P8" si="14">COUNTIF(G$117:G$121,A2)+COUNTIF(I$117:I$121,A2)</f>
        <v>0</v>
      </c>
    </row>
    <row r="3" spans="1:16" s="100" customFormat="1" hidden="1" x14ac:dyDescent="0.2">
      <c r="A3" s="100" t="str">
        <f>'Modell-Kalibrierung'!B17</f>
        <v>sehr gering</v>
      </c>
      <c r="B3" s="100">
        <f t="shared" si="0"/>
        <v>0</v>
      </c>
      <c r="C3" s="100">
        <f t="shared" si="1"/>
        <v>0</v>
      </c>
      <c r="D3" s="100">
        <f t="shared" si="2"/>
        <v>0</v>
      </c>
      <c r="E3" s="100">
        <f t="shared" si="3"/>
        <v>0</v>
      </c>
      <c r="F3" s="100">
        <f t="shared" si="4"/>
        <v>0</v>
      </c>
      <c r="G3" s="100">
        <f t="shared" si="5"/>
        <v>0</v>
      </c>
      <c r="H3" s="100">
        <f t="shared" si="6"/>
        <v>0</v>
      </c>
      <c r="I3" s="100">
        <f t="shared" si="7"/>
        <v>0</v>
      </c>
      <c r="J3" s="100">
        <f t="shared" si="8"/>
        <v>0</v>
      </c>
      <c r="K3" s="100">
        <f t="shared" si="9"/>
        <v>0</v>
      </c>
      <c r="L3" s="100">
        <f t="shared" si="10"/>
        <v>0</v>
      </c>
      <c r="M3" s="100">
        <f t="shared" si="11"/>
        <v>0</v>
      </c>
      <c r="N3" s="100">
        <f t="shared" si="12"/>
        <v>0</v>
      </c>
      <c r="O3" s="100">
        <f t="shared" si="13"/>
        <v>0</v>
      </c>
      <c r="P3" s="100">
        <f t="shared" si="14"/>
        <v>0</v>
      </c>
    </row>
    <row r="4" spans="1:16" s="100" customFormat="1" hidden="1" x14ac:dyDescent="0.2">
      <c r="A4" s="100" t="str">
        <f>'Modell-Kalibrierung'!B18</f>
        <v>gering</v>
      </c>
      <c r="B4" s="100">
        <f t="shared" si="0"/>
        <v>0</v>
      </c>
      <c r="C4" s="100">
        <f t="shared" si="1"/>
        <v>0</v>
      </c>
      <c r="D4" s="100">
        <f t="shared" si="2"/>
        <v>0</v>
      </c>
      <c r="E4" s="100">
        <f t="shared" si="3"/>
        <v>0</v>
      </c>
      <c r="F4" s="100">
        <f t="shared" si="4"/>
        <v>0</v>
      </c>
      <c r="G4" s="100">
        <f t="shared" si="5"/>
        <v>0</v>
      </c>
      <c r="H4" s="100">
        <f t="shared" si="6"/>
        <v>0</v>
      </c>
      <c r="I4" s="100">
        <f t="shared" si="7"/>
        <v>0</v>
      </c>
      <c r="J4" s="100">
        <f t="shared" si="8"/>
        <v>0</v>
      </c>
      <c r="K4" s="100">
        <f t="shared" si="9"/>
        <v>0</v>
      </c>
      <c r="L4" s="100">
        <f t="shared" si="10"/>
        <v>0</v>
      </c>
      <c r="M4" s="100">
        <f t="shared" si="11"/>
        <v>0</v>
      </c>
      <c r="N4" s="100">
        <f t="shared" si="12"/>
        <v>0</v>
      </c>
      <c r="O4" s="100">
        <f t="shared" si="13"/>
        <v>0</v>
      </c>
      <c r="P4" s="100">
        <f t="shared" si="14"/>
        <v>0</v>
      </c>
    </row>
    <row r="5" spans="1:16" s="100" customFormat="1" hidden="1" x14ac:dyDescent="0.2">
      <c r="A5" s="100" t="str">
        <f>'Modell-Kalibrierung'!B19</f>
        <v>mittel</v>
      </c>
      <c r="B5" s="100">
        <f t="shared" si="0"/>
        <v>0</v>
      </c>
      <c r="C5" s="100">
        <f t="shared" si="1"/>
        <v>0</v>
      </c>
      <c r="D5" s="100">
        <f t="shared" si="2"/>
        <v>0</v>
      </c>
      <c r="E5" s="100">
        <f t="shared" si="3"/>
        <v>0</v>
      </c>
      <c r="F5" s="100">
        <f t="shared" si="4"/>
        <v>0</v>
      </c>
      <c r="G5" s="100">
        <f t="shared" si="5"/>
        <v>0</v>
      </c>
      <c r="H5" s="100">
        <f t="shared" si="6"/>
        <v>0</v>
      </c>
      <c r="I5" s="100">
        <f t="shared" si="7"/>
        <v>0</v>
      </c>
      <c r="J5" s="100">
        <f t="shared" si="8"/>
        <v>0</v>
      </c>
      <c r="K5" s="100">
        <f t="shared" si="9"/>
        <v>0</v>
      </c>
      <c r="L5" s="100">
        <f t="shared" si="10"/>
        <v>0</v>
      </c>
      <c r="M5" s="100">
        <f t="shared" si="11"/>
        <v>0</v>
      </c>
      <c r="N5" s="100">
        <f t="shared" si="12"/>
        <v>0</v>
      </c>
      <c r="O5" s="100">
        <f t="shared" si="13"/>
        <v>0</v>
      </c>
      <c r="P5" s="100">
        <f t="shared" si="14"/>
        <v>0</v>
      </c>
    </row>
    <row r="6" spans="1:16" s="100" customFormat="1" hidden="1" x14ac:dyDescent="0.2">
      <c r="A6" s="100" t="str">
        <f>'Modell-Kalibrierung'!B20</f>
        <v>hoch</v>
      </c>
      <c r="B6" s="100">
        <f t="shared" si="0"/>
        <v>0</v>
      </c>
      <c r="C6" s="100">
        <f t="shared" si="1"/>
        <v>0</v>
      </c>
      <c r="D6" s="100">
        <f t="shared" si="2"/>
        <v>0</v>
      </c>
      <c r="E6" s="100">
        <f t="shared" si="3"/>
        <v>0</v>
      </c>
      <c r="F6" s="100">
        <f t="shared" si="4"/>
        <v>0</v>
      </c>
      <c r="G6" s="100">
        <f t="shared" si="5"/>
        <v>0</v>
      </c>
      <c r="H6" s="100">
        <f t="shared" si="6"/>
        <v>0</v>
      </c>
      <c r="I6" s="100">
        <f t="shared" si="7"/>
        <v>0</v>
      </c>
      <c r="J6" s="100">
        <f t="shared" si="8"/>
        <v>0</v>
      </c>
      <c r="K6" s="100">
        <f t="shared" si="9"/>
        <v>0</v>
      </c>
      <c r="L6" s="100">
        <f t="shared" si="10"/>
        <v>0</v>
      </c>
      <c r="M6" s="100">
        <f t="shared" si="11"/>
        <v>0</v>
      </c>
      <c r="N6" s="100">
        <f t="shared" si="12"/>
        <v>0</v>
      </c>
      <c r="O6" s="100">
        <f t="shared" si="13"/>
        <v>0</v>
      </c>
      <c r="P6" s="100">
        <f t="shared" si="14"/>
        <v>0</v>
      </c>
    </row>
    <row r="7" spans="1:16" s="100" customFormat="1" hidden="1" x14ac:dyDescent="0.2">
      <c r="A7" s="100" t="str">
        <f>'Modell-Kalibrierung'!B21</f>
        <v>sehr hoch</v>
      </c>
      <c r="B7" s="100">
        <f t="shared" si="0"/>
        <v>0</v>
      </c>
      <c r="C7" s="100">
        <f t="shared" si="1"/>
        <v>0</v>
      </c>
      <c r="D7" s="100">
        <f t="shared" si="2"/>
        <v>0</v>
      </c>
      <c r="E7" s="100">
        <f t="shared" si="3"/>
        <v>0</v>
      </c>
      <c r="F7" s="100">
        <f t="shared" si="4"/>
        <v>0</v>
      </c>
      <c r="G7" s="100">
        <f t="shared" si="5"/>
        <v>0</v>
      </c>
      <c r="H7" s="100">
        <f t="shared" si="6"/>
        <v>0</v>
      </c>
      <c r="I7" s="100">
        <f t="shared" si="7"/>
        <v>0</v>
      </c>
      <c r="J7" s="100">
        <f t="shared" si="8"/>
        <v>0</v>
      </c>
      <c r="K7" s="100">
        <f t="shared" si="9"/>
        <v>0</v>
      </c>
      <c r="L7" s="100">
        <f t="shared" si="10"/>
        <v>0</v>
      </c>
      <c r="M7" s="100">
        <f t="shared" si="11"/>
        <v>0</v>
      </c>
      <c r="N7" s="100">
        <f t="shared" si="12"/>
        <v>0</v>
      </c>
      <c r="O7" s="100">
        <f t="shared" si="13"/>
        <v>0</v>
      </c>
      <c r="P7" s="100">
        <f t="shared" si="14"/>
        <v>0</v>
      </c>
    </row>
    <row r="8" spans="1:16" s="100" customFormat="1" hidden="1" x14ac:dyDescent="0.2">
      <c r="A8" s="100" t="str">
        <f>'Modell-Kalibrierung'!B22</f>
        <v>führt zum Abbruch</v>
      </c>
      <c r="B8" s="100">
        <f t="shared" si="0"/>
        <v>0</v>
      </c>
      <c r="C8" s="100">
        <f t="shared" si="1"/>
        <v>0</v>
      </c>
      <c r="D8" s="100">
        <f t="shared" si="2"/>
        <v>0</v>
      </c>
      <c r="E8" s="100">
        <f t="shared" si="3"/>
        <v>0</v>
      </c>
      <c r="F8" s="100">
        <f t="shared" si="4"/>
        <v>0</v>
      </c>
      <c r="G8" s="100">
        <f t="shared" si="5"/>
        <v>0</v>
      </c>
      <c r="H8" s="100">
        <f t="shared" si="6"/>
        <v>0</v>
      </c>
      <c r="I8" s="100">
        <f t="shared" si="7"/>
        <v>0</v>
      </c>
      <c r="J8" s="100">
        <f t="shared" si="8"/>
        <v>0</v>
      </c>
      <c r="K8" s="100">
        <f t="shared" si="9"/>
        <v>0</v>
      </c>
      <c r="L8" s="100">
        <f t="shared" si="10"/>
        <v>0</v>
      </c>
      <c r="M8" s="100">
        <f t="shared" si="11"/>
        <v>0</v>
      </c>
      <c r="N8" s="100">
        <f t="shared" si="12"/>
        <v>0</v>
      </c>
      <c r="O8" s="100">
        <f t="shared" si="13"/>
        <v>0</v>
      </c>
      <c r="P8" s="100">
        <f t="shared" si="14"/>
        <v>0</v>
      </c>
    </row>
    <row r="9" spans="1:16" s="100" customFormat="1" hidden="1" x14ac:dyDescent="0.2">
      <c r="A9" s="100" t="s">
        <v>82</v>
      </c>
      <c r="B9" s="100">
        <f t="shared" ref="B9:P9" si="15">IF(B8&gt;0,6,IF(B7&gt;0,5,IF(B6&gt;0,4,IF(B5&gt;0,3,IF(B4&gt;0,2,IF(B3&gt;0,1,IF(B2&gt;0,0,0)))))))</f>
        <v>0</v>
      </c>
      <c r="C9" s="100">
        <f t="shared" si="15"/>
        <v>0</v>
      </c>
      <c r="D9" s="100">
        <f t="shared" si="15"/>
        <v>0</v>
      </c>
      <c r="E9" s="100">
        <f t="shared" si="15"/>
        <v>0</v>
      </c>
      <c r="F9" s="100">
        <f t="shared" si="15"/>
        <v>0</v>
      </c>
      <c r="G9" s="100">
        <f t="shared" si="15"/>
        <v>0</v>
      </c>
      <c r="H9" s="100">
        <f t="shared" si="15"/>
        <v>0</v>
      </c>
      <c r="I9" s="100">
        <f t="shared" si="15"/>
        <v>0</v>
      </c>
      <c r="J9" s="100">
        <f t="shared" si="15"/>
        <v>0</v>
      </c>
      <c r="K9" s="100">
        <f t="shared" si="15"/>
        <v>0</v>
      </c>
      <c r="L9" s="100">
        <f t="shared" si="15"/>
        <v>0</v>
      </c>
      <c r="M9" s="100">
        <f t="shared" si="15"/>
        <v>0</v>
      </c>
      <c r="N9" s="100">
        <f t="shared" si="15"/>
        <v>0</v>
      </c>
      <c r="O9" s="100">
        <f t="shared" si="15"/>
        <v>0</v>
      </c>
      <c r="P9" s="100">
        <f t="shared" si="15"/>
        <v>0</v>
      </c>
    </row>
    <row r="10" spans="1:16" s="100" customFormat="1" hidden="1" x14ac:dyDescent="0.2"/>
    <row r="11" spans="1:16" s="100" customFormat="1" hidden="1" x14ac:dyDescent="0.2"/>
    <row r="12" spans="1:16" s="100" customFormat="1" hidden="1" x14ac:dyDescent="0.2"/>
    <row r="13" spans="1:16" s="100" customFormat="1" hidden="1" x14ac:dyDescent="0.2">
      <c r="C13" s="100" t="s">
        <v>23</v>
      </c>
      <c r="D13" s="100" t="s">
        <v>82</v>
      </c>
      <c r="E13" s="100" t="s">
        <v>83</v>
      </c>
    </row>
    <row r="14" spans="1:16" s="100" customFormat="1" hidden="1" x14ac:dyDescent="0.2">
      <c r="B14" s="102" t="str">
        <f t="array" ref="B14:B28">TRANSPOSE(B1:P1)</f>
        <v xml:space="preserve">Gesetzgebung </v>
      </c>
      <c r="C14" s="100">
        <f>K38</f>
        <v>0</v>
      </c>
      <c r="D14" s="100">
        <f t="array" ref="D14:D28">TRANSPOSE($B$9:$P$9)</f>
        <v>0</v>
      </c>
      <c r="E14" s="103">
        <f t="shared" ref="E14:E28" si="16">IF(C14&gt;0,C14/$M$31,0)</f>
        <v>0</v>
      </c>
      <c r="F14" s="100" t="s">
        <v>65</v>
      </c>
    </row>
    <row r="15" spans="1:16" s="100" customFormat="1" hidden="1" x14ac:dyDescent="0.2">
      <c r="B15" s="102" t="str">
        <v>politische Stabilität/ Rechtssicherheit</v>
      </c>
      <c r="C15" s="100">
        <f>K44</f>
        <v>0</v>
      </c>
      <c r="D15" s="100">
        <v>0</v>
      </c>
      <c r="E15" s="103">
        <f t="shared" si="16"/>
        <v>0</v>
      </c>
      <c r="F15" s="100" t="s">
        <v>65</v>
      </c>
    </row>
    <row r="16" spans="1:16" s="100" customFormat="1" ht="28.5" hidden="1" x14ac:dyDescent="0.2">
      <c r="B16" s="102" t="str">
        <v xml:space="preserve">Handelshemmnisse (Zölle/ Schranken/ regolatorische Hemmnisse ...) </v>
      </c>
      <c r="C16" s="100">
        <f>K50</f>
        <v>0</v>
      </c>
      <c r="D16" s="100">
        <v>0</v>
      </c>
      <c r="E16" s="103">
        <f t="shared" si="16"/>
        <v>0</v>
      </c>
      <c r="F16" s="100" t="s">
        <v>65</v>
      </c>
    </row>
    <row r="17" spans="1:14" s="100" customFormat="1" hidden="1" x14ac:dyDescent="0.2">
      <c r="B17" s="102" t="str">
        <v xml:space="preserve">Wirtschaftswachstum </v>
      </c>
      <c r="C17" s="100">
        <f>K56</f>
        <v>0</v>
      </c>
      <c r="D17" s="100">
        <v>0</v>
      </c>
      <c r="E17" s="103">
        <f t="shared" si="16"/>
        <v>0</v>
      </c>
      <c r="F17" s="100" t="s">
        <v>3</v>
      </c>
    </row>
    <row r="18" spans="1:14" s="100" customFormat="1" hidden="1" x14ac:dyDescent="0.2">
      <c r="B18" s="102" t="str">
        <v xml:space="preserve">Inflation, Zinsen, Wechselkurse </v>
      </c>
      <c r="C18" s="100">
        <f>K62</f>
        <v>0</v>
      </c>
      <c r="D18" s="100">
        <v>0</v>
      </c>
      <c r="E18" s="103">
        <f t="shared" si="16"/>
        <v>0</v>
      </c>
      <c r="F18" s="100" t="s">
        <v>3</v>
      </c>
    </row>
    <row r="19" spans="1:14" s="100" customFormat="1" hidden="1" x14ac:dyDescent="0.2">
      <c r="B19" s="102" t="str">
        <v xml:space="preserve">Arbeitsmarkt (Quantität/ Qualität ...) </v>
      </c>
      <c r="C19" s="100">
        <f>K68</f>
        <v>0</v>
      </c>
      <c r="D19" s="100">
        <v>0</v>
      </c>
      <c r="E19" s="103">
        <f t="shared" si="16"/>
        <v>0</v>
      </c>
      <c r="F19" s="100" t="s">
        <v>3</v>
      </c>
    </row>
    <row r="20" spans="1:14" s="100" customFormat="1" hidden="1" x14ac:dyDescent="0.2">
      <c r="B20" s="102" t="str">
        <v xml:space="preserve">Globalisierung/ Internationalisierung </v>
      </c>
      <c r="C20" s="100">
        <f>K74</f>
        <v>0</v>
      </c>
      <c r="D20" s="100">
        <v>0</v>
      </c>
      <c r="E20" s="103">
        <f t="shared" si="16"/>
        <v>0</v>
      </c>
      <c r="F20" s="100" t="s">
        <v>3</v>
      </c>
    </row>
    <row r="21" spans="1:14" s="100" customFormat="1" hidden="1" x14ac:dyDescent="0.2">
      <c r="B21" s="102" t="str">
        <v xml:space="preserve">Ressourcenverfügbarkeit </v>
      </c>
      <c r="C21" s="100">
        <f>K80</f>
        <v>0</v>
      </c>
      <c r="D21" s="100">
        <v>0</v>
      </c>
      <c r="E21" s="103">
        <f t="shared" si="16"/>
        <v>0</v>
      </c>
      <c r="F21" s="100" t="s">
        <v>3</v>
      </c>
    </row>
    <row r="22" spans="1:14" s="100" customFormat="1" hidden="1" x14ac:dyDescent="0.2">
      <c r="B22" s="102" t="str">
        <v xml:space="preserve">Werte </v>
      </c>
      <c r="C22" s="100">
        <f>K86</f>
        <v>0</v>
      </c>
      <c r="D22" s="100">
        <v>0</v>
      </c>
      <c r="E22" s="103">
        <f t="shared" si="16"/>
        <v>0</v>
      </c>
      <c r="F22" s="100" t="s">
        <v>4</v>
      </c>
    </row>
    <row r="23" spans="1:14" s="100" customFormat="1" hidden="1" x14ac:dyDescent="0.2">
      <c r="B23" s="102" t="str">
        <v xml:space="preserve">Lebensstil/ Mentalitäten </v>
      </c>
      <c r="C23" s="100">
        <f>K92</f>
        <v>0</v>
      </c>
      <c r="D23" s="100">
        <v>0</v>
      </c>
      <c r="E23" s="103">
        <f t="shared" si="16"/>
        <v>0</v>
      </c>
      <c r="F23" s="100" t="s">
        <v>4</v>
      </c>
    </row>
    <row r="24" spans="1:14" s="100" customFormat="1" hidden="1" x14ac:dyDescent="0.2">
      <c r="B24" s="102" t="str">
        <v>Bildung</v>
      </c>
      <c r="C24" s="100">
        <f>K98</f>
        <v>0</v>
      </c>
      <c r="D24" s="100">
        <v>0</v>
      </c>
      <c r="E24" s="103">
        <f t="shared" si="16"/>
        <v>0</v>
      </c>
      <c r="F24" s="100" t="s">
        <v>4</v>
      </c>
    </row>
    <row r="25" spans="1:14" s="100" customFormat="1" hidden="1" x14ac:dyDescent="0.2">
      <c r="B25" s="102" t="str">
        <v xml:space="preserve">Forschung </v>
      </c>
      <c r="C25" s="100">
        <f>K104</f>
        <v>0</v>
      </c>
      <c r="D25" s="100">
        <v>0</v>
      </c>
      <c r="E25" s="103">
        <f t="shared" si="16"/>
        <v>0</v>
      </c>
      <c r="F25" s="100" t="s">
        <v>5</v>
      </c>
    </row>
    <row r="26" spans="1:14" s="100" customFormat="1" hidden="1" x14ac:dyDescent="0.2">
      <c r="B26" s="102" t="str">
        <v xml:space="preserve">neue Technologien und Produkte </v>
      </c>
      <c r="C26" s="100">
        <f>K110</f>
        <v>0</v>
      </c>
      <c r="D26" s="100">
        <v>0</v>
      </c>
      <c r="E26" s="103">
        <f t="shared" si="16"/>
        <v>0</v>
      </c>
      <c r="F26" s="100" t="s">
        <v>5</v>
      </c>
    </row>
    <row r="27" spans="1:14" s="100" customFormat="1" hidden="1" x14ac:dyDescent="0.2">
      <c r="B27" s="102" t="str">
        <v>neue Prozesse</v>
      </c>
      <c r="C27" s="100">
        <f>K116</f>
        <v>0</v>
      </c>
      <c r="D27" s="100">
        <v>0</v>
      </c>
      <c r="E27" s="103">
        <f t="shared" si="16"/>
        <v>0</v>
      </c>
      <c r="F27" s="100" t="s">
        <v>5</v>
      </c>
    </row>
    <row r="28" spans="1:14" s="100" customFormat="1" hidden="1" x14ac:dyDescent="0.2">
      <c r="B28" s="102" t="str">
        <v>Produktlebenszyklen</v>
      </c>
      <c r="C28" s="100">
        <f>K122</f>
        <v>0</v>
      </c>
      <c r="D28" s="100">
        <v>0</v>
      </c>
      <c r="E28" s="103">
        <f t="shared" si="16"/>
        <v>0</v>
      </c>
      <c r="F28" s="100" t="s">
        <v>5</v>
      </c>
    </row>
    <row r="29" spans="1:14" s="100" customFormat="1" hidden="1" x14ac:dyDescent="0.2">
      <c r="M29" s="48"/>
      <c r="N29" s="48"/>
    </row>
    <row r="30" spans="1:14" s="100" customFormat="1" ht="33" hidden="1" customHeight="1" x14ac:dyDescent="0.2">
      <c r="M30" s="48"/>
      <c r="N30" s="48"/>
    </row>
    <row r="31" spans="1:14" ht="69.75" customHeight="1" thickBot="1" x14ac:dyDescent="0.25">
      <c r="A31" s="36"/>
      <c r="B31" s="149" t="s">
        <v>79</v>
      </c>
      <c r="C31" s="149"/>
      <c r="D31" s="149"/>
      <c r="E31" s="149"/>
      <c r="F31" s="149"/>
      <c r="G31" s="149"/>
      <c r="H31" s="149"/>
      <c r="I31" s="149"/>
      <c r="J31" s="149"/>
      <c r="K31" s="149"/>
      <c r="L31" s="149"/>
      <c r="M31" s="54">
        <f>SUM(K122,K116,K110,K104,K98,K92,K86,K80,K74,K68,K62,K56,K50,K44,K38)</f>
        <v>0</v>
      </c>
      <c r="N31" s="54">
        <f>MAX(K38,K44,K50,K56,K62,K68,K74,K80,K86,K92,K98,K104,K110,K116,K122,)+5</f>
        <v>5</v>
      </c>
    </row>
    <row r="32" spans="1:14" ht="63.75" customHeight="1" thickBot="1" x14ac:dyDescent="0.25">
      <c r="A32" s="36"/>
      <c r="B32" s="61" t="s">
        <v>0</v>
      </c>
      <c r="C32" s="61" t="s">
        <v>40</v>
      </c>
      <c r="D32" s="61" t="s">
        <v>1</v>
      </c>
      <c r="E32" s="61" t="s">
        <v>2</v>
      </c>
      <c r="F32" s="61" t="s">
        <v>6</v>
      </c>
      <c r="G32" s="61" t="s">
        <v>21</v>
      </c>
      <c r="H32" s="61" t="s">
        <v>7</v>
      </c>
      <c r="I32" s="61" t="s">
        <v>20</v>
      </c>
      <c r="J32" s="61" t="s">
        <v>10</v>
      </c>
      <c r="K32" s="61" t="s">
        <v>23</v>
      </c>
      <c r="L32" s="61" t="s">
        <v>93</v>
      </c>
      <c r="M32" s="54">
        <f>SUM(M33:M2033)</f>
        <v>5</v>
      </c>
    </row>
    <row r="33" spans="1:13" ht="20.25" x14ac:dyDescent="0.2">
      <c r="A33" s="136" t="s">
        <v>65</v>
      </c>
      <c r="B33" s="148" t="s">
        <v>9</v>
      </c>
      <c r="C33" s="11"/>
      <c r="D33" s="11"/>
      <c r="E33" s="6"/>
      <c r="F33" s="10"/>
      <c r="G33" s="8"/>
      <c r="H33" s="9"/>
      <c r="I33" s="8"/>
      <c r="J33" s="1" t="e">
        <f>1-VLOOKUP(H33,'Modell-Kalibrierung'!$B$3:$C$8,2,0)</f>
        <v>#N/A</v>
      </c>
      <c r="K33" s="93">
        <f>IF(ISNA(J33),0,VLOOKUP(G33,'Modell-Kalibrierung'!$B$16:$C$22,2,FALSE)*VLOOKUP(H33,'Modell-Kalibrierung'!$B$3:$C$8,2,0)+VLOOKUP(I33,'Modell-Kalibrierung'!$B$16:$C$22,2,0)*'STEP-Analyse Russland'!J33)</f>
        <v>0</v>
      </c>
      <c r="L33" s="6"/>
      <c r="M33" s="54">
        <v>1</v>
      </c>
    </row>
    <row r="34" spans="1:13" ht="20.25" x14ac:dyDescent="0.2">
      <c r="A34" s="137"/>
      <c r="B34" s="139"/>
      <c r="C34" s="10"/>
      <c r="D34" s="10"/>
      <c r="E34" s="6"/>
      <c r="F34" s="10"/>
      <c r="G34" s="8"/>
      <c r="H34" s="9"/>
      <c r="I34" s="8"/>
      <c r="J34" s="1" t="e">
        <f>1-VLOOKUP(H34,'Modell-Kalibrierung'!$B$3:$C$8,2,0)</f>
        <v>#N/A</v>
      </c>
      <c r="K34" s="93">
        <f>IF(ISNA(J34),0,VLOOKUP(G34,'Modell-Kalibrierung'!$B$16:$C$22,2,FALSE)*VLOOKUP(H34,'Modell-Kalibrierung'!$B$3:$C$8,2,0)+VLOOKUP(I34,'Modell-Kalibrierung'!$B$16:$C$22,2,0)*'STEP-Analyse Russland'!J34)</f>
        <v>0</v>
      </c>
      <c r="L34" s="6"/>
      <c r="M34" s="54">
        <v>1</v>
      </c>
    </row>
    <row r="35" spans="1:13" ht="20.25" x14ac:dyDescent="0.2">
      <c r="A35" s="137"/>
      <c r="B35" s="139"/>
      <c r="C35" s="10"/>
      <c r="D35" s="10"/>
      <c r="E35" s="6"/>
      <c r="F35" s="10"/>
      <c r="G35" s="8"/>
      <c r="H35" s="9"/>
      <c r="I35" s="8"/>
      <c r="J35" s="1" t="e">
        <f>1-VLOOKUP(H35,'Modell-Kalibrierung'!$B$3:$C$8,2,0)</f>
        <v>#N/A</v>
      </c>
      <c r="K35" s="93">
        <f>IF(ISNA(J35),0,VLOOKUP(G35,'Modell-Kalibrierung'!$B$16:$C$22,2,FALSE)*VLOOKUP(H35,'Modell-Kalibrierung'!$B$3:$C$8,2,0)+VLOOKUP(I35,'Modell-Kalibrierung'!$B$16:$C$22,2,0)*'STEP-Analyse Russland'!J35)</f>
        <v>0</v>
      </c>
      <c r="L35" s="6"/>
      <c r="M35" s="54">
        <v>1</v>
      </c>
    </row>
    <row r="36" spans="1:13" ht="29.25" customHeight="1" x14ac:dyDescent="0.2">
      <c r="A36" s="137"/>
      <c r="B36" s="139"/>
      <c r="C36" s="24"/>
      <c r="D36" s="10"/>
      <c r="E36" s="6"/>
      <c r="F36" s="10"/>
      <c r="G36" s="8"/>
      <c r="H36" s="9"/>
      <c r="I36" s="8"/>
      <c r="J36" s="1" t="e">
        <f>1-VLOOKUP(H36,'Modell-Kalibrierung'!$B$3:$C$8,2,0)</f>
        <v>#N/A</v>
      </c>
      <c r="K36" s="93">
        <f>IF(ISNA(J36),0,VLOOKUP(G36,'Modell-Kalibrierung'!$B$16:$C$22,2,FALSE)*VLOOKUP(H36,'Modell-Kalibrierung'!$B$3:$C$8,2,0)+VLOOKUP(I36,'Modell-Kalibrierung'!$B$16:$C$22,2,0)*'STEP-Analyse Russland'!J36)</f>
        <v>0</v>
      </c>
      <c r="L36" s="6"/>
      <c r="M36" s="54">
        <v>1</v>
      </c>
    </row>
    <row r="37" spans="1:13" ht="30" customHeight="1" thickBot="1" x14ac:dyDescent="0.25">
      <c r="A37" s="137"/>
      <c r="B37" s="139"/>
      <c r="C37" s="10"/>
      <c r="D37" s="10"/>
      <c r="E37" s="6"/>
      <c r="F37" s="10"/>
      <c r="G37" s="8"/>
      <c r="H37" s="9"/>
      <c r="I37" s="8"/>
      <c r="J37" s="1" t="e">
        <f>1-VLOOKUP(H37,'Modell-Kalibrierung'!$B$3:$C$8,2,0)</f>
        <v>#N/A</v>
      </c>
      <c r="K37" s="93">
        <f>IF(ISNA(J37),0,VLOOKUP(G37,'Modell-Kalibrierung'!$B$16:$C$22,2,FALSE)*VLOOKUP(H37,'Modell-Kalibrierung'!$B$3:$C$8,2,0)+VLOOKUP(I37,'Modell-Kalibrierung'!$B$16:$C$22,2,0)*'STEP-Analyse Russland'!J37)</f>
        <v>0</v>
      </c>
      <c r="L37" s="14"/>
      <c r="M37" s="54">
        <v>1</v>
      </c>
    </row>
    <row r="38" spans="1:13" ht="36" thickBot="1" x14ac:dyDescent="0.25">
      <c r="A38" s="137"/>
      <c r="B38" s="139"/>
      <c r="C38" s="125" t="str">
        <f>B33</f>
        <v xml:space="preserve">Gesetzgebung </v>
      </c>
      <c r="D38" s="126"/>
      <c r="E38" s="126"/>
      <c r="F38" s="126"/>
      <c r="G38" s="127"/>
      <c r="H38" s="127"/>
      <c r="I38" s="127"/>
      <c r="J38" s="128"/>
      <c r="K38" s="3">
        <f>SUM(K33:K37)</f>
        <v>0</v>
      </c>
      <c r="L38" s="16" t="str">
        <f>IF(K38=0,"0% Anteil am Gesamtprojektrisiko",(K38/$K$123))</f>
        <v>0% Anteil am Gesamtprojektrisiko</v>
      </c>
    </row>
    <row r="39" spans="1:13" ht="20.25" x14ac:dyDescent="0.2">
      <c r="A39" s="137"/>
      <c r="B39" s="141" t="s">
        <v>24</v>
      </c>
      <c r="C39" s="11"/>
      <c r="D39" s="11"/>
      <c r="E39" s="6"/>
      <c r="F39" s="10"/>
      <c r="G39" s="8"/>
      <c r="H39" s="9"/>
      <c r="I39" s="8"/>
      <c r="J39" s="12" t="e">
        <f>1-VLOOKUP(H39,'Modell-Kalibrierung'!$B$3:$C$8,2,0)</f>
        <v>#N/A</v>
      </c>
      <c r="K39" s="93">
        <f>IF(ISNA(J39),0,VLOOKUP(G39,'Modell-Kalibrierung'!$B$16:$C$22,2,FALSE)*VLOOKUP(H39,'Modell-Kalibrierung'!$B$3:$C$8,2,0)+VLOOKUP(I39,'Modell-Kalibrierung'!$B$16:$C$22,2,0)*'STEP-Analyse Russland'!J39)</f>
        <v>0</v>
      </c>
      <c r="L39" s="6"/>
    </row>
    <row r="40" spans="1:13" ht="20.25" x14ac:dyDescent="0.2">
      <c r="A40" s="137"/>
      <c r="B40" s="139"/>
      <c r="C40" s="11"/>
      <c r="D40" s="11"/>
      <c r="E40" s="6"/>
      <c r="F40" s="10"/>
      <c r="G40" s="8"/>
      <c r="H40" s="9"/>
      <c r="I40" s="8"/>
      <c r="J40" s="12" t="e">
        <f>1-VLOOKUP(H40,'Modell-Kalibrierung'!$B$3:$C$8,2,0)</f>
        <v>#N/A</v>
      </c>
      <c r="K40" s="93">
        <f>IF(ISNA(J40),0,VLOOKUP(G40,'Modell-Kalibrierung'!$B$16:$C$22,2,FALSE)*VLOOKUP(H40,'Modell-Kalibrierung'!$B$3:$C$8,2,0)+VLOOKUP(I40,'Modell-Kalibrierung'!$B$16:$C$22,2,0)*'STEP-Analyse Russland'!J40)</f>
        <v>0</v>
      </c>
      <c r="L40" s="6"/>
    </row>
    <row r="41" spans="1:13" ht="20.25" x14ac:dyDescent="0.2">
      <c r="A41" s="137"/>
      <c r="B41" s="139"/>
      <c r="C41" s="11"/>
      <c r="D41" s="11"/>
      <c r="E41" s="6"/>
      <c r="F41" s="10"/>
      <c r="G41" s="8"/>
      <c r="H41" s="9"/>
      <c r="I41" s="8"/>
      <c r="J41" s="12" t="e">
        <f>1-VLOOKUP(H41,'Modell-Kalibrierung'!$B$3:$C$8,2,0)</f>
        <v>#N/A</v>
      </c>
      <c r="K41" s="93">
        <f>IF(ISNA(J41),0,VLOOKUP(G41,'Modell-Kalibrierung'!$B$16:$C$22,2,FALSE)*VLOOKUP(H41,'Modell-Kalibrierung'!$B$3:$C$8,2,0)+VLOOKUP(I41,'Modell-Kalibrierung'!$B$16:$C$22,2,0)*'STEP-Analyse Russland'!J41)</f>
        <v>0</v>
      </c>
      <c r="L41" s="6"/>
    </row>
    <row r="42" spans="1:13" ht="20.25" x14ac:dyDescent="0.2">
      <c r="A42" s="137"/>
      <c r="B42" s="139"/>
      <c r="C42" s="11"/>
      <c r="D42" s="11"/>
      <c r="E42" s="6"/>
      <c r="F42" s="10"/>
      <c r="G42" s="8"/>
      <c r="H42" s="9"/>
      <c r="I42" s="8"/>
      <c r="J42" s="12" t="e">
        <f>1-VLOOKUP(H42,'Modell-Kalibrierung'!$B$3:$C$8,2,0)</f>
        <v>#N/A</v>
      </c>
      <c r="K42" s="93">
        <f>IF(ISNA(J42),0,VLOOKUP(G42,'Modell-Kalibrierung'!$B$16:$C$22,2,FALSE)*VLOOKUP(H42,'Modell-Kalibrierung'!$B$3:$C$8,2,0)+VLOOKUP(I42,'Modell-Kalibrierung'!$B$16:$C$22,2,0)*'STEP-Analyse Russland'!J42)</f>
        <v>0</v>
      </c>
      <c r="L42" s="6"/>
    </row>
    <row r="43" spans="1:13" ht="21" thickBot="1" x14ac:dyDescent="0.25">
      <c r="A43" s="137"/>
      <c r="B43" s="139"/>
      <c r="C43" s="11"/>
      <c r="D43" s="11"/>
      <c r="E43" s="6"/>
      <c r="F43" s="10"/>
      <c r="G43" s="8"/>
      <c r="H43" s="9"/>
      <c r="I43" s="8"/>
      <c r="J43" s="12" t="e">
        <f>1-VLOOKUP(H43,'Modell-Kalibrierung'!$B$3:$C$8,2,0)</f>
        <v>#N/A</v>
      </c>
      <c r="K43" s="93">
        <f>IF(ISNA(J43),0,VLOOKUP(G43,'Modell-Kalibrierung'!$B$16:$C$22,2,FALSE)*VLOOKUP(H43,'Modell-Kalibrierung'!$B$3:$C$8,2,0)+VLOOKUP(I43,'Modell-Kalibrierung'!$B$16:$C$22,2,0)*'STEP-Analyse Russland'!J43)</f>
        <v>0</v>
      </c>
      <c r="L43" s="6"/>
    </row>
    <row r="44" spans="1:13" ht="36" customHeight="1" thickBot="1" x14ac:dyDescent="0.25">
      <c r="A44" s="137"/>
      <c r="B44" s="140"/>
      <c r="C44" s="125" t="str">
        <f>B39</f>
        <v>politische Stabilität/ Rechtssicherheit</v>
      </c>
      <c r="D44" s="126"/>
      <c r="E44" s="126"/>
      <c r="F44" s="126"/>
      <c r="G44" s="127"/>
      <c r="H44" s="127"/>
      <c r="I44" s="127"/>
      <c r="J44" s="128"/>
      <c r="K44" s="3">
        <f>SUM(K39:K43)</f>
        <v>0</v>
      </c>
      <c r="L44" s="16" t="str">
        <f>IF(K44=0,"0% Anteil am Gesamtprojektrisiko",(K44/$K$123))</f>
        <v>0% Anteil am Gesamtprojektrisiko</v>
      </c>
    </row>
    <row r="45" spans="1:13" ht="20.25" x14ac:dyDescent="0.2">
      <c r="A45" s="137"/>
      <c r="B45" s="129" t="s">
        <v>25</v>
      </c>
      <c r="C45" s="11"/>
      <c r="D45" s="11"/>
      <c r="E45" s="6"/>
      <c r="F45" s="10"/>
      <c r="G45" s="8"/>
      <c r="H45" s="9"/>
      <c r="I45" s="8"/>
      <c r="J45" s="1" t="e">
        <f>1-VLOOKUP(H45,'Modell-Kalibrierung'!$B$3:$C$8,2,0)</f>
        <v>#N/A</v>
      </c>
      <c r="K45" s="93">
        <f>IF(ISNA(J45),0,VLOOKUP(G45,'Modell-Kalibrierung'!$B$16:$C$22,2,FALSE)*VLOOKUP(H45,'Modell-Kalibrierung'!$B$3:$C$8,2,0)+VLOOKUP(I45,'Modell-Kalibrierung'!$B$16:$C$22,2,0)*'STEP-Analyse Russland'!J45)</f>
        <v>0</v>
      </c>
      <c r="L45" s="6"/>
    </row>
    <row r="46" spans="1:13" ht="20.25" x14ac:dyDescent="0.2">
      <c r="A46" s="151"/>
      <c r="B46" s="130"/>
      <c r="C46" s="11"/>
      <c r="D46" s="11"/>
      <c r="E46" s="6"/>
      <c r="F46" s="10"/>
      <c r="G46" s="8"/>
      <c r="H46" s="9"/>
      <c r="I46" s="8"/>
      <c r="J46" s="1" t="e">
        <f>1-VLOOKUP(H46,'Modell-Kalibrierung'!$B$3:$C$8,2,0)</f>
        <v>#N/A</v>
      </c>
      <c r="K46" s="93">
        <f>IF(ISNA(J46),0,VLOOKUP(G46,'Modell-Kalibrierung'!$B$16:$C$22,2,FALSE)*VLOOKUP(H46,'Modell-Kalibrierung'!$B$3:$C$8,2,0)+VLOOKUP(I46,'Modell-Kalibrierung'!$B$16:$C$22,2,0)*'STEP-Analyse Russland'!J46)</f>
        <v>0</v>
      </c>
      <c r="L46" s="6"/>
    </row>
    <row r="47" spans="1:13" ht="20.25" x14ac:dyDescent="0.2">
      <c r="A47" s="151"/>
      <c r="B47" s="130"/>
      <c r="C47" s="11"/>
      <c r="D47" s="11"/>
      <c r="E47" s="6"/>
      <c r="F47" s="10"/>
      <c r="G47" s="8"/>
      <c r="H47" s="9"/>
      <c r="I47" s="8"/>
      <c r="J47" s="1" t="e">
        <f>1-VLOOKUP(H47,'Modell-Kalibrierung'!$B$3:$C$8,2,0)</f>
        <v>#N/A</v>
      </c>
      <c r="K47" s="93">
        <f>IF(ISNA(J47),0,VLOOKUP(G47,'Modell-Kalibrierung'!$B$16:$C$22,2,FALSE)*VLOOKUP(H47,'Modell-Kalibrierung'!$B$3:$C$8,2,0)+VLOOKUP(I47,'Modell-Kalibrierung'!$B$16:$C$22,2,0)*'STEP-Analyse Russland'!J47)</f>
        <v>0</v>
      </c>
      <c r="L47" s="6"/>
    </row>
    <row r="48" spans="1:13" ht="20.25" x14ac:dyDescent="0.2">
      <c r="A48" s="151"/>
      <c r="B48" s="130"/>
      <c r="C48" s="11"/>
      <c r="D48" s="11"/>
      <c r="E48" s="6"/>
      <c r="F48" s="10"/>
      <c r="G48" s="8"/>
      <c r="H48" s="9"/>
      <c r="I48" s="8"/>
      <c r="J48" s="1" t="e">
        <f>1-VLOOKUP(H48,'Modell-Kalibrierung'!$B$3:$C$8,2,0)</f>
        <v>#N/A</v>
      </c>
      <c r="K48" s="93">
        <f>IF(ISNA(J48),0,VLOOKUP(G48,'Modell-Kalibrierung'!$B$16:$C$22,2,FALSE)*VLOOKUP(H48,'Modell-Kalibrierung'!$B$3:$C$8,2,0)+VLOOKUP(I48,'Modell-Kalibrierung'!$B$16:$C$22,2,0)*'STEP-Analyse Russland'!J48)</f>
        <v>0</v>
      </c>
      <c r="L48" s="6"/>
    </row>
    <row r="49" spans="1:12" ht="21" thickBot="1" x14ac:dyDescent="0.25">
      <c r="A49" s="151"/>
      <c r="B49" s="130"/>
      <c r="C49" s="11"/>
      <c r="D49" s="11"/>
      <c r="E49" s="6"/>
      <c r="F49" s="10"/>
      <c r="G49" s="8"/>
      <c r="H49" s="9"/>
      <c r="I49" s="8"/>
      <c r="J49" s="1" t="e">
        <f>1-VLOOKUP(H49,'Modell-Kalibrierung'!$B$3:$C$8,2,0)</f>
        <v>#N/A</v>
      </c>
      <c r="K49" s="93">
        <f>IF(ISNA(J49),0,VLOOKUP(G49,'Modell-Kalibrierung'!$B$16:$C$22,2,FALSE)*VLOOKUP(H49,'Modell-Kalibrierung'!$B$3:$C$8,2,0)+VLOOKUP(I49,'Modell-Kalibrierung'!$B$16:$C$22,2,0)*'STEP-Analyse Russland'!J49)</f>
        <v>0</v>
      </c>
      <c r="L49" s="6"/>
    </row>
    <row r="50" spans="1:12" ht="36" customHeight="1" thickBot="1" x14ac:dyDescent="0.25">
      <c r="A50" s="138"/>
      <c r="B50" s="131"/>
      <c r="C50" s="132" t="str">
        <f>B45</f>
        <v xml:space="preserve">Handelshemmnisse (Zölle/ Schranken/ regolatorische Hemmnisse ...) </v>
      </c>
      <c r="D50" s="133"/>
      <c r="E50" s="133"/>
      <c r="F50" s="133"/>
      <c r="G50" s="134"/>
      <c r="H50" s="134"/>
      <c r="I50" s="134"/>
      <c r="J50" s="135"/>
      <c r="K50" s="3">
        <f>SUM(K45:K49)</f>
        <v>0</v>
      </c>
      <c r="L50" s="16" t="str">
        <f>IF(K50=0,"0% Anteil am Gesamtprojektrisiko",(K50/$K$123))</f>
        <v>0% Anteil am Gesamtprojektrisiko</v>
      </c>
    </row>
    <row r="51" spans="1:12" ht="20.25" x14ac:dyDescent="0.2">
      <c r="A51" s="136" t="s">
        <v>3</v>
      </c>
      <c r="B51" s="139" t="s">
        <v>26</v>
      </c>
      <c r="C51" s="7"/>
      <c r="D51" s="7"/>
      <c r="E51" s="6"/>
      <c r="F51" s="6"/>
      <c r="G51" s="8"/>
      <c r="H51" s="9"/>
      <c r="I51" s="8"/>
      <c r="J51" s="1" t="e">
        <f>1-VLOOKUP(H51,'Modell-Kalibrierung'!$B$3:$C$8,2,0)</f>
        <v>#N/A</v>
      </c>
      <c r="K51" s="93">
        <f>IF(ISNA(J51),0,VLOOKUP(G51,'Modell-Kalibrierung'!$B$16:$C$22,2,FALSE)*VLOOKUP(H51,'Modell-Kalibrierung'!$B$3:$C$8,2,0)+VLOOKUP(I51,'Modell-Kalibrierung'!$B$16:$C$22,2,0)*'STEP-Analyse Russland'!J51)</f>
        <v>0</v>
      </c>
      <c r="L51" s="6"/>
    </row>
    <row r="52" spans="1:12" ht="20.25" x14ac:dyDescent="0.2">
      <c r="A52" s="137"/>
      <c r="B52" s="139"/>
      <c r="C52" s="11"/>
      <c r="D52" s="11"/>
      <c r="E52" s="6"/>
      <c r="F52" s="10"/>
      <c r="G52" s="8"/>
      <c r="H52" s="9"/>
      <c r="I52" s="8"/>
      <c r="J52" s="1" t="e">
        <f>1-VLOOKUP(H52,'Modell-Kalibrierung'!$B$3:$C$8,2,0)</f>
        <v>#N/A</v>
      </c>
      <c r="K52" s="93">
        <f>IF(ISNA(J52),0,VLOOKUP(G52,'Modell-Kalibrierung'!$B$16:$C$22,2,FALSE)*VLOOKUP(H52,'Modell-Kalibrierung'!$B$3:$C$8,2,0)+VLOOKUP(I52,'Modell-Kalibrierung'!$B$16:$C$22,2,0)*'STEP-Analyse Russland'!J52)</f>
        <v>0</v>
      </c>
      <c r="L52" s="6"/>
    </row>
    <row r="53" spans="1:12" ht="20.25" x14ac:dyDescent="0.2">
      <c r="A53" s="137"/>
      <c r="B53" s="139"/>
      <c r="C53" s="11"/>
      <c r="D53" s="11"/>
      <c r="E53" s="6"/>
      <c r="F53" s="10"/>
      <c r="G53" s="8"/>
      <c r="H53" s="9"/>
      <c r="I53" s="8"/>
      <c r="J53" s="1" t="e">
        <f>1-VLOOKUP(H53,'Modell-Kalibrierung'!$B$3:$C$8,2,0)</f>
        <v>#N/A</v>
      </c>
      <c r="K53" s="93">
        <f>IF(ISNA(J53),0,VLOOKUP(G53,'Modell-Kalibrierung'!$B$16:$C$22,2,FALSE)*VLOOKUP(H53,'Modell-Kalibrierung'!$B$3:$C$8,2,0)+VLOOKUP(I53,'Modell-Kalibrierung'!$B$16:$C$22,2,0)*'STEP-Analyse Russland'!J53)</f>
        <v>0</v>
      </c>
      <c r="L53" s="6"/>
    </row>
    <row r="54" spans="1:12" ht="20.25" x14ac:dyDescent="0.2">
      <c r="A54" s="137"/>
      <c r="B54" s="139"/>
      <c r="C54" s="11"/>
      <c r="D54" s="11"/>
      <c r="E54" s="6"/>
      <c r="F54" s="10"/>
      <c r="G54" s="8"/>
      <c r="H54" s="9"/>
      <c r="I54" s="8"/>
      <c r="J54" s="1" t="e">
        <f>1-VLOOKUP(H54,'Modell-Kalibrierung'!$B$3:$C$8,2,0)</f>
        <v>#N/A</v>
      </c>
      <c r="K54" s="93">
        <f>IF(ISNA(J54),0,VLOOKUP(G54,'Modell-Kalibrierung'!$B$16:$C$22,2,FALSE)*VLOOKUP(H54,'Modell-Kalibrierung'!$B$3:$C$8,2,0)+VLOOKUP(I54,'Modell-Kalibrierung'!$B$16:$C$22,2,0)*'STEP-Analyse Russland'!J54)</f>
        <v>0</v>
      </c>
      <c r="L54" s="6"/>
    </row>
    <row r="55" spans="1:12" ht="21" thickBot="1" x14ac:dyDescent="0.25">
      <c r="A55" s="137"/>
      <c r="B55" s="139"/>
      <c r="C55" s="11"/>
      <c r="D55" s="11"/>
      <c r="E55" s="6"/>
      <c r="F55" s="10"/>
      <c r="G55" s="8"/>
      <c r="H55" s="9"/>
      <c r="I55" s="8"/>
      <c r="J55" s="1" t="e">
        <f>1-VLOOKUP(H55,'Modell-Kalibrierung'!$B$3:$C$8,2,0)</f>
        <v>#N/A</v>
      </c>
      <c r="K55" s="93">
        <f>IF(ISNA(J55),0,VLOOKUP(G55,'Modell-Kalibrierung'!$B$16:$C$22,2,FALSE)*VLOOKUP(H55,'Modell-Kalibrierung'!$B$3:$C$8,2,0)+VLOOKUP(I55,'Modell-Kalibrierung'!$B$16:$C$22,2,0)*'STEP-Analyse Russland'!J55)</f>
        <v>0</v>
      </c>
      <c r="L55" s="6"/>
    </row>
    <row r="56" spans="1:12" ht="36" customHeight="1" thickBot="1" x14ac:dyDescent="0.25">
      <c r="A56" s="137"/>
      <c r="B56" s="140"/>
      <c r="C56" s="125" t="str">
        <f>B51</f>
        <v xml:space="preserve">Wirtschaftswachstum </v>
      </c>
      <c r="D56" s="126"/>
      <c r="E56" s="126"/>
      <c r="F56" s="126"/>
      <c r="G56" s="127"/>
      <c r="H56" s="127"/>
      <c r="I56" s="127"/>
      <c r="J56" s="128"/>
      <c r="K56" s="3">
        <f>SUM(K51:K55)</f>
        <v>0</v>
      </c>
      <c r="L56" s="16" t="str">
        <f>IF(K56=0,"0% Anteil am Gesamtprojektrisiko",(K56/$K$123))</f>
        <v>0% Anteil am Gesamtprojektrisiko</v>
      </c>
    </row>
    <row r="57" spans="1:12" ht="20.25" x14ac:dyDescent="0.2">
      <c r="A57" s="137"/>
      <c r="B57" s="141" t="s">
        <v>27</v>
      </c>
      <c r="C57" s="7"/>
      <c r="D57" s="7"/>
      <c r="E57" s="6"/>
      <c r="F57" s="6"/>
      <c r="G57" s="8"/>
      <c r="H57" s="9"/>
      <c r="I57" s="8"/>
      <c r="J57" s="1" t="e">
        <f>1-VLOOKUP(H57,'Modell-Kalibrierung'!$B$3:$C$8,2,0)</f>
        <v>#N/A</v>
      </c>
      <c r="K57" s="93">
        <f>IF(ISNA(J57),0,VLOOKUP(G57,'Modell-Kalibrierung'!$B$16:$C$22,2,FALSE)*VLOOKUP(H57,'Modell-Kalibrierung'!$B$3:$C$8,2,0)+VLOOKUP(I57,'Modell-Kalibrierung'!$B$16:$C$22,2,0)*'STEP-Analyse Russland'!J57)</f>
        <v>0</v>
      </c>
      <c r="L57" s="6"/>
    </row>
    <row r="58" spans="1:12" ht="20.25" x14ac:dyDescent="0.2">
      <c r="A58" s="137"/>
      <c r="B58" s="139"/>
      <c r="C58" s="11"/>
      <c r="D58" s="11"/>
      <c r="E58" s="6"/>
      <c r="F58" s="10"/>
      <c r="G58" s="8"/>
      <c r="H58" s="9"/>
      <c r="I58" s="8"/>
      <c r="J58" s="1" t="e">
        <f>1-VLOOKUP(H58,'Modell-Kalibrierung'!$B$3:$C$8,2,0)</f>
        <v>#N/A</v>
      </c>
      <c r="K58" s="93">
        <f>IF(ISNA(J58),0,VLOOKUP(G58,'Modell-Kalibrierung'!$B$16:$C$22,2,FALSE)*VLOOKUP(H58,'Modell-Kalibrierung'!$B$3:$C$8,2,0)+VLOOKUP(I58,'Modell-Kalibrierung'!$B$16:$C$22,2,0)*'STEP-Analyse Russland'!J58)</f>
        <v>0</v>
      </c>
      <c r="L58" s="6"/>
    </row>
    <row r="59" spans="1:12" ht="20.25" x14ac:dyDescent="0.2">
      <c r="A59" s="137"/>
      <c r="B59" s="139"/>
      <c r="C59" s="11"/>
      <c r="D59" s="11"/>
      <c r="E59" s="6"/>
      <c r="F59" s="10"/>
      <c r="G59" s="8"/>
      <c r="H59" s="9"/>
      <c r="I59" s="8"/>
      <c r="J59" s="1" t="e">
        <f>1-VLOOKUP(H59,'Modell-Kalibrierung'!$B$3:$C$8,2,0)</f>
        <v>#N/A</v>
      </c>
      <c r="K59" s="93">
        <f>IF(ISNA(J59),0,VLOOKUP(G59,'Modell-Kalibrierung'!$B$16:$C$22,2,FALSE)*VLOOKUP(H59,'Modell-Kalibrierung'!$B$3:$C$8,2,0)+VLOOKUP(I59,'Modell-Kalibrierung'!$B$16:$C$22,2,0)*'STEP-Analyse Russland'!J59)</f>
        <v>0</v>
      </c>
      <c r="L59" s="6"/>
    </row>
    <row r="60" spans="1:12" ht="20.25" x14ac:dyDescent="0.2">
      <c r="A60" s="137"/>
      <c r="B60" s="139"/>
      <c r="C60" s="11"/>
      <c r="D60" s="11"/>
      <c r="E60" s="6"/>
      <c r="F60" s="10"/>
      <c r="G60" s="8"/>
      <c r="H60" s="9"/>
      <c r="I60" s="8"/>
      <c r="J60" s="1" t="e">
        <f>1-VLOOKUP(H60,'Modell-Kalibrierung'!$B$3:$C$8,2,0)</f>
        <v>#N/A</v>
      </c>
      <c r="K60" s="93">
        <f>IF(ISNA(J60),0,VLOOKUP(G60,'Modell-Kalibrierung'!$B$16:$C$22,2,FALSE)*VLOOKUP(H60,'Modell-Kalibrierung'!$B$3:$C$8,2,0)+VLOOKUP(I60,'Modell-Kalibrierung'!$B$16:$C$22,2,0)*'STEP-Analyse Russland'!J60)</f>
        <v>0</v>
      </c>
      <c r="L60" s="6"/>
    </row>
    <row r="61" spans="1:12" ht="21" thickBot="1" x14ac:dyDescent="0.25">
      <c r="A61" s="137"/>
      <c r="B61" s="139"/>
      <c r="C61" s="11"/>
      <c r="D61" s="11"/>
      <c r="E61" s="6"/>
      <c r="F61" s="10"/>
      <c r="G61" s="8"/>
      <c r="H61" s="9"/>
      <c r="I61" s="8"/>
      <c r="J61" s="1" t="e">
        <f>1-VLOOKUP(H61,'Modell-Kalibrierung'!$B$3:$C$8,2,0)</f>
        <v>#N/A</v>
      </c>
      <c r="K61" s="93">
        <f>IF(ISNA(J61),0,VLOOKUP(G61,'Modell-Kalibrierung'!$B$16:$C$22,2,FALSE)*VLOOKUP(H61,'Modell-Kalibrierung'!$B$3:$C$8,2,0)+VLOOKUP(I61,'Modell-Kalibrierung'!$B$16:$C$22,2,0)*'STEP-Analyse Russland'!J61)</f>
        <v>0</v>
      </c>
      <c r="L61" s="6"/>
    </row>
    <row r="62" spans="1:12" ht="36" customHeight="1" thickBot="1" x14ac:dyDescent="0.25">
      <c r="A62" s="137"/>
      <c r="B62" s="140"/>
      <c r="C62" s="125" t="str">
        <f>B57</f>
        <v xml:space="preserve">Inflation, Zinsen, Wechselkurse </v>
      </c>
      <c r="D62" s="126"/>
      <c r="E62" s="126"/>
      <c r="F62" s="126"/>
      <c r="G62" s="127"/>
      <c r="H62" s="127"/>
      <c r="I62" s="127"/>
      <c r="J62" s="128"/>
      <c r="K62" s="3">
        <f>SUM(K57:K61)</f>
        <v>0</v>
      </c>
      <c r="L62" s="16" t="str">
        <f>IF(K62=0,"0% Anteil am Gesamtprojektrisiko",(K62/$K$123))</f>
        <v>0% Anteil am Gesamtprojektrisiko</v>
      </c>
    </row>
    <row r="63" spans="1:12" ht="20.25" x14ac:dyDescent="0.2">
      <c r="A63" s="137"/>
      <c r="B63" s="141" t="s">
        <v>28</v>
      </c>
      <c r="C63" s="7"/>
      <c r="D63" s="7"/>
      <c r="E63" s="6"/>
      <c r="F63" s="6"/>
      <c r="G63" s="8"/>
      <c r="H63" s="9"/>
      <c r="I63" s="8"/>
      <c r="J63" s="1" t="e">
        <f>1-VLOOKUP(H63,'Modell-Kalibrierung'!$B$3:$C$8,2,0)</f>
        <v>#N/A</v>
      </c>
      <c r="K63" s="93">
        <f>IF(ISNA(J63),0,VLOOKUP(G63,'Modell-Kalibrierung'!$B$16:$C$22,2,FALSE)*VLOOKUP(H63,'Modell-Kalibrierung'!$B$3:$C$8,2,0)+VLOOKUP(I63,'Modell-Kalibrierung'!$B$16:$C$22,2,0)*'STEP-Analyse Russland'!J63)</f>
        <v>0</v>
      </c>
      <c r="L63" s="6"/>
    </row>
    <row r="64" spans="1:12" ht="20.25" x14ac:dyDescent="0.2">
      <c r="A64" s="137"/>
      <c r="B64" s="139"/>
      <c r="C64" s="11"/>
      <c r="D64" s="11"/>
      <c r="E64" s="6"/>
      <c r="F64" s="10"/>
      <c r="G64" s="8"/>
      <c r="H64" s="9"/>
      <c r="I64" s="8"/>
      <c r="J64" s="1" t="e">
        <f>1-VLOOKUP(H64,'Modell-Kalibrierung'!$B$3:$C$8,2,0)</f>
        <v>#N/A</v>
      </c>
      <c r="K64" s="93">
        <f>IF(ISNA(J64),0,VLOOKUP(G64,'Modell-Kalibrierung'!$B$16:$C$22,2,FALSE)*VLOOKUP(H64,'Modell-Kalibrierung'!$B$3:$C$8,2,0)+VLOOKUP(I64,'Modell-Kalibrierung'!$B$16:$C$22,2,0)*'STEP-Analyse Russland'!J64)</f>
        <v>0</v>
      </c>
      <c r="L64" s="6"/>
    </row>
    <row r="65" spans="1:12" ht="20.25" x14ac:dyDescent="0.2">
      <c r="A65" s="137"/>
      <c r="B65" s="139"/>
      <c r="C65" s="11"/>
      <c r="D65" s="11"/>
      <c r="E65" s="6"/>
      <c r="F65" s="10"/>
      <c r="G65" s="8"/>
      <c r="H65" s="9"/>
      <c r="I65" s="8"/>
      <c r="J65" s="1" t="e">
        <f>1-VLOOKUP(H65,'Modell-Kalibrierung'!$B$3:$C$8,2,0)</f>
        <v>#N/A</v>
      </c>
      <c r="K65" s="93">
        <f>IF(ISNA(J65),0,VLOOKUP(G65,'Modell-Kalibrierung'!$B$16:$C$22,2,FALSE)*VLOOKUP(H65,'Modell-Kalibrierung'!$B$3:$C$8,2,0)+VLOOKUP(I65,'Modell-Kalibrierung'!$B$16:$C$22,2,0)*'STEP-Analyse Russland'!J65)</f>
        <v>0</v>
      </c>
      <c r="L65" s="6"/>
    </row>
    <row r="66" spans="1:12" ht="20.25" x14ac:dyDescent="0.2">
      <c r="A66" s="137"/>
      <c r="B66" s="139"/>
      <c r="C66" s="11"/>
      <c r="D66" s="11"/>
      <c r="E66" s="6"/>
      <c r="F66" s="10"/>
      <c r="G66" s="8"/>
      <c r="H66" s="9"/>
      <c r="I66" s="8"/>
      <c r="J66" s="1" t="e">
        <f>1-VLOOKUP(H66,'Modell-Kalibrierung'!$B$3:$C$8,2,0)</f>
        <v>#N/A</v>
      </c>
      <c r="K66" s="93">
        <f>IF(ISNA(J66),0,VLOOKUP(G66,'Modell-Kalibrierung'!$B$16:$C$22,2,FALSE)*VLOOKUP(H66,'Modell-Kalibrierung'!$B$3:$C$8,2,0)+VLOOKUP(I66,'Modell-Kalibrierung'!$B$16:$C$22,2,0)*'STEP-Analyse Russland'!J66)</f>
        <v>0</v>
      </c>
      <c r="L66" s="6"/>
    </row>
    <row r="67" spans="1:12" ht="21" thickBot="1" x14ac:dyDescent="0.25">
      <c r="A67" s="137"/>
      <c r="B67" s="139"/>
      <c r="C67" s="11"/>
      <c r="D67" s="11"/>
      <c r="E67" s="6"/>
      <c r="F67" s="10"/>
      <c r="G67" s="8"/>
      <c r="H67" s="9"/>
      <c r="I67" s="8"/>
      <c r="J67" s="1" t="e">
        <f>1-VLOOKUP(H67,'Modell-Kalibrierung'!$B$3:$C$8,2,0)</f>
        <v>#N/A</v>
      </c>
      <c r="K67" s="93">
        <f>IF(ISNA(J67),0,VLOOKUP(G67,'Modell-Kalibrierung'!$B$16:$C$22,2,FALSE)*VLOOKUP(H67,'Modell-Kalibrierung'!$B$3:$C$8,2,0)+VLOOKUP(I67,'Modell-Kalibrierung'!$B$16:$C$22,2,0)*'STEP-Analyse Russland'!J67)</f>
        <v>0</v>
      </c>
      <c r="L67" s="6"/>
    </row>
    <row r="68" spans="1:12" ht="36" customHeight="1" thickBot="1" x14ac:dyDescent="0.25">
      <c r="A68" s="137"/>
      <c r="B68" s="140"/>
      <c r="C68" s="125" t="str">
        <f>B63</f>
        <v xml:space="preserve">Arbeitsmarkt (Quantität/ Qualität ...) </v>
      </c>
      <c r="D68" s="126"/>
      <c r="E68" s="126"/>
      <c r="F68" s="126"/>
      <c r="G68" s="127"/>
      <c r="H68" s="127"/>
      <c r="I68" s="127"/>
      <c r="J68" s="128"/>
      <c r="K68" s="3">
        <f>SUM(K63:K67)</f>
        <v>0</v>
      </c>
      <c r="L68" s="16" t="str">
        <f>IF(K68=0,"0% Anteil am Gesamtprojektrisiko",(K68/$K$123))</f>
        <v>0% Anteil am Gesamtprojektrisiko</v>
      </c>
    </row>
    <row r="69" spans="1:12" ht="20.25" x14ac:dyDescent="0.2">
      <c r="A69" s="137"/>
      <c r="B69" s="141" t="s">
        <v>29</v>
      </c>
      <c r="C69" s="7"/>
      <c r="D69" s="7"/>
      <c r="E69" s="6"/>
      <c r="F69" s="6"/>
      <c r="G69" s="8"/>
      <c r="H69" s="9"/>
      <c r="I69" s="8"/>
      <c r="J69" s="1" t="e">
        <f>1-VLOOKUP(H69,'Modell-Kalibrierung'!$B$3:$C$8,2,0)</f>
        <v>#N/A</v>
      </c>
      <c r="K69" s="93">
        <f>IF(ISNA(J69),0,VLOOKUP(G69,'Modell-Kalibrierung'!$B$16:$C$22,2,FALSE)*VLOOKUP(H69,'Modell-Kalibrierung'!$B$3:$C$8,2,0)+VLOOKUP(I69,'Modell-Kalibrierung'!$B$16:$C$22,2,0)*'STEP-Analyse Russland'!J69)</f>
        <v>0</v>
      </c>
      <c r="L69" s="6"/>
    </row>
    <row r="70" spans="1:12" ht="20.25" x14ac:dyDescent="0.2">
      <c r="A70" s="137"/>
      <c r="B70" s="139"/>
      <c r="C70" s="11"/>
      <c r="D70" s="11"/>
      <c r="E70" s="6"/>
      <c r="F70" s="10"/>
      <c r="G70" s="8"/>
      <c r="H70" s="9"/>
      <c r="I70" s="8"/>
      <c r="J70" s="1" t="e">
        <f>1-VLOOKUP(H70,'Modell-Kalibrierung'!$B$3:$C$8,2,0)</f>
        <v>#N/A</v>
      </c>
      <c r="K70" s="93">
        <f>IF(ISNA(J70),0,VLOOKUP(G70,'Modell-Kalibrierung'!$B$16:$C$22,2,FALSE)*VLOOKUP(H70,'Modell-Kalibrierung'!$B$3:$C$8,2,0)+VLOOKUP(I70,'Modell-Kalibrierung'!$B$16:$C$22,2,0)*'STEP-Analyse Russland'!J70)</f>
        <v>0</v>
      </c>
      <c r="L70" s="6"/>
    </row>
    <row r="71" spans="1:12" ht="20.25" x14ac:dyDescent="0.2">
      <c r="A71" s="137"/>
      <c r="B71" s="139"/>
      <c r="C71" s="11"/>
      <c r="D71" s="11"/>
      <c r="E71" s="6"/>
      <c r="F71" s="10"/>
      <c r="G71" s="8"/>
      <c r="H71" s="9"/>
      <c r="I71" s="8"/>
      <c r="J71" s="1" t="e">
        <f>1-VLOOKUP(H71,'Modell-Kalibrierung'!$B$3:$C$8,2,0)</f>
        <v>#N/A</v>
      </c>
      <c r="K71" s="93">
        <f>IF(ISNA(J71),0,VLOOKUP(G71,'Modell-Kalibrierung'!$B$16:$C$22,2,FALSE)*VLOOKUP(H71,'Modell-Kalibrierung'!$B$3:$C$8,2,0)+VLOOKUP(I71,'Modell-Kalibrierung'!$B$16:$C$22,2,0)*'STEP-Analyse Russland'!J71)</f>
        <v>0</v>
      </c>
      <c r="L71" s="6"/>
    </row>
    <row r="72" spans="1:12" ht="20.25" x14ac:dyDescent="0.2">
      <c r="A72" s="137"/>
      <c r="B72" s="139"/>
      <c r="C72" s="11"/>
      <c r="D72" s="11"/>
      <c r="E72" s="6"/>
      <c r="F72" s="10"/>
      <c r="G72" s="8"/>
      <c r="H72" s="9"/>
      <c r="I72" s="8"/>
      <c r="J72" s="1" t="e">
        <f>1-VLOOKUP(H72,'Modell-Kalibrierung'!$B$3:$C$8,2,0)</f>
        <v>#N/A</v>
      </c>
      <c r="K72" s="93">
        <f>IF(ISNA(J72),0,VLOOKUP(G72,'Modell-Kalibrierung'!$B$16:$C$22,2,FALSE)*VLOOKUP(H72,'Modell-Kalibrierung'!$B$3:$C$8,2,0)+VLOOKUP(I72,'Modell-Kalibrierung'!$B$16:$C$22,2,0)*'STEP-Analyse Russland'!J72)</f>
        <v>0</v>
      </c>
      <c r="L72" s="6"/>
    </row>
    <row r="73" spans="1:12" ht="21" thickBot="1" x14ac:dyDescent="0.25">
      <c r="A73" s="137"/>
      <c r="B73" s="139"/>
      <c r="C73" s="11"/>
      <c r="D73" s="11"/>
      <c r="E73" s="6"/>
      <c r="F73" s="10"/>
      <c r="G73" s="8"/>
      <c r="H73" s="9"/>
      <c r="I73" s="8"/>
      <c r="J73" s="1" t="e">
        <f>1-VLOOKUP(H73,'Modell-Kalibrierung'!$B$3:$C$8,2,0)</f>
        <v>#N/A</v>
      </c>
      <c r="K73" s="93">
        <f>IF(ISNA(J73),0,VLOOKUP(G73,'Modell-Kalibrierung'!$B$16:$C$22,2,FALSE)*VLOOKUP(H73,'Modell-Kalibrierung'!$B$3:$C$8,2,0)+VLOOKUP(I73,'Modell-Kalibrierung'!$B$16:$C$22,2,0)*'STEP-Analyse Russland'!J73)</f>
        <v>0</v>
      </c>
      <c r="L73" s="6"/>
    </row>
    <row r="74" spans="1:12" ht="36" customHeight="1" thickBot="1" x14ac:dyDescent="0.25">
      <c r="A74" s="137"/>
      <c r="B74" s="139"/>
      <c r="C74" s="125" t="str">
        <f>B69</f>
        <v xml:space="preserve">Globalisierung/ Internationalisierung </v>
      </c>
      <c r="D74" s="126"/>
      <c r="E74" s="126"/>
      <c r="F74" s="126"/>
      <c r="G74" s="127"/>
      <c r="H74" s="127"/>
      <c r="I74" s="127"/>
      <c r="J74" s="128"/>
      <c r="K74" s="3">
        <f>SUM(K69:K73)</f>
        <v>0</v>
      </c>
      <c r="L74" s="16" t="str">
        <f>IF(K74=0,"0% Anteil am Gesamtprojektrisiko",(K74/$K$123))</f>
        <v>0% Anteil am Gesamtprojektrisiko</v>
      </c>
    </row>
    <row r="75" spans="1:12" ht="20.25" x14ac:dyDescent="0.2">
      <c r="A75" s="137"/>
      <c r="B75" s="141" t="s">
        <v>30</v>
      </c>
      <c r="C75" s="11"/>
      <c r="D75" s="11"/>
      <c r="E75" s="10"/>
      <c r="F75" s="10"/>
      <c r="G75" s="8"/>
      <c r="H75" s="9"/>
      <c r="I75" s="8"/>
      <c r="J75" s="5" t="e">
        <f>1-VLOOKUP(H75,'Modell-Kalibrierung'!$B$3:$C$8,2,0)</f>
        <v>#N/A</v>
      </c>
      <c r="K75" s="93">
        <f>IF(ISNA(J75),0,VLOOKUP(G75,'Modell-Kalibrierung'!$B$16:$C$22,2,FALSE)*VLOOKUP(H75,'Modell-Kalibrierung'!$B$3:$C$8,2,0)+VLOOKUP(I75,'Modell-Kalibrierung'!$B$16:$C$22,2,0)*'STEP-Analyse Russland'!J75)</f>
        <v>0</v>
      </c>
      <c r="L75" s="10"/>
    </row>
    <row r="76" spans="1:12" ht="20.25" x14ac:dyDescent="0.2">
      <c r="A76" s="137"/>
      <c r="B76" s="139"/>
      <c r="C76" s="11"/>
      <c r="D76" s="11"/>
      <c r="E76" s="6"/>
      <c r="F76" s="10"/>
      <c r="G76" s="8"/>
      <c r="H76" s="9"/>
      <c r="I76" s="8"/>
      <c r="J76" s="1" t="e">
        <f>1-VLOOKUP(H76,'Modell-Kalibrierung'!$B$3:$C$8,2,0)</f>
        <v>#N/A</v>
      </c>
      <c r="K76" s="93">
        <f>IF(ISNA(J76),0,VLOOKUP(G76,'Modell-Kalibrierung'!$B$16:$C$22,2,FALSE)*VLOOKUP(H76,'Modell-Kalibrierung'!$B$3:$C$8,2,0)+VLOOKUP(I76,'Modell-Kalibrierung'!$B$16:$C$22,2,0)*'STEP-Analyse Russland'!J76)</f>
        <v>0</v>
      </c>
      <c r="L76" s="6"/>
    </row>
    <row r="77" spans="1:12" ht="20.25" x14ac:dyDescent="0.2">
      <c r="A77" s="137"/>
      <c r="B77" s="139"/>
      <c r="C77" s="11"/>
      <c r="D77" s="11"/>
      <c r="E77" s="6"/>
      <c r="F77" s="10"/>
      <c r="G77" s="8"/>
      <c r="H77" s="9"/>
      <c r="I77" s="8"/>
      <c r="J77" s="1" t="e">
        <f>1-VLOOKUP(H77,'Modell-Kalibrierung'!$B$3:$C$8,2,0)</f>
        <v>#N/A</v>
      </c>
      <c r="K77" s="93">
        <f>IF(ISNA(J77),0,VLOOKUP(G77,'Modell-Kalibrierung'!$B$16:$C$22,2,FALSE)*VLOOKUP(H77,'Modell-Kalibrierung'!$B$3:$C$8,2,0)+VLOOKUP(I77,'Modell-Kalibrierung'!$B$16:$C$22,2,0)*'STEP-Analyse Russland'!J77)</f>
        <v>0</v>
      </c>
      <c r="L77" s="6"/>
    </row>
    <row r="78" spans="1:12" ht="20.25" x14ac:dyDescent="0.2">
      <c r="A78" s="137"/>
      <c r="B78" s="139"/>
      <c r="C78" s="11"/>
      <c r="D78" s="11"/>
      <c r="E78" s="6"/>
      <c r="F78" s="10"/>
      <c r="G78" s="8"/>
      <c r="H78" s="9"/>
      <c r="I78" s="8"/>
      <c r="J78" s="1" t="e">
        <f>1-VLOOKUP(H78,'Modell-Kalibrierung'!$B$3:$C$8,2,0)</f>
        <v>#N/A</v>
      </c>
      <c r="K78" s="93">
        <f>IF(ISNA(J78),0,VLOOKUP(G78,'Modell-Kalibrierung'!$B$16:$C$22,2,FALSE)*VLOOKUP(H78,'Modell-Kalibrierung'!$B$3:$C$8,2,0)+VLOOKUP(I78,'Modell-Kalibrierung'!$B$16:$C$22,2,0)*'STEP-Analyse Russland'!J78)</f>
        <v>0</v>
      </c>
      <c r="L78" s="6"/>
    </row>
    <row r="79" spans="1:12" ht="21" thickBot="1" x14ac:dyDescent="0.25">
      <c r="A79" s="137"/>
      <c r="B79" s="139"/>
      <c r="C79" s="11"/>
      <c r="D79" s="11"/>
      <c r="E79" s="6"/>
      <c r="F79" s="10"/>
      <c r="G79" s="8"/>
      <c r="H79" s="9"/>
      <c r="I79" s="8"/>
      <c r="J79" s="1" t="e">
        <f>1-VLOOKUP(H79,'Modell-Kalibrierung'!$B$3:$C$8,2,0)</f>
        <v>#N/A</v>
      </c>
      <c r="K79" s="93">
        <f>IF(ISNA(J79),0,VLOOKUP(G79,'Modell-Kalibrierung'!$B$16:$C$22,2,FALSE)*VLOOKUP(H79,'Modell-Kalibrierung'!$B$3:$C$8,2,0)+VLOOKUP(I79,'Modell-Kalibrierung'!$B$16:$C$22,2,0)*'STEP-Analyse Russland'!J79)</f>
        <v>0</v>
      </c>
      <c r="L79" s="6"/>
    </row>
    <row r="80" spans="1:12" ht="36" customHeight="1" thickBot="1" x14ac:dyDescent="0.25">
      <c r="A80" s="138"/>
      <c r="B80" s="150"/>
      <c r="C80" s="132" t="str">
        <f>B75</f>
        <v xml:space="preserve">Ressourcenverfügbarkeit </v>
      </c>
      <c r="D80" s="133"/>
      <c r="E80" s="133"/>
      <c r="F80" s="133"/>
      <c r="G80" s="134"/>
      <c r="H80" s="134"/>
      <c r="I80" s="134"/>
      <c r="J80" s="135"/>
      <c r="K80" s="3">
        <f>SUM(K75:K79)</f>
        <v>0</v>
      </c>
      <c r="L80" s="16" t="str">
        <f>IF(K80=0,"0% Anteil am Gesamtprojektrisiko",(K80/$K$123))</f>
        <v>0% Anteil am Gesamtprojektrisiko</v>
      </c>
    </row>
    <row r="81" spans="1:12" ht="20.25" x14ac:dyDescent="0.2">
      <c r="A81" s="144" t="s">
        <v>4</v>
      </c>
      <c r="B81" s="139" t="s">
        <v>31</v>
      </c>
      <c r="C81" s="6"/>
      <c r="D81" s="7"/>
      <c r="E81" s="6"/>
      <c r="F81" s="6"/>
      <c r="G81" s="9"/>
      <c r="H81" s="9"/>
      <c r="I81" s="9"/>
      <c r="J81" s="1" t="e">
        <f>1-VLOOKUP(H81,'Modell-Kalibrierung'!$B$3:$C$8,2,0)</f>
        <v>#N/A</v>
      </c>
      <c r="K81" s="93">
        <f>IF(ISNA(J81),0,VLOOKUP(G81,'Modell-Kalibrierung'!$B$16:$C$22,2,FALSE)*VLOOKUP(H81,'Modell-Kalibrierung'!$B$3:$C$8,2,0)+VLOOKUP(I81,'Modell-Kalibrierung'!$B$16:$C$22,2,0)*'STEP-Analyse Russland'!J81)</f>
        <v>0</v>
      </c>
      <c r="L81" s="6"/>
    </row>
    <row r="82" spans="1:12" ht="20.25" x14ac:dyDescent="0.2">
      <c r="A82" s="145"/>
      <c r="B82" s="139"/>
      <c r="C82" s="10"/>
      <c r="D82" s="11"/>
      <c r="E82" s="6"/>
      <c r="F82" s="10"/>
      <c r="G82" s="8"/>
      <c r="H82" s="9"/>
      <c r="I82" s="8"/>
      <c r="J82" s="1" t="e">
        <f>1-VLOOKUP(H82,'Modell-Kalibrierung'!$B$3:$C$8,2,0)</f>
        <v>#N/A</v>
      </c>
      <c r="K82" s="93">
        <f>IF(ISNA(J82),0,VLOOKUP(G82,'Modell-Kalibrierung'!$B$16:$C$22,2,FALSE)*VLOOKUP(H82,'Modell-Kalibrierung'!$B$3:$C$8,2,0)+VLOOKUP(I82,'Modell-Kalibrierung'!$B$16:$C$22,2,0)*'STEP-Analyse Russland'!J82)</f>
        <v>0</v>
      </c>
      <c r="L82" s="6"/>
    </row>
    <row r="83" spans="1:12" ht="20.25" x14ac:dyDescent="0.2">
      <c r="A83" s="145"/>
      <c r="B83" s="139"/>
      <c r="C83" s="10"/>
      <c r="D83" s="11"/>
      <c r="E83" s="6"/>
      <c r="F83" s="10"/>
      <c r="G83" s="8"/>
      <c r="H83" s="9"/>
      <c r="I83" s="8"/>
      <c r="J83" s="1" t="e">
        <f>1-VLOOKUP(H83,'Modell-Kalibrierung'!$B$3:$C$8,2,0)</f>
        <v>#N/A</v>
      </c>
      <c r="K83" s="93">
        <f>IF(ISNA(J83),0,VLOOKUP(G83,'Modell-Kalibrierung'!$B$16:$C$22,2,FALSE)*VLOOKUP(H83,'Modell-Kalibrierung'!$B$3:$C$8,2,0)+VLOOKUP(I83,'Modell-Kalibrierung'!$B$16:$C$22,2,0)*'STEP-Analyse Russland'!J83)</f>
        <v>0</v>
      </c>
      <c r="L83" s="6"/>
    </row>
    <row r="84" spans="1:12" ht="20.25" x14ac:dyDescent="0.2">
      <c r="A84" s="145"/>
      <c r="B84" s="139"/>
      <c r="C84" s="10"/>
      <c r="D84" s="11"/>
      <c r="E84" s="6"/>
      <c r="F84" s="10"/>
      <c r="G84" s="8"/>
      <c r="H84" s="9"/>
      <c r="I84" s="8"/>
      <c r="J84" s="1" t="e">
        <f>1-VLOOKUP(H84,'Modell-Kalibrierung'!$B$3:$C$8,2,0)</f>
        <v>#N/A</v>
      </c>
      <c r="K84" s="93">
        <f>IF(ISNA(J84),0,VLOOKUP(G84,'Modell-Kalibrierung'!$B$16:$C$22,2,FALSE)*VLOOKUP(H84,'Modell-Kalibrierung'!$B$3:$C$8,2,0)+VLOOKUP(I84,'Modell-Kalibrierung'!$B$16:$C$22,2,0)*'STEP-Analyse Russland'!J84)</f>
        <v>0</v>
      </c>
      <c r="L84" s="6"/>
    </row>
    <row r="85" spans="1:12" ht="21" thickBot="1" x14ac:dyDescent="0.25">
      <c r="A85" s="145"/>
      <c r="B85" s="139"/>
      <c r="C85" s="10"/>
      <c r="D85" s="11"/>
      <c r="E85" s="6"/>
      <c r="F85" s="10"/>
      <c r="G85" s="8"/>
      <c r="H85" s="9"/>
      <c r="I85" s="8"/>
      <c r="J85" s="1" t="e">
        <f>1-VLOOKUP(H85,'Modell-Kalibrierung'!$B$3:$C$8,2,0)</f>
        <v>#N/A</v>
      </c>
      <c r="K85" s="93">
        <f>IF(ISNA(J85),0,VLOOKUP(G85,'Modell-Kalibrierung'!$B$16:$C$22,2,FALSE)*VLOOKUP(H85,'Modell-Kalibrierung'!$B$3:$C$8,2,0)+VLOOKUP(I85,'Modell-Kalibrierung'!$B$16:$C$22,2,0)*'STEP-Analyse Russland'!J85)</f>
        <v>0</v>
      </c>
      <c r="L85" s="6"/>
    </row>
    <row r="86" spans="1:12" ht="36" customHeight="1" thickBot="1" x14ac:dyDescent="0.25">
      <c r="A86" s="145"/>
      <c r="B86" s="140"/>
      <c r="C86" s="125" t="str">
        <f>B81</f>
        <v xml:space="preserve">Werte </v>
      </c>
      <c r="D86" s="126"/>
      <c r="E86" s="126"/>
      <c r="F86" s="126"/>
      <c r="G86" s="127"/>
      <c r="H86" s="127"/>
      <c r="I86" s="127"/>
      <c r="J86" s="128"/>
      <c r="K86" s="3">
        <f>SUM(K81:K85)</f>
        <v>0</v>
      </c>
      <c r="L86" s="16" t="str">
        <f>IF(K86=0,"0% Anteil am Gesamtprojektrisiko",(K86/$K$123))</f>
        <v>0% Anteil am Gesamtprojektrisiko</v>
      </c>
    </row>
    <row r="87" spans="1:12" ht="20.25" x14ac:dyDescent="0.2">
      <c r="A87" s="146"/>
      <c r="B87" s="141" t="s">
        <v>8</v>
      </c>
      <c r="C87" s="7"/>
      <c r="D87" s="7"/>
      <c r="E87" s="6"/>
      <c r="F87" s="6"/>
      <c r="G87" s="8"/>
      <c r="H87" s="9"/>
      <c r="I87" s="8"/>
      <c r="J87" s="1" t="e">
        <f>1-VLOOKUP(H87,'Modell-Kalibrierung'!$B$3:$C$8,2,0)</f>
        <v>#N/A</v>
      </c>
      <c r="K87" s="93">
        <f>IF(ISNA(J87),0,VLOOKUP(G87,'Modell-Kalibrierung'!$B$16:$C$22,2,FALSE)*VLOOKUP(H87,'Modell-Kalibrierung'!$B$3:$C$8,2,0)+VLOOKUP(I87,'Modell-Kalibrierung'!$B$16:$C$22,2,0)*'STEP-Analyse Russland'!J87)</f>
        <v>0</v>
      </c>
      <c r="L87" s="6"/>
    </row>
    <row r="88" spans="1:12" ht="20.25" x14ac:dyDescent="0.2">
      <c r="A88" s="146"/>
      <c r="B88" s="139"/>
      <c r="C88" s="11"/>
      <c r="D88" s="11"/>
      <c r="E88" s="6"/>
      <c r="F88" s="10"/>
      <c r="G88" s="8"/>
      <c r="H88" s="9"/>
      <c r="I88" s="8"/>
      <c r="J88" s="1" t="e">
        <f>1-VLOOKUP(H88,'Modell-Kalibrierung'!$B$3:$C$8,2,0)</f>
        <v>#N/A</v>
      </c>
      <c r="K88" s="93">
        <f>IF(ISNA(J88),0,VLOOKUP(G88,'Modell-Kalibrierung'!$B$16:$C$22,2,FALSE)*VLOOKUP(H88,'Modell-Kalibrierung'!$B$3:$C$8,2,0)+VLOOKUP(I88,'Modell-Kalibrierung'!$B$16:$C$22,2,0)*'STEP-Analyse Russland'!J88)</f>
        <v>0</v>
      </c>
      <c r="L88" s="6"/>
    </row>
    <row r="89" spans="1:12" ht="20.25" x14ac:dyDescent="0.2">
      <c r="A89" s="146"/>
      <c r="B89" s="139"/>
      <c r="C89" s="11"/>
      <c r="D89" s="11"/>
      <c r="E89" s="6"/>
      <c r="F89" s="10"/>
      <c r="G89" s="8"/>
      <c r="H89" s="9"/>
      <c r="I89" s="8"/>
      <c r="J89" s="1" t="e">
        <f>1-VLOOKUP(H89,'Modell-Kalibrierung'!$B$3:$C$8,2,0)</f>
        <v>#N/A</v>
      </c>
      <c r="K89" s="93">
        <f>IF(ISNA(J89),0,VLOOKUP(G89,'Modell-Kalibrierung'!$B$16:$C$22,2,FALSE)*VLOOKUP(H89,'Modell-Kalibrierung'!$B$3:$C$8,2,0)+VLOOKUP(I89,'Modell-Kalibrierung'!$B$16:$C$22,2,0)*'STEP-Analyse Russland'!J89)</f>
        <v>0</v>
      </c>
      <c r="L89" s="6"/>
    </row>
    <row r="90" spans="1:12" ht="20.25" x14ac:dyDescent="0.2">
      <c r="A90" s="146"/>
      <c r="B90" s="139"/>
      <c r="C90" s="11"/>
      <c r="D90" s="11"/>
      <c r="E90" s="6"/>
      <c r="F90" s="10"/>
      <c r="G90" s="8"/>
      <c r="H90" s="9"/>
      <c r="I90" s="8"/>
      <c r="J90" s="1" t="e">
        <f>1-VLOOKUP(H90,'Modell-Kalibrierung'!$B$3:$C$8,2,0)</f>
        <v>#N/A</v>
      </c>
      <c r="K90" s="93">
        <f>IF(ISNA(J90),0,VLOOKUP(G90,'Modell-Kalibrierung'!$B$16:$C$22,2,FALSE)*VLOOKUP(H90,'Modell-Kalibrierung'!$B$3:$C$8,2,0)+VLOOKUP(I90,'Modell-Kalibrierung'!$B$16:$C$22,2,0)*'STEP-Analyse Russland'!J90)</f>
        <v>0</v>
      </c>
      <c r="L90" s="6"/>
    </row>
    <row r="91" spans="1:12" ht="21" thickBot="1" x14ac:dyDescent="0.25">
      <c r="A91" s="146"/>
      <c r="B91" s="139"/>
      <c r="C91" s="11"/>
      <c r="D91" s="11"/>
      <c r="E91" s="6"/>
      <c r="F91" s="10"/>
      <c r="G91" s="8"/>
      <c r="H91" s="9"/>
      <c r="I91" s="8"/>
      <c r="J91" s="1" t="e">
        <f>1-VLOOKUP(H91,'Modell-Kalibrierung'!$B$3:$C$8,2,0)</f>
        <v>#N/A</v>
      </c>
      <c r="K91" s="93">
        <f>IF(ISNA(J91),0,VLOOKUP(G91,'Modell-Kalibrierung'!$B$16:$C$22,2,FALSE)*VLOOKUP(H91,'Modell-Kalibrierung'!$B$3:$C$8,2,0)+VLOOKUP(I91,'Modell-Kalibrierung'!$B$16:$C$22,2,0)*'STEP-Analyse Russland'!J91)</f>
        <v>0</v>
      </c>
      <c r="L91" s="6"/>
    </row>
    <row r="92" spans="1:12" ht="36" customHeight="1" thickBot="1" x14ac:dyDescent="0.25">
      <c r="A92" s="146"/>
      <c r="B92" s="139"/>
      <c r="C92" s="125" t="str">
        <f>B87</f>
        <v xml:space="preserve">Lebensstil/ Mentalitäten </v>
      </c>
      <c r="D92" s="126"/>
      <c r="E92" s="126"/>
      <c r="F92" s="126"/>
      <c r="G92" s="127"/>
      <c r="H92" s="127"/>
      <c r="I92" s="127"/>
      <c r="J92" s="128"/>
      <c r="K92" s="3">
        <f>SUM(K87:K91)</f>
        <v>0</v>
      </c>
      <c r="L92" s="16" t="str">
        <f>IF(K92=0,"0% Anteil am Gesamtprojektrisiko",(K92/$K$123))</f>
        <v>0% Anteil am Gesamtprojektrisiko</v>
      </c>
    </row>
    <row r="93" spans="1:12" ht="20.25" x14ac:dyDescent="0.2">
      <c r="A93" s="146"/>
      <c r="B93" s="141" t="s">
        <v>36</v>
      </c>
      <c r="C93" s="11"/>
      <c r="D93" s="11"/>
      <c r="E93" s="10"/>
      <c r="F93" s="10"/>
      <c r="G93" s="8"/>
      <c r="H93" s="9"/>
      <c r="I93" s="8"/>
      <c r="J93" s="5" t="e">
        <f>1-VLOOKUP(H93,'Modell-Kalibrierung'!$B$3:$C$8,2,0)</f>
        <v>#N/A</v>
      </c>
      <c r="K93" s="93">
        <f>IF(ISNA(J93),0,VLOOKUP(G93,'Modell-Kalibrierung'!$B$16:$C$22,2,FALSE)*VLOOKUP(H93,'Modell-Kalibrierung'!$B$3:$C$8,2,0)+VLOOKUP(I93,'Modell-Kalibrierung'!$B$16:$C$22,2,0)*'STEP-Analyse Russland'!J93)</f>
        <v>0</v>
      </c>
      <c r="L93" s="10"/>
    </row>
    <row r="94" spans="1:12" ht="20.25" x14ac:dyDescent="0.2">
      <c r="A94" s="146"/>
      <c r="B94" s="139"/>
      <c r="C94" s="11"/>
      <c r="D94" s="11"/>
      <c r="E94" s="6"/>
      <c r="F94" s="10"/>
      <c r="G94" s="8"/>
      <c r="H94" s="9"/>
      <c r="I94" s="8"/>
      <c r="J94" s="1" t="e">
        <f>1-VLOOKUP(H94,'Modell-Kalibrierung'!$B$3:$C$8,2,0)</f>
        <v>#N/A</v>
      </c>
      <c r="K94" s="93">
        <f>IF(ISNA(J94),0,VLOOKUP(G94,'Modell-Kalibrierung'!$B$16:$C$22,2,FALSE)*VLOOKUP(H94,'Modell-Kalibrierung'!$B$3:$C$8,2,0)+VLOOKUP(I94,'Modell-Kalibrierung'!$B$16:$C$22,2,0)*'STEP-Analyse Russland'!J94)</f>
        <v>0</v>
      </c>
      <c r="L94" s="6"/>
    </row>
    <row r="95" spans="1:12" ht="20.25" x14ac:dyDescent="0.2">
      <c r="A95" s="146"/>
      <c r="B95" s="139"/>
      <c r="C95" s="11"/>
      <c r="D95" s="11"/>
      <c r="E95" s="6"/>
      <c r="F95" s="10"/>
      <c r="G95" s="8"/>
      <c r="H95" s="9"/>
      <c r="I95" s="8"/>
      <c r="J95" s="1" t="e">
        <f>1-VLOOKUP(H95,'Modell-Kalibrierung'!$B$3:$C$8,2,0)</f>
        <v>#N/A</v>
      </c>
      <c r="K95" s="93">
        <f>IF(ISNA(J95),0,VLOOKUP(G95,'Modell-Kalibrierung'!$B$16:$C$22,2,FALSE)*VLOOKUP(H95,'Modell-Kalibrierung'!$B$3:$C$8,2,0)+VLOOKUP(I95,'Modell-Kalibrierung'!$B$16:$C$22,2,0)*'STEP-Analyse Russland'!J95)</f>
        <v>0</v>
      </c>
      <c r="L95" s="6"/>
    </row>
    <row r="96" spans="1:12" ht="20.25" x14ac:dyDescent="0.2">
      <c r="A96" s="146"/>
      <c r="B96" s="139"/>
      <c r="C96" s="11"/>
      <c r="D96" s="11"/>
      <c r="E96" s="6"/>
      <c r="F96" s="10"/>
      <c r="G96" s="8"/>
      <c r="H96" s="9"/>
      <c r="I96" s="8"/>
      <c r="J96" s="1" t="e">
        <f>1-VLOOKUP(H96,'Modell-Kalibrierung'!$B$3:$C$8,2,0)</f>
        <v>#N/A</v>
      </c>
      <c r="K96" s="93">
        <f>IF(ISNA(J96),0,VLOOKUP(G96,'Modell-Kalibrierung'!$B$16:$C$22,2,FALSE)*VLOOKUP(H96,'Modell-Kalibrierung'!$B$3:$C$8,2,0)+VLOOKUP(I96,'Modell-Kalibrierung'!$B$16:$C$22,2,0)*'STEP-Analyse Russland'!J96)</f>
        <v>0</v>
      </c>
      <c r="L96" s="6"/>
    </row>
    <row r="97" spans="1:12" ht="21" thickBot="1" x14ac:dyDescent="0.25">
      <c r="A97" s="146"/>
      <c r="B97" s="139"/>
      <c r="C97" s="11"/>
      <c r="D97" s="11"/>
      <c r="E97" s="6"/>
      <c r="F97" s="10"/>
      <c r="G97" s="8"/>
      <c r="H97" s="9"/>
      <c r="I97" s="8"/>
      <c r="J97" s="1" t="e">
        <f>1-VLOOKUP(H97,'Modell-Kalibrierung'!$B$3:$C$8,2,0)</f>
        <v>#N/A</v>
      </c>
      <c r="K97" s="93">
        <f>IF(ISNA(J97),0,VLOOKUP(G97,'Modell-Kalibrierung'!$B$16:$C$22,2,FALSE)*VLOOKUP(H97,'Modell-Kalibrierung'!$B$3:$C$8,2,0)+VLOOKUP(I97,'Modell-Kalibrierung'!$B$16:$C$22,2,0)*'STEP-Analyse Russland'!J97)</f>
        <v>0</v>
      </c>
      <c r="L97" s="6"/>
    </row>
    <row r="98" spans="1:12" ht="36" customHeight="1" thickBot="1" x14ac:dyDescent="0.25">
      <c r="A98" s="146"/>
      <c r="B98" s="150"/>
      <c r="C98" s="132" t="str">
        <f>B93</f>
        <v>Bildung</v>
      </c>
      <c r="D98" s="133"/>
      <c r="E98" s="133"/>
      <c r="F98" s="133"/>
      <c r="G98" s="134"/>
      <c r="H98" s="134"/>
      <c r="I98" s="134"/>
      <c r="J98" s="135"/>
      <c r="K98" s="3">
        <f>SUM(K93:K97)</f>
        <v>0</v>
      </c>
      <c r="L98" s="16" t="str">
        <f>IF(K98=0,"0% Anteil am Gesamtprojektrisiko",(K98/$K$123))</f>
        <v>0% Anteil am Gesamtprojektrisiko</v>
      </c>
    </row>
    <row r="99" spans="1:12" ht="20.25" x14ac:dyDescent="0.2">
      <c r="A99" s="144" t="s">
        <v>5</v>
      </c>
      <c r="B99" s="148" t="s">
        <v>37</v>
      </c>
      <c r="C99" s="6"/>
      <c r="D99" s="7"/>
      <c r="E99" s="6"/>
      <c r="F99" s="6"/>
      <c r="G99" s="9"/>
      <c r="H99" s="9"/>
      <c r="I99" s="9"/>
      <c r="J99" s="1" t="e">
        <f>1-VLOOKUP(H99,'Modell-Kalibrierung'!$B$3:$C$8,2,0)</f>
        <v>#N/A</v>
      </c>
      <c r="K99" s="93">
        <f>IF(ISNA(J99),0,VLOOKUP(G99,'Modell-Kalibrierung'!$B$16:$C$22,2,FALSE)*VLOOKUP(H99,'Modell-Kalibrierung'!$B$3:$C$8,2,0)+VLOOKUP(I99,'Modell-Kalibrierung'!$B$16:$C$22,2,0)*'STEP-Analyse Russland'!J99)</f>
        <v>0</v>
      </c>
      <c r="L99" s="6"/>
    </row>
    <row r="100" spans="1:12" ht="20.25" x14ac:dyDescent="0.2">
      <c r="A100" s="145"/>
      <c r="B100" s="139"/>
      <c r="C100" s="10"/>
      <c r="D100" s="11"/>
      <c r="E100" s="6"/>
      <c r="F100" s="10"/>
      <c r="G100" s="8"/>
      <c r="H100" s="9"/>
      <c r="I100" s="8"/>
      <c r="J100" s="1" t="e">
        <f>1-VLOOKUP(H100,'Modell-Kalibrierung'!$B$3:$C$8,2,0)</f>
        <v>#N/A</v>
      </c>
      <c r="K100" s="93">
        <f>IF(ISNA(J100),0,VLOOKUP(G100,'Modell-Kalibrierung'!$B$16:$C$22,2,FALSE)*VLOOKUP(H100,'Modell-Kalibrierung'!$B$3:$C$8,2,0)+VLOOKUP(I100,'Modell-Kalibrierung'!$B$16:$C$22,2,0)*'STEP-Analyse Russland'!J100)</f>
        <v>0</v>
      </c>
      <c r="L100" s="6"/>
    </row>
    <row r="101" spans="1:12" ht="20.25" x14ac:dyDescent="0.2">
      <c r="A101" s="145"/>
      <c r="B101" s="139"/>
      <c r="C101" s="10"/>
      <c r="D101" s="11"/>
      <c r="E101" s="6"/>
      <c r="F101" s="10"/>
      <c r="G101" s="8"/>
      <c r="H101" s="9"/>
      <c r="I101" s="8"/>
      <c r="J101" s="1" t="e">
        <f>1-VLOOKUP(H101,'Modell-Kalibrierung'!$B$3:$C$8,2,0)</f>
        <v>#N/A</v>
      </c>
      <c r="K101" s="93">
        <f>IF(ISNA(J101),0,VLOOKUP(G101,'Modell-Kalibrierung'!$B$16:$C$22,2,FALSE)*VLOOKUP(H101,'Modell-Kalibrierung'!$B$3:$C$8,2,0)+VLOOKUP(I101,'Modell-Kalibrierung'!$B$16:$C$22,2,0)*'STEP-Analyse Russland'!J101)</f>
        <v>0</v>
      </c>
      <c r="L101" s="6"/>
    </row>
    <row r="102" spans="1:12" ht="20.25" x14ac:dyDescent="0.2">
      <c r="A102" s="145"/>
      <c r="B102" s="139"/>
      <c r="C102" s="10"/>
      <c r="D102" s="11"/>
      <c r="E102" s="6"/>
      <c r="F102" s="10"/>
      <c r="G102" s="8"/>
      <c r="H102" s="9"/>
      <c r="I102" s="8"/>
      <c r="J102" s="1" t="e">
        <f>1-VLOOKUP(H102,'Modell-Kalibrierung'!$B$3:$C$8,2,0)</f>
        <v>#N/A</v>
      </c>
      <c r="K102" s="93">
        <f>IF(ISNA(J102),0,VLOOKUP(G102,'Modell-Kalibrierung'!$B$16:$C$22,2,FALSE)*VLOOKUP(H102,'Modell-Kalibrierung'!$B$3:$C$8,2,0)+VLOOKUP(I102,'Modell-Kalibrierung'!$B$16:$C$22,2,0)*'STEP-Analyse Russland'!J102)</f>
        <v>0</v>
      </c>
      <c r="L102" s="6"/>
    </row>
    <row r="103" spans="1:12" ht="21" thickBot="1" x14ac:dyDescent="0.25">
      <c r="A103" s="145"/>
      <c r="B103" s="139"/>
      <c r="C103" s="10"/>
      <c r="D103" s="11"/>
      <c r="E103" s="6"/>
      <c r="F103" s="10"/>
      <c r="G103" s="8"/>
      <c r="H103" s="9"/>
      <c r="I103" s="8"/>
      <c r="J103" s="1" t="e">
        <f>1-VLOOKUP(H103,'Modell-Kalibrierung'!$B$3:$C$8,2,0)</f>
        <v>#N/A</v>
      </c>
      <c r="K103" s="93">
        <f>IF(ISNA(J103),0,VLOOKUP(G103,'Modell-Kalibrierung'!$B$16:$C$22,2,FALSE)*VLOOKUP(H103,'Modell-Kalibrierung'!$B$3:$C$8,2,0)+VLOOKUP(I103,'Modell-Kalibrierung'!$B$16:$C$22,2,0)*'STEP-Analyse Russland'!J103)</f>
        <v>0</v>
      </c>
      <c r="L103" s="6"/>
    </row>
    <row r="104" spans="1:12" ht="36" customHeight="1" thickBot="1" x14ac:dyDescent="0.25">
      <c r="A104" s="145"/>
      <c r="B104" s="140"/>
      <c r="C104" s="125" t="str">
        <f>B99</f>
        <v xml:space="preserve">Forschung </v>
      </c>
      <c r="D104" s="126"/>
      <c r="E104" s="126"/>
      <c r="F104" s="126"/>
      <c r="G104" s="127"/>
      <c r="H104" s="127"/>
      <c r="I104" s="127"/>
      <c r="J104" s="128"/>
      <c r="K104" s="3">
        <f>SUM(K99:K103)</f>
        <v>0</v>
      </c>
      <c r="L104" s="16" t="str">
        <f>IF(K104=0,"0% Anteil am Gesamtprojektrisiko",(K104/$K$123))</f>
        <v>0% Anteil am Gesamtprojektrisiko</v>
      </c>
    </row>
    <row r="105" spans="1:12" ht="20.25" x14ac:dyDescent="0.2">
      <c r="A105" s="146"/>
      <c r="B105" s="141" t="s">
        <v>38</v>
      </c>
      <c r="C105" s="6"/>
      <c r="D105" s="7"/>
      <c r="E105" s="6"/>
      <c r="F105" s="6"/>
      <c r="G105" s="8"/>
      <c r="H105" s="9"/>
      <c r="I105" s="8"/>
      <c r="J105" s="1" t="e">
        <f>1-VLOOKUP(H105,'Modell-Kalibrierung'!$B$3:$C$8,2,0)</f>
        <v>#N/A</v>
      </c>
      <c r="K105" s="93">
        <f>IF(ISNA(J105),0,VLOOKUP(G105,'Modell-Kalibrierung'!$B$16:$C$22,2,FALSE)*VLOOKUP(H105,'Modell-Kalibrierung'!$B$3:$C$8,2,0)+VLOOKUP(I105,'Modell-Kalibrierung'!$B$16:$C$22,2,0)*'STEP-Analyse Russland'!J105)</f>
        <v>0</v>
      </c>
      <c r="L105" s="6"/>
    </row>
    <row r="106" spans="1:12" ht="20.25" x14ac:dyDescent="0.2">
      <c r="A106" s="146"/>
      <c r="B106" s="139"/>
      <c r="C106" s="10"/>
      <c r="D106" s="11"/>
      <c r="E106" s="6"/>
      <c r="F106" s="10"/>
      <c r="G106" s="8"/>
      <c r="H106" s="9"/>
      <c r="I106" s="8"/>
      <c r="J106" s="1" t="e">
        <f>1-VLOOKUP(H106,'Modell-Kalibrierung'!$B$3:$C$8,2,0)</f>
        <v>#N/A</v>
      </c>
      <c r="K106" s="93">
        <f>IF(ISNA(J106),0,VLOOKUP(G106,'Modell-Kalibrierung'!$B$16:$C$22,2,FALSE)*VLOOKUP(H106,'Modell-Kalibrierung'!$B$3:$C$8,2,0)+VLOOKUP(I106,'Modell-Kalibrierung'!$B$16:$C$22,2,0)*'STEP-Analyse Russland'!J106)</f>
        <v>0</v>
      </c>
      <c r="L106" s="6"/>
    </row>
    <row r="107" spans="1:12" ht="20.25" x14ac:dyDescent="0.2">
      <c r="A107" s="146"/>
      <c r="B107" s="139"/>
      <c r="C107" s="10"/>
      <c r="D107" s="11"/>
      <c r="E107" s="6"/>
      <c r="F107" s="10"/>
      <c r="G107" s="8"/>
      <c r="H107" s="9"/>
      <c r="I107" s="8"/>
      <c r="J107" s="1" t="e">
        <f>1-VLOOKUP(H107,'Modell-Kalibrierung'!$B$3:$C$8,2,0)</f>
        <v>#N/A</v>
      </c>
      <c r="K107" s="93">
        <f>IF(ISNA(J107),0,VLOOKUP(G107,'Modell-Kalibrierung'!$B$16:$C$22,2,FALSE)*VLOOKUP(H107,'Modell-Kalibrierung'!$B$3:$C$8,2,0)+VLOOKUP(I107,'Modell-Kalibrierung'!$B$16:$C$22,2,0)*'STEP-Analyse Russland'!J107)</f>
        <v>0</v>
      </c>
      <c r="L107" s="6"/>
    </row>
    <row r="108" spans="1:12" ht="20.25" x14ac:dyDescent="0.2">
      <c r="A108" s="146"/>
      <c r="B108" s="139"/>
      <c r="C108" s="10"/>
      <c r="D108" s="11"/>
      <c r="E108" s="6"/>
      <c r="F108" s="10"/>
      <c r="G108" s="8"/>
      <c r="H108" s="9"/>
      <c r="I108" s="8"/>
      <c r="J108" s="1" t="e">
        <f>1-VLOOKUP(H108,'Modell-Kalibrierung'!$B$3:$C$8,2,0)</f>
        <v>#N/A</v>
      </c>
      <c r="K108" s="93">
        <f>IF(ISNA(J108),0,VLOOKUP(G108,'Modell-Kalibrierung'!$B$16:$C$22,2,FALSE)*VLOOKUP(H108,'Modell-Kalibrierung'!$B$3:$C$8,2,0)+VLOOKUP(I108,'Modell-Kalibrierung'!$B$16:$C$22,2,0)*'STEP-Analyse Russland'!J108)</f>
        <v>0</v>
      </c>
      <c r="L108" s="6"/>
    </row>
    <row r="109" spans="1:12" ht="21" thickBot="1" x14ac:dyDescent="0.25">
      <c r="A109" s="146"/>
      <c r="B109" s="139"/>
      <c r="C109" s="10"/>
      <c r="D109" s="11"/>
      <c r="E109" s="6"/>
      <c r="F109" s="10"/>
      <c r="G109" s="8"/>
      <c r="H109" s="9"/>
      <c r="I109" s="8"/>
      <c r="J109" s="1" t="e">
        <f>1-VLOOKUP(H109,'Modell-Kalibrierung'!$B$3:$C$8,2,0)</f>
        <v>#N/A</v>
      </c>
      <c r="K109" s="93">
        <f>IF(ISNA(J109),0,VLOOKUP(G109,'Modell-Kalibrierung'!$B$16:$C$22,2,FALSE)*VLOOKUP(H109,'Modell-Kalibrierung'!$B$3:$C$8,2,0)+VLOOKUP(I109,'Modell-Kalibrierung'!$B$16:$C$22,2,0)*'STEP-Analyse Russland'!J109)</f>
        <v>0</v>
      </c>
      <c r="L109" s="6"/>
    </row>
    <row r="110" spans="1:12" ht="36" customHeight="1" thickBot="1" x14ac:dyDescent="0.25">
      <c r="A110" s="146"/>
      <c r="B110" s="140"/>
      <c r="C110" s="125" t="str">
        <f>B105</f>
        <v xml:space="preserve">neue Technologien und Produkte </v>
      </c>
      <c r="D110" s="126"/>
      <c r="E110" s="126"/>
      <c r="F110" s="126"/>
      <c r="G110" s="127"/>
      <c r="H110" s="127"/>
      <c r="I110" s="127"/>
      <c r="J110" s="128"/>
      <c r="K110" s="3">
        <f>SUM(K105:K109)</f>
        <v>0</v>
      </c>
      <c r="L110" s="16" t="str">
        <f>IF(K110=0,"0% Anteil am Gesamtprojektrisiko",(K110/$K$123))</f>
        <v>0% Anteil am Gesamtprojektrisiko</v>
      </c>
    </row>
    <row r="111" spans="1:12" ht="20.25" x14ac:dyDescent="0.2">
      <c r="A111" s="146"/>
      <c r="B111" s="141" t="s">
        <v>39</v>
      </c>
      <c r="C111" s="6"/>
      <c r="D111" s="7"/>
      <c r="E111" s="6"/>
      <c r="F111" s="6"/>
      <c r="G111" s="8"/>
      <c r="H111" s="9"/>
      <c r="I111" s="8"/>
      <c r="J111" s="1" t="e">
        <f>1-VLOOKUP(H111,'Modell-Kalibrierung'!$B$3:$C$8,2,0)</f>
        <v>#N/A</v>
      </c>
      <c r="K111" s="93">
        <f>IF(ISNA(J111),0,VLOOKUP(G111,'Modell-Kalibrierung'!$B$16:$C$22,2,FALSE)*VLOOKUP(H111,'Modell-Kalibrierung'!$B$3:$C$8,2,0)+VLOOKUP(I111,'Modell-Kalibrierung'!$B$16:$C$22,2,0)*'STEP-Analyse Russland'!J111)</f>
        <v>0</v>
      </c>
      <c r="L111" s="6"/>
    </row>
    <row r="112" spans="1:12" ht="20.25" x14ac:dyDescent="0.2">
      <c r="A112" s="147"/>
      <c r="B112" s="139"/>
      <c r="C112" s="10"/>
      <c r="D112" s="11"/>
      <c r="E112" s="6"/>
      <c r="F112" s="10"/>
      <c r="G112" s="8"/>
      <c r="H112" s="9"/>
      <c r="I112" s="8"/>
      <c r="J112" s="1" t="e">
        <f>1-VLOOKUP(H112,'Modell-Kalibrierung'!$B$3:$C$8,2,0)</f>
        <v>#N/A</v>
      </c>
      <c r="K112" s="93">
        <f>IF(ISNA(J112),0,VLOOKUP(G112,'Modell-Kalibrierung'!$B$16:$C$22,2,FALSE)*VLOOKUP(H112,'Modell-Kalibrierung'!$B$3:$C$8,2,0)+VLOOKUP(I112,'Modell-Kalibrierung'!$B$16:$C$22,2,0)*'STEP-Analyse Russland'!J112)</f>
        <v>0</v>
      </c>
      <c r="L112" s="6"/>
    </row>
    <row r="113" spans="1:12" ht="20.25" x14ac:dyDescent="0.2">
      <c r="A113" s="147"/>
      <c r="B113" s="139"/>
      <c r="C113" s="10"/>
      <c r="D113" s="11"/>
      <c r="E113" s="6"/>
      <c r="F113" s="10"/>
      <c r="G113" s="8"/>
      <c r="H113" s="9"/>
      <c r="I113" s="8"/>
      <c r="J113" s="1" t="e">
        <f>1-VLOOKUP(H113,'Modell-Kalibrierung'!$B$3:$C$8,2,0)</f>
        <v>#N/A</v>
      </c>
      <c r="K113" s="93">
        <f>IF(ISNA(J113),0,VLOOKUP(G113,'Modell-Kalibrierung'!$B$16:$C$22,2,FALSE)*VLOOKUP(H113,'Modell-Kalibrierung'!$B$3:$C$8,2,0)+VLOOKUP(I113,'Modell-Kalibrierung'!$B$16:$C$22,2,0)*'STEP-Analyse Russland'!J113)</f>
        <v>0</v>
      </c>
      <c r="L113" s="6"/>
    </row>
    <row r="114" spans="1:12" ht="20.25" x14ac:dyDescent="0.2">
      <c r="A114" s="147"/>
      <c r="B114" s="139"/>
      <c r="C114" s="10"/>
      <c r="D114" s="11"/>
      <c r="E114" s="6"/>
      <c r="F114" s="10"/>
      <c r="G114" s="8"/>
      <c r="H114" s="9"/>
      <c r="I114" s="8"/>
      <c r="J114" s="1" t="e">
        <f>1-VLOOKUP(H114,'Modell-Kalibrierung'!$B$3:$C$8,2,0)</f>
        <v>#N/A</v>
      </c>
      <c r="K114" s="93">
        <f>IF(ISNA(J114),0,VLOOKUP(G114,'Modell-Kalibrierung'!$B$16:$C$22,2,FALSE)*VLOOKUP(H114,'Modell-Kalibrierung'!$B$3:$C$8,2,0)+VLOOKUP(I114,'Modell-Kalibrierung'!$B$16:$C$22,2,0)*'STEP-Analyse Russland'!J114)</f>
        <v>0</v>
      </c>
      <c r="L114" s="6"/>
    </row>
    <row r="115" spans="1:12" ht="21" thickBot="1" x14ac:dyDescent="0.25">
      <c r="A115" s="147"/>
      <c r="B115" s="139"/>
      <c r="C115" s="10"/>
      <c r="D115" s="11"/>
      <c r="E115" s="6"/>
      <c r="F115" s="10"/>
      <c r="G115" s="8"/>
      <c r="H115" s="9"/>
      <c r="I115" s="8"/>
      <c r="J115" s="1" t="e">
        <f>1-VLOOKUP(H115,'Modell-Kalibrierung'!$B$3:$C$8,2,0)</f>
        <v>#N/A</v>
      </c>
      <c r="K115" s="93">
        <f>IF(ISNA(J115),0,VLOOKUP(G115,'Modell-Kalibrierung'!$B$16:$C$22,2,FALSE)*VLOOKUP(H115,'Modell-Kalibrierung'!$B$3:$C$8,2,0)+VLOOKUP(I115,'Modell-Kalibrierung'!$B$16:$C$22,2,0)*'STEP-Analyse Russland'!J115)</f>
        <v>0</v>
      </c>
      <c r="L115" s="6"/>
    </row>
    <row r="116" spans="1:12" ht="36" customHeight="1" thickBot="1" x14ac:dyDescent="0.25">
      <c r="A116" s="147"/>
      <c r="B116" s="140"/>
      <c r="C116" s="125" t="str">
        <f>B111</f>
        <v>neue Prozesse</v>
      </c>
      <c r="D116" s="126"/>
      <c r="E116" s="126"/>
      <c r="F116" s="126"/>
      <c r="G116" s="127"/>
      <c r="H116" s="127"/>
      <c r="I116" s="127"/>
      <c r="J116" s="128"/>
      <c r="K116" s="3">
        <f>SUM(K111:K115)</f>
        <v>0</v>
      </c>
      <c r="L116" s="16" t="str">
        <f>IF(K116=0,"0% Anteil am Gesamtprojektrisiko",(K116/$K$123))</f>
        <v>0% Anteil am Gesamtprojektrisiko</v>
      </c>
    </row>
    <row r="117" spans="1:12" ht="20.25" x14ac:dyDescent="0.2">
      <c r="A117" s="147"/>
      <c r="B117" s="141" t="s">
        <v>64</v>
      </c>
      <c r="C117" s="6"/>
      <c r="D117" s="7"/>
      <c r="E117" s="6"/>
      <c r="F117" s="6"/>
      <c r="G117" s="8"/>
      <c r="H117" s="9"/>
      <c r="I117" s="8"/>
      <c r="J117" s="1" t="e">
        <f>1-VLOOKUP(H117,'Modell-Kalibrierung'!$B$3:$C$8,2,0)</f>
        <v>#N/A</v>
      </c>
      <c r="K117" s="93">
        <f>IF(ISNA(J117),0,VLOOKUP(G117,'Modell-Kalibrierung'!$B$16:$C$22,2,FALSE)*VLOOKUP(H117,'Modell-Kalibrierung'!$B$3:$C$8,2,0)+VLOOKUP(I117,'Modell-Kalibrierung'!$B$16:$C$22,2,0)*'STEP-Analyse Russland'!J117)</f>
        <v>0</v>
      </c>
      <c r="L117" s="6"/>
    </row>
    <row r="118" spans="1:12" ht="20.25" x14ac:dyDescent="0.2">
      <c r="A118" s="147"/>
      <c r="B118" s="139"/>
      <c r="C118" s="10"/>
      <c r="D118" s="11"/>
      <c r="E118" s="6"/>
      <c r="F118" s="10"/>
      <c r="G118" s="8"/>
      <c r="H118" s="9"/>
      <c r="I118" s="8"/>
      <c r="J118" s="1" t="e">
        <f>1-VLOOKUP(H118,'Modell-Kalibrierung'!$B$3:$C$8,2,0)</f>
        <v>#N/A</v>
      </c>
      <c r="K118" s="93">
        <f>IF(ISNA(J118),0,VLOOKUP(G118,'Modell-Kalibrierung'!$B$16:$C$22,2,FALSE)*VLOOKUP(H118,'Modell-Kalibrierung'!$B$3:$C$8,2,0)+VLOOKUP(I118,'Modell-Kalibrierung'!$B$16:$C$22,2,0)*'STEP-Analyse Russland'!J118)</f>
        <v>0</v>
      </c>
      <c r="L118" s="6"/>
    </row>
    <row r="119" spans="1:12" ht="20.25" x14ac:dyDescent="0.2">
      <c r="A119" s="147"/>
      <c r="B119" s="139"/>
      <c r="C119" s="10"/>
      <c r="D119" s="11"/>
      <c r="E119" s="6"/>
      <c r="F119" s="10"/>
      <c r="G119" s="8"/>
      <c r="H119" s="9"/>
      <c r="I119" s="8"/>
      <c r="J119" s="1" t="e">
        <f>1-VLOOKUP(H119,'Modell-Kalibrierung'!$B$3:$C$8,2,0)</f>
        <v>#N/A</v>
      </c>
      <c r="K119" s="93">
        <f>IF(ISNA(J119),0,VLOOKUP(G119,'Modell-Kalibrierung'!$B$16:$C$22,2,FALSE)*VLOOKUP(H119,'Modell-Kalibrierung'!$B$3:$C$8,2,0)+VLOOKUP(I119,'Modell-Kalibrierung'!$B$16:$C$22,2,0)*'STEP-Analyse Russland'!J119)</f>
        <v>0</v>
      </c>
      <c r="L119" s="6"/>
    </row>
    <row r="120" spans="1:12" ht="20.25" x14ac:dyDescent="0.2">
      <c r="A120" s="147"/>
      <c r="B120" s="139"/>
      <c r="C120" s="10"/>
      <c r="D120" s="11"/>
      <c r="E120" s="6"/>
      <c r="F120" s="10"/>
      <c r="G120" s="8"/>
      <c r="H120" s="9"/>
      <c r="I120" s="8"/>
      <c r="J120" s="1" t="e">
        <f>1-VLOOKUP(H120,'Modell-Kalibrierung'!$B$3:$C$8,2,0)</f>
        <v>#N/A</v>
      </c>
      <c r="K120" s="93">
        <f>IF(ISNA(J120),0,VLOOKUP(G120,'Modell-Kalibrierung'!$B$16:$C$22,2,FALSE)*VLOOKUP(H120,'Modell-Kalibrierung'!$B$3:$C$8,2,0)+VLOOKUP(I120,'Modell-Kalibrierung'!$B$16:$C$22,2,0)*'STEP-Analyse Russland'!J120)</f>
        <v>0</v>
      </c>
      <c r="L120" s="6"/>
    </row>
    <row r="121" spans="1:12" ht="21" thickBot="1" x14ac:dyDescent="0.25">
      <c r="A121" s="147"/>
      <c r="B121" s="139"/>
      <c r="C121" s="10"/>
      <c r="D121" s="11"/>
      <c r="E121" s="6"/>
      <c r="F121" s="10"/>
      <c r="G121" s="8"/>
      <c r="H121" s="9"/>
      <c r="I121" s="8"/>
      <c r="J121" s="1" t="e">
        <f>1-VLOOKUP(H121,'Modell-Kalibrierung'!$B$3:$C$8,2,0)</f>
        <v>#N/A</v>
      </c>
      <c r="K121" s="93">
        <f>IF(ISNA(J121),0,VLOOKUP(G121,'Modell-Kalibrierung'!$B$16:$C$22,2,FALSE)*VLOOKUP(H121,'Modell-Kalibrierung'!$B$3:$C$8,2,0)+VLOOKUP(I121,'Modell-Kalibrierung'!$B$16:$C$22,2,0)*'STEP-Analyse Russland'!J121)</f>
        <v>0</v>
      </c>
      <c r="L121" s="6"/>
    </row>
    <row r="122" spans="1:12" ht="36" customHeight="1" thickBot="1" x14ac:dyDescent="0.25">
      <c r="A122" s="147"/>
      <c r="B122" s="139"/>
      <c r="C122" s="125" t="str">
        <f>B117</f>
        <v>Produktlebenszyklen</v>
      </c>
      <c r="D122" s="126"/>
      <c r="E122" s="126"/>
      <c r="F122" s="126"/>
      <c r="G122" s="127"/>
      <c r="H122" s="127"/>
      <c r="I122" s="127"/>
      <c r="J122" s="128"/>
      <c r="K122" s="4">
        <f>SUM(K117:K121)</f>
        <v>0</v>
      </c>
      <c r="L122" s="16" t="str">
        <f>IF(K122=0,"0% Anteil am Gesamtprojektrisiko",(K122/$K$123))</f>
        <v>0% Anteil am Gesamtprojektrisiko</v>
      </c>
    </row>
    <row r="123" spans="1:12" ht="63.75" customHeight="1" thickBot="1" x14ac:dyDescent="0.25">
      <c r="A123" s="142" t="s">
        <v>32</v>
      </c>
      <c r="B123" s="143"/>
      <c r="C123" s="143"/>
      <c r="D123" s="143"/>
      <c r="E123" s="143"/>
      <c r="F123" s="143"/>
      <c r="G123" s="143"/>
      <c r="H123" s="143"/>
      <c r="I123" s="143"/>
      <c r="J123" s="143"/>
      <c r="K123" s="60">
        <f>M31</f>
        <v>0</v>
      </c>
      <c r="L123" s="15"/>
    </row>
    <row r="124" spans="1:12" x14ac:dyDescent="0.2">
      <c r="A124" s="36"/>
      <c r="B124" s="36"/>
      <c r="C124" s="36"/>
      <c r="D124" s="36"/>
      <c r="E124" s="36"/>
      <c r="F124" s="36"/>
      <c r="G124" s="36"/>
      <c r="H124" s="36"/>
      <c r="I124" s="36"/>
      <c r="J124" s="36"/>
      <c r="K124" s="36"/>
    </row>
    <row r="125" spans="1:12" x14ac:dyDescent="0.2">
      <c r="A125" s="36"/>
      <c r="B125" s="36"/>
      <c r="C125" s="36"/>
      <c r="D125" s="36"/>
      <c r="E125" s="36"/>
      <c r="F125" s="36"/>
      <c r="G125" s="36"/>
      <c r="H125" s="36"/>
      <c r="I125" s="36"/>
      <c r="J125" s="94"/>
      <c r="K125" s="94"/>
      <c r="L125" s="94"/>
    </row>
    <row r="126" spans="1:12" ht="20.25" x14ac:dyDescent="0.2">
      <c r="A126" s="36"/>
      <c r="B126" s="36"/>
      <c r="C126" s="36"/>
      <c r="D126" s="36"/>
      <c r="E126" s="36"/>
      <c r="F126" s="36"/>
      <c r="G126" s="36"/>
      <c r="H126" s="36"/>
      <c r="I126" s="36"/>
      <c r="J126" s="95"/>
      <c r="K126" s="96"/>
      <c r="L126" s="94"/>
    </row>
    <row r="127" spans="1:12" x14ac:dyDescent="0.2">
      <c r="A127" s="36"/>
      <c r="B127" s="36"/>
      <c r="C127" s="36"/>
      <c r="D127" s="36"/>
      <c r="E127" s="36"/>
      <c r="F127" s="36"/>
      <c r="G127" s="36"/>
      <c r="H127" s="36"/>
      <c r="I127" s="36"/>
      <c r="J127" s="94"/>
      <c r="K127" s="94"/>
      <c r="L127" s="94"/>
    </row>
    <row r="128" spans="1:12" x14ac:dyDescent="0.2">
      <c r="A128" s="36"/>
      <c r="B128" s="36"/>
      <c r="C128" s="36"/>
      <c r="D128" s="36"/>
      <c r="E128" s="36"/>
      <c r="F128" s="36"/>
      <c r="G128" s="36"/>
      <c r="H128" s="36"/>
      <c r="I128" s="36"/>
      <c r="J128" s="94"/>
      <c r="K128" s="94"/>
      <c r="L128" s="94"/>
    </row>
    <row r="129" spans="1:36" x14ac:dyDescent="0.2">
      <c r="A129" s="36"/>
      <c r="B129" s="36"/>
      <c r="C129" s="36"/>
      <c r="D129" s="36"/>
      <c r="E129" s="36"/>
      <c r="F129" s="36"/>
      <c r="G129" s="36"/>
      <c r="H129" s="36"/>
      <c r="I129" s="36"/>
      <c r="J129" s="94"/>
      <c r="K129" s="94"/>
      <c r="L129" s="94"/>
    </row>
    <row r="130" spans="1:36" x14ac:dyDescent="0.2">
      <c r="A130" s="36"/>
      <c r="B130" s="36"/>
      <c r="C130" s="36"/>
      <c r="D130" s="36"/>
      <c r="E130" s="36"/>
      <c r="F130" s="36"/>
      <c r="G130" s="36"/>
      <c r="H130" s="36"/>
      <c r="I130" s="36"/>
      <c r="J130" s="94"/>
      <c r="K130" s="94"/>
      <c r="L130" s="94"/>
    </row>
    <row r="131" spans="1:36" x14ac:dyDescent="0.2">
      <c r="A131" s="36"/>
      <c r="B131" s="36"/>
      <c r="C131" s="36"/>
      <c r="D131" s="36"/>
      <c r="E131" s="36"/>
      <c r="F131" s="36"/>
      <c r="G131" s="36"/>
      <c r="H131" s="36"/>
      <c r="I131" s="36"/>
      <c r="J131" s="94"/>
      <c r="K131" s="94"/>
      <c r="L131" s="94"/>
    </row>
    <row r="132" spans="1:36" x14ac:dyDescent="0.2">
      <c r="A132" s="36"/>
      <c r="B132" s="36"/>
      <c r="C132" s="36"/>
      <c r="D132" s="36"/>
      <c r="E132" s="36"/>
      <c r="F132" s="36"/>
      <c r="G132" s="36"/>
      <c r="H132" s="36"/>
      <c r="I132" s="36"/>
      <c r="J132" s="94"/>
      <c r="K132" s="94"/>
      <c r="L132" s="94"/>
      <c r="AF132" s="97"/>
      <c r="AG132" s="97"/>
      <c r="AH132" s="97"/>
      <c r="AI132" s="97"/>
      <c r="AJ132" s="97"/>
    </row>
    <row r="133" spans="1:36" ht="20.25" x14ac:dyDescent="0.2">
      <c r="A133" s="36"/>
      <c r="B133" s="36"/>
      <c r="C133" s="36"/>
      <c r="D133" s="36"/>
      <c r="E133" s="36"/>
      <c r="F133" s="36"/>
      <c r="G133" s="36"/>
      <c r="H133" s="36"/>
      <c r="I133" s="36"/>
      <c r="J133" s="95"/>
      <c r="K133" s="96"/>
      <c r="L133" s="94"/>
    </row>
    <row r="134" spans="1:36" x14ac:dyDescent="0.2">
      <c r="A134" s="36"/>
      <c r="B134" s="36"/>
      <c r="C134" s="36"/>
      <c r="D134" s="36"/>
      <c r="E134" s="36"/>
      <c r="F134" s="36"/>
      <c r="G134" s="36"/>
      <c r="H134" s="36"/>
      <c r="I134" s="36"/>
      <c r="J134" s="94"/>
      <c r="K134" s="94"/>
      <c r="L134" s="94"/>
    </row>
    <row r="135" spans="1:36" x14ac:dyDescent="0.2">
      <c r="A135" s="36"/>
      <c r="B135" s="36"/>
      <c r="C135" s="36"/>
      <c r="D135" s="36"/>
      <c r="E135" s="36"/>
      <c r="F135" s="36"/>
      <c r="G135" s="36"/>
      <c r="H135" s="36"/>
      <c r="I135" s="36"/>
      <c r="J135" s="94"/>
      <c r="K135" s="94"/>
      <c r="L135" s="94"/>
    </row>
    <row r="136" spans="1:36" x14ac:dyDescent="0.2">
      <c r="A136" s="36"/>
      <c r="B136" s="36"/>
      <c r="C136" s="36"/>
      <c r="D136" s="36"/>
      <c r="E136" s="36"/>
      <c r="F136" s="36"/>
      <c r="G136" s="36"/>
      <c r="H136" s="36"/>
      <c r="I136" s="36"/>
      <c r="J136" s="94"/>
      <c r="K136" s="94"/>
      <c r="L136" s="94"/>
    </row>
    <row r="137" spans="1:36" x14ac:dyDescent="0.2">
      <c r="A137" s="36"/>
      <c r="B137" s="36"/>
      <c r="C137" s="36"/>
      <c r="D137" s="36"/>
      <c r="E137" s="36"/>
      <c r="F137" s="36"/>
      <c r="G137" s="36"/>
      <c r="H137" s="36"/>
      <c r="I137" s="36"/>
      <c r="J137" s="94"/>
      <c r="K137" s="94"/>
      <c r="L137" s="94"/>
    </row>
    <row r="138" spans="1:36" x14ac:dyDescent="0.2">
      <c r="A138" s="36"/>
      <c r="B138" s="36"/>
      <c r="C138" s="36"/>
      <c r="D138" s="36"/>
      <c r="E138" s="36"/>
      <c r="F138" s="36"/>
      <c r="G138" s="36"/>
      <c r="H138" s="36"/>
      <c r="I138" s="36"/>
      <c r="J138" s="94"/>
      <c r="K138" s="94"/>
      <c r="L138" s="94"/>
    </row>
    <row r="139" spans="1:36" x14ac:dyDescent="0.2">
      <c r="A139" s="36"/>
      <c r="B139" s="36"/>
      <c r="C139" s="36"/>
      <c r="D139" s="36"/>
      <c r="E139" s="36"/>
      <c r="F139" s="36"/>
      <c r="G139" s="36"/>
      <c r="H139" s="36"/>
      <c r="I139" s="36"/>
      <c r="J139" s="94"/>
      <c r="K139" s="94"/>
      <c r="L139" s="94"/>
    </row>
    <row r="140" spans="1:36" ht="20.25" x14ac:dyDescent="0.2">
      <c r="A140" s="36"/>
      <c r="B140" s="36"/>
      <c r="C140" s="36"/>
      <c r="D140" s="36"/>
      <c r="E140" s="36"/>
      <c r="F140" s="36"/>
      <c r="G140" s="36"/>
      <c r="H140" s="36"/>
      <c r="I140" s="36"/>
      <c r="J140" s="95"/>
      <c r="K140" s="96"/>
      <c r="L140" s="94"/>
    </row>
    <row r="141" spans="1:36" x14ac:dyDescent="0.2">
      <c r="A141" s="36"/>
      <c r="B141" s="36"/>
      <c r="C141" s="36"/>
      <c r="D141" s="36"/>
      <c r="E141" s="36"/>
      <c r="F141" s="36"/>
      <c r="G141" s="36"/>
      <c r="H141" s="36"/>
      <c r="I141" s="36"/>
      <c r="J141" s="94"/>
      <c r="K141" s="94"/>
      <c r="L141" s="94"/>
    </row>
    <row r="142" spans="1:36" x14ac:dyDescent="0.2">
      <c r="A142" s="36"/>
      <c r="B142" s="36"/>
      <c r="C142" s="36"/>
      <c r="D142" s="36"/>
      <c r="E142" s="36"/>
      <c r="F142" s="36"/>
      <c r="G142" s="36"/>
      <c r="H142" s="36"/>
      <c r="I142" s="36"/>
      <c r="J142" s="94"/>
      <c r="K142" s="94"/>
      <c r="L142" s="94"/>
    </row>
    <row r="143" spans="1:36" x14ac:dyDescent="0.2">
      <c r="A143" s="36"/>
      <c r="B143" s="36"/>
      <c r="C143" s="36"/>
      <c r="D143" s="36"/>
      <c r="E143" s="36"/>
      <c r="F143" s="36"/>
      <c r="G143" s="36"/>
      <c r="H143" s="36"/>
      <c r="I143" s="36"/>
      <c r="J143" s="36"/>
      <c r="K143" s="36"/>
      <c r="L143" s="36"/>
    </row>
    <row r="144" spans="1:36" x14ac:dyDescent="0.2">
      <c r="A144" s="36"/>
      <c r="B144" s="36"/>
      <c r="C144" s="36"/>
      <c r="D144" s="36"/>
      <c r="E144" s="36"/>
      <c r="F144" s="36"/>
      <c r="G144" s="36"/>
      <c r="H144" s="36"/>
      <c r="I144" s="36"/>
      <c r="J144" s="36"/>
      <c r="K144" s="36"/>
      <c r="L144" s="36"/>
    </row>
    <row r="145" spans="1:31" x14ac:dyDescent="0.2">
      <c r="A145" s="36"/>
      <c r="B145" s="36"/>
      <c r="C145" s="36"/>
      <c r="D145" s="36"/>
      <c r="E145" s="36"/>
      <c r="F145" s="36"/>
      <c r="G145" s="36"/>
      <c r="H145" s="36"/>
      <c r="I145" s="36"/>
      <c r="J145" s="36"/>
      <c r="K145" s="36"/>
      <c r="L145" s="36"/>
    </row>
    <row r="146" spans="1:31" x14ac:dyDescent="0.2">
      <c r="A146" s="36"/>
      <c r="B146" s="36"/>
      <c r="C146" s="36"/>
      <c r="D146" s="36"/>
      <c r="E146" s="36"/>
      <c r="F146" s="36"/>
      <c r="G146" s="36"/>
      <c r="H146" s="36"/>
      <c r="I146" s="36"/>
      <c r="J146" s="36"/>
      <c r="K146" s="36"/>
      <c r="L146" s="36"/>
    </row>
    <row r="147" spans="1:31" x14ac:dyDescent="0.2">
      <c r="A147" s="36"/>
      <c r="B147" s="36"/>
      <c r="C147" s="36"/>
      <c r="D147" s="36"/>
      <c r="E147" s="36"/>
      <c r="F147" s="36"/>
      <c r="G147" s="36"/>
      <c r="H147" s="36"/>
      <c r="I147" s="36"/>
      <c r="J147" s="36"/>
      <c r="K147" s="36"/>
      <c r="L147" s="36"/>
    </row>
    <row r="148" spans="1:31" x14ac:dyDescent="0.2">
      <c r="A148" s="36"/>
      <c r="B148" s="36"/>
      <c r="C148" s="36"/>
      <c r="D148" s="36"/>
      <c r="E148" s="36"/>
      <c r="F148" s="36"/>
      <c r="G148" s="36"/>
      <c r="H148" s="36"/>
      <c r="I148" s="36"/>
      <c r="J148" s="36"/>
      <c r="K148" s="36"/>
      <c r="L148" s="36"/>
    </row>
    <row r="149" spans="1:31" x14ac:dyDescent="0.2">
      <c r="A149" s="36"/>
      <c r="B149" s="36"/>
      <c r="C149" s="36"/>
      <c r="D149" s="36"/>
      <c r="E149" s="36"/>
      <c r="F149" s="36"/>
      <c r="G149" s="36"/>
      <c r="H149" s="36"/>
      <c r="I149" s="36"/>
      <c r="J149" s="36"/>
      <c r="K149" s="36"/>
      <c r="L149" s="36"/>
    </row>
    <row r="150" spans="1:31" x14ac:dyDescent="0.2">
      <c r="A150" s="36"/>
      <c r="B150" s="36"/>
      <c r="C150" s="36"/>
      <c r="D150" s="36"/>
      <c r="E150" s="36"/>
      <c r="F150" s="36"/>
      <c r="G150" s="36"/>
      <c r="H150" s="36"/>
      <c r="I150" s="36"/>
      <c r="J150" s="36"/>
      <c r="K150" s="36"/>
      <c r="L150" s="36"/>
    </row>
    <row r="151" spans="1:31" x14ac:dyDescent="0.2">
      <c r="A151" s="36"/>
      <c r="B151" s="36"/>
      <c r="C151" s="36"/>
      <c r="D151" s="36"/>
      <c r="E151" s="36"/>
      <c r="F151" s="36"/>
      <c r="G151" s="36"/>
      <c r="H151" s="36"/>
      <c r="I151" s="36"/>
      <c r="J151" s="36"/>
      <c r="K151" s="36"/>
      <c r="L151" s="36"/>
    </row>
    <row r="152" spans="1:31" x14ac:dyDescent="0.2">
      <c r="A152" s="36"/>
      <c r="B152" s="36"/>
      <c r="C152" s="36"/>
      <c r="D152" s="36"/>
      <c r="E152" s="36"/>
      <c r="F152" s="36"/>
      <c r="G152" s="36"/>
      <c r="H152" s="36"/>
      <c r="I152" s="36"/>
      <c r="J152" s="36"/>
      <c r="K152" s="36"/>
      <c r="L152" s="36"/>
    </row>
    <row r="153" spans="1:31" x14ac:dyDescent="0.2">
      <c r="A153" s="36"/>
      <c r="B153" s="36"/>
      <c r="C153" s="36"/>
      <c r="D153" s="36"/>
      <c r="E153" s="36"/>
      <c r="F153" s="36"/>
      <c r="G153" s="36"/>
      <c r="H153" s="36"/>
      <c r="I153" s="36"/>
      <c r="J153" s="36"/>
      <c r="K153" s="36"/>
      <c r="L153" s="36"/>
    </row>
    <row r="154" spans="1:31" x14ac:dyDescent="0.2">
      <c r="A154" s="36"/>
      <c r="B154" s="36"/>
      <c r="C154" s="36"/>
      <c r="D154" s="36"/>
      <c r="E154" s="36"/>
      <c r="F154" s="36"/>
      <c r="G154" s="36"/>
      <c r="H154" s="36"/>
      <c r="I154" s="36"/>
      <c r="J154" s="36"/>
      <c r="K154" s="36"/>
      <c r="L154" s="36"/>
    </row>
    <row r="155" spans="1:31" x14ac:dyDescent="0.2">
      <c r="A155" s="36"/>
      <c r="B155" s="36"/>
      <c r="C155" s="36"/>
      <c r="D155" s="36"/>
      <c r="E155" s="36"/>
      <c r="F155" s="36"/>
      <c r="G155" s="36"/>
      <c r="H155" s="36"/>
      <c r="I155" s="36"/>
      <c r="J155" s="36"/>
      <c r="K155" s="36"/>
      <c r="L155" s="36"/>
    </row>
    <row r="156" spans="1:31" x14ac:dyDescent="0.2">
      <c r="A156" s="36"/>
      <c r="B156" s="36"/>
      <c r="C156" s="36"/>
      <c r="D156" s="36"/>
      <c r="E156" s="36"/>
      <c r="F156" s="36"/>
      <c r="G156" s="36"/>
      <c r="H156" s="36"/>
      <c r="I156" s="36"/>
      <c r="J156" s="36"/>
      <c r="K156" s="36"/>
      <c r="L156" s="36"/>
    </row>
    <row r="157" spans="1:31" x14ac:dyDescent="0.2">
      <c r="A157" s="36"/>
      <c r="B157" s="36"/>
      <c r="C157" s="36"/>
      <c r="D157" s="36"/>
      <c r="E157" s="36"/>
      <c r="F157" s="36"/>
      <c r="G157" s="36"/>
      <c r="H157" s="36"/>
      <c r="I157" s="36"/>
      <c r="J157" s="36"/>
      <c r="K157" s="36"/>
      <c r="L157" s="36"/>
    </row>
    <row r="158" spans="1:31" x14ac:dyDescent="0.2">
      <c r="A158" s="36"/>
      <c r="B158" s="36"/>
      <c r="C158" s="36"/>
      <c r="D158" s="36"/>
      <c r="E158" s="36"/>
      <c r="F158" s="36"/>
      <c r="G158" s="36"/>
      <c r="H158" s="36"/>
      <c r="I158" s="36"/>
      <c r="J158" s="36"/>
      <c r="K158" s="36"/>
      <c r="L158" s="36"/>
    </row>
    <row r="159" spans="1:31" x14ac:dyDescent="0.2">
      <c r="A159" s="36"/>
      <c r="B159" s="36"/>
      <c r="C159" s="36"/>
      <c r="D159" s="36"/>
      <c r="E159" s="36"/>
      <c r="F159" s="36"/>
      <c r="G159" s="36"/>
      <c r="H159" s="36"/>
      <c r="I159" s="36"/>
      <c r="J159" s="36"/>
      <c r="K159" s="36"/>
      <c r="L159" s="36"/>
    </row>
    <row r="160" spans="1:31" x14ac:dyDescent="0.2">
      <c r="A160" s="36"/>
      <c r="B160" s="36"/>
      <c r="C160" s="36"/>
      <c r="D160" s="36"/>
      <c r="E160" s="36"/>
      <c r="F160" s="36"/>
      <c r="G160" s="36"/>
      <c r="H160" s="36"/>
      <c r="I160" s="36"/>
      <c r="J160" s="36"/>
      <c r="K160" s="36"/>
      <c r="L160" s="36"/>
      <c r="P160" s="98"/>
      <c r="Q160" s="98"/>
      <c r="R160" s="98"/>
      <c r="S160" s="98"/>
      <c r="T160" s="98"/>
      <c r="U160" s="98"/>
      <c r="V160" s="98"/>
      <c r="W160" s="98"/>
      <c r="X160" s="98"/>
      <c r="Y160" s="98"/>
      <c r="Z160" s="98"/>
      <c r="AA160" s="98"/>
      <c r="AB160" s="98"/>
      <c r="AC160" s="98"/>
      <c r="AD160" s="98"/>
      <c r="AE160" s="98"/>
    </row>
    <row r="161" spans="1:31" x14ac:dyDescent="0.2">
      <c r="A161" s="36"/>
      <c r="B161" s="36"/>
      <c r="C161" s="36"/>
      <c r="D161" s="36"/>
      <c r="E161" s="36"/>
      <c r="F161" s="36"/>
      <c r="G161" s="36"/>
      <c r="H161" s="36"/>
      <c r="I161" s="36"/>
      <c r="J161" s="36"/>
      <c r="K161" s="36"/>
      <c r="L161" s="36"/>
      <c r="P161" s="98"/>
      <c r="Q161" s="98"/>
      <c r="R161" s="98"/>
      <c r="S161" s="98"/>
      <c r="T161" s="98"/>
      <c r="U161" s="98"/>
      <c r="V161" s="98"/>
      <c r="W161" s="98"/>
      <c r="X161" s="98"/>
      <c r="Y161" s="98"/>
      <c r="Z161" s="98"/>
      <c r="AA161" s="98"/>
      <c r="AB161" s="98"/>
      <c r="AC161" s="98"/>
      <c r="AD161" s="98"/>
      <c r="AE161" s="98"/>
    </row>
    <row r="162" spans="1:31" x14ac:dyDescent="0.2">
      <c r="A162" s="36"/>
      <c r="B162" s="36"/>
      <c r="C162" s="36"/>
      <c r="D162" s="36"/>
      <c r="E162" s="36"/>
      <c r="F162" s="36"/>
      <c r="G162" s="36"/>
      <c r="H162" s="36"/>
      <c r="I162" s="36"/>
      <c r="J162" s="36"/>
      <c r="K162" s="36"/>
      <c r="L162" s="36"/>
      <c r="P162" s="98"/>
      <c r="Q162" s="98"/>
      <c r="R162" s="98"/>
      <c r="S162" s="98"/>
      <c r="T162" s="98"/>
      <c r="U162" s="98"/>
      <c r="V162" s="98"/>
      <c r="W162" s="98"/>
      <c r="X162" s="98"/>
      <c r="Y162" s="98"/>
      <c r="Z162" s="98"/>
      <c r="AA162" s="98"/>
      <c r="AB162" s="98"/>
      <c r="AC162" s="98"/>
      <c r="AD162" s="98"/>
      <c r="AE162" s="98"/>
    </row>
    <row r="163" spans="1:31" x14ac:dyDescent="0.2">
      <c r="A163" s="36"/>
      <c r="B163" s="36"/>
      <c r="C163" s="36"/>
      <c r="D163" s="36"/>
      <c r="E163" s="36"/>
      <c r="F163" s="36"/>
      <c r="G163" s="36"/>
      <c r="H163" s="36"/>
      <c r="I163" s="36"/>
      <c r="J163" s="36"/>
      <c r="K163" s="36"/>
      <c r="L163" s="36"/>
      <c r="P163" s="98"/>
      <c r="Q163" s="98"/>
      <c r="R163" s="98"/>
      <c r="S163" s="98"/>
      <c r="T163" s="98"/>
      <c r="U163" s="98"/>
      <c r="V163" s="98"/>
      <c r="W163" s="98"/>
      <c r="X163" s="98"/>
      <c r="Y163" s="98"/>
      <c r="Z163" s="98"/>
      <c r="AA163" s="98"/>
      <c r="AB163" s="98"/>
      <c r="AC163" s="98"/>
      <c r="AD163" s="98"/>
      <c r="AE163" s="98"/>
    </row>
    <row r="164" spans="1:31" x14ac:dyDescent="0.2">
      <c r="A164" s="36"/>
      <c r="B164" s="36"/>
      <c r="C164" s="36"/>
      <c r="D164" s="36"/>
      <c r="E164" s="36"/>
      <c r="F164" s="36"/>
      <c r="G164" s="36"/>
      <c r="H164" s="36"/>
      <c r="I164" s="36"/>
      <c r="J164" s="36"/>
      <c r="K164" s="36"/>
      <c r="L164" s="36"/>
      <c r="P164" s="98"/>
      <c r="Q164" s="98"/>
      <c r="R164" s="98"/>
      <c r="S164" s="98"/>
      <c r="T164" s="98"/>
      <c r="U164" s="98"/>
      <c r="V164" s="98"/>
      <c r="W164" s="98"/>
      <c r="X164" s="98"/>
      <c r="Y164" s="98"/>
      <c r="Z164" s="98"/>
      <c r="AA164" s="98"/>
      <c r="AB164" s="98"/>
      <c r="AC164" s="98"/>
      <c r="AD164" s="98"/>
      <c r="AE164" s="98"/>
    </row>
    <row r="165" spans="1:31" x14ac:dyDescent="0.2">
      <c r="A165" s="36"/>
      <c r="B165" s="36"/>
      <c r="C165" s="36"/>
      <c r="D165" s="36"/>
      <c r="E165" s="36"/>
      <c r="F165" s="36"/>
      <c r="G165" s="36"/>
      <c r="H165" s="36"/>
      <c r="I165" s="36"/>
      <c r="J165" s="36"/>
      <c r="K165" s="36"/>
      <c r="L165" s="36"/>
    </row>
    <row r="166" spans="1:31" x14ac:dyDescent="0.2">
      <c r="A166" s="36"/>
      <c r="B166" s="36"/>
      <c r="C166" s="36"/>
      <c r="D166" s="36"/>
      <c r="E166" s="36"/>
      <c r="F166" s="36"/>
      <c r="G166" s="36"/>
      <c r="H166" s="36"/>
      <c r="I166" s="36"/>
      <c r="J166" s="36"/>
      <c r="K166" s="36"/>
      <c r="L166" s="36"/>
    </row>
    <row r="167" spans="1:31" x14ac:dyDescent="0.2">
      <c r="A167" s="36"/>
      <c r="B167" s="36"/>
      <c r="C167" s="36"/>
      <c r="D167" s="36"/>
      <c r="E167" s="36"/>
      <c r="F167" s="36"/>
      <c r="G167" s="36"/>
      <c r="H167" s="36"/>
      <c r="I167" s="36"/>
      <c r="J167" s="36"/>
      <c r="K167" s="36"/>
      <c r="L167" s="36"/>
    </row>
    <row r="168" spans="1:31" x14ac:dyDescent="0.2">
      <c r="A168" s="36"/>
      <c r="B168" s="36"/>
      <c r="C168" s="36"/>
      <c r="D168" s="36"/>
      <c r="E168" s="36"/>
      <c r="F168" s="36"/>
      <c r="G168" s="36"/>
      <c r="H168" s="36"/>
      <c r="I168" s="36"/>
      <c r="J168" s="36"/>
      <c r="K168" s="36"/>
      <c r="L168" s="36"/>
    </row>
    <row r="169" spans="1:31" x14ac:dyDescent="0.2">
      <c r="A169" s="36"/>
      <c r="B169" s="36"/>
      <c r="C169" s="36"/>
      <c r="D169" s="36"/>
      <c r="E169" s="36"/>
      <c r="F169" s="36"/>
      <c r="G169" s="36"/>
      <c r="H169" s="36"/>
      <c r="I169" s="36"/>
      <c r="J169" s="36"/>
      <c r="K169" s="36"/>
      <c r="L169" s="36"/>
    </row>
    <row r="170" spans="1:31" x14ac:dyDescent="0.2">
      <c r="A170" s="36"/>
      <c r="B170" s="36"/>
      <c r="C170" s="36"/>
      <c r="D170" s="36"/>
      <c r="E170" s="36"/>
      <c r="F170" s="36"/>
      <c r="G170" s="36"/>
      <c r="H170" s="36"/>
      <c r="I170" s="36"/>
      <c r="J170" s="36"/>
      <c r="K170" s="36"/>
      <c r="L170" s="36"/>
    </row>
    <row r="171" spans="1:31" x14ac:dyDescent="0.2">
      <c r="A171" s="36"/>
      <c r="B171" s="36"/>
      <c r="C171" s="36"/>
      <c r="D171" s="36"/>
      <c r="E171" s="36"/>
      <c r="F171" s="36"/>
      <c r="G171" s="36"/>
      <c r="H171" s="36"/>
      <c r="I171" s="36"/>
      <c r="J171" s="36"/>
      <c r="K171" s="36"/>
      <c r="L171" s="36"/>
    </row>
    <row r="172" spans="1:31" x14ac:dyDescent="0.2">
      <c r="A172" s="36"/>
      <c r="B172" s="36"/>
      <c r="C172" s="36"/>
      <c r="D172" s="36"/>
      <c r="E172" s="36"/>
      <c r="F172" s="36"/>
      <c r="G172" s="36"/>
      <c r="H172" s="36"/>
      <c r="I172" s="36"/>
      <c r="J172" s="36"/>
      <c r="K172" s="36"/>
      <c r="L172" s="36"/>
    </row>
    <row r="173" spans="1:31" x14ac:dyDescent="0.2">
      <c r="A173" s="36"/>
      <c r="B173" s="36"/>
      <c r="C173" s="36"/>
      <c r="D173" s="36"/>
      <c r="E173" s="36"/>
      <c r="F173" s="36"/>
      <c r="G173" s="36"/>
      <c r="H173" s="36"/>
      <c r="I173" s="36"/>
      <c r="J173" s="36"/>
      <c r="K173" s="36"/>
      <c r="L173" s="36"/>
    </row>
    <row r="174" spans="1:31" x14ac:dyDescent="0.2">
      <c r="A174" s="36"/>
      <c r="B174" s="36"/>
      <c r="C174" s="36"/>
      <c r="D174" s="36"/>
      <c r="E174" s="36"/>
      <c r="F174" s="36"/>
      <c r="G174" s="36"/>
      <c r="H174" s="36"/>
      <c r="I174" s="36"/>
      <c r="J174" s="36"/>
      <c r="K174" s="36"/>
      <c r="L174" s="36"/>
    </row>
    <row r="175" spans="1:31" x14ac:dyDescent="0.2">
      <c r="A175" s="36"/>
      <c r="B175" s="36"/>
      <c r="C175" s="36"/>
      <c r="D175" s="36"/>
      <c r="E175" s="36"/>
      <c r="F175" s="36"/>
      <c r="G175" s="36"/>
      <c r="H175" s="36"/>
      <c r="I175" s="36"/>
      <c r="J175" s="36"/>
      <c r="K175" s="36"/>
      <c r="L175" s="36"/>
    </row>
    <row r="176" spans="1:31" x14ac:dyDescent="0.2">
      <c r="A176" s="36"/>
      <c r="B176" s="36"/>
      <c r="C176" s="36"/>
      <c r="D176" s="36"/>
      <c r="E176" s="36"/>
      <c r="F176" s="36"/>
      <c r="G176" s="36"/>
      <c r="H176" s="36"/>
      <c r="I176" s="36"/>
      <c r="J176" s="36"/>
      <c r="K176" s="36"/>
      <c r="L176" s="36"/>
    </row>
    <row r="177" spans="1:31" x14ac:dyDescent="0.2">
      <c r="A177" s="36"/>
      <c r="B177" s="36"/>
      <c r="C177" s="36"/>
      <c r="D177" s="36"/>
      <c r="E177" s="36"/>
      <c r="F177" s="36"/>
      <c r="G177" s="36"/>
      <c r="H177" s="36"/>
      <c r="I177" s="36"/>
      <c r="J177" s="36"/>
      <c r="K177" s="36"/>
      <c r="L177" s="36"/>
    </row>
    <row r="178" spans="1:31" s="36" customFormat="1" x14ac:dyDescent="0.2">
      <c r="M178" s="54"/>
      <c r="N178" s="54"/>
      <c r="O178" s="104"/>
      <c r="P178" s="104"/>
      <c r="Q178" s="104"/>
      <c r="R178" s="104"/>
      <c r="S178" s="104"/>
      <c r="T178" s="104"/>
      <c r="U178" s="104"/>
      <c r="V178" s="104"/>
      <c r="W178" s="104"/>
      <c r="X178" s="104"/>
      <c r="Y178" s="104"/>
      <c r="Z178" s="104"/>
      <c r="AA178" s="104"/>
      <c r="AB178" s="104"/>
      <c r="AC178" s="104"/>
      <c r="AD178" s="104"/>
      <c r="AE178" s="104"/>
    </row>
    <row r="179" spans="1:31" s="36" customFormat="1" x14ac:dyDescent="0.2">
      <c r="M179" s="54"/>
      <c r="N179" s="54"/>
      <c r="O179" s="104"/>
      <c r="P179" s="104"/>
      <c r="Q179" s="104"/>
      <c r="R179" s="104"/>
      <c r="S179" s="104"/>
      <c r="T179" s="104"/>
      <c r="U179" s="104"/>
      <c r="V179" s="104"/>
      <c r="W179" s="104"/>
      <c r="X179" s="104"/>
      <c r="Y179" s="104"/>
      <c r="Z179" s="104"/>
      <c r="AA179" s="104"/>
      <c r="AB179" s="104"/>
      <c r="AC179" s="104"/>
      <c r="AD179" s="104"/>
      <c r="AE179" s="104"/>
    </row>
    <row r="180" spans="1:31" s="36" customFormat="1" x14ac:dyDescent="0.2">
      <c r="M180" s="54"/>
      <c r="N180" s="54"/>
      <c r="O180" s="104"/>
      <c r="P180" s="104"/>
      <c r="Q180" s="104"/>
      <c r="R180" s="104"/>
      <c r="S180" s="104"/>
      <c r="T180" s="104"/>
      <c r="U180" s="104"/>
      <c r="V180" s="104"/>
      <c r="W180" s="104"/>
      <c r="X180" s="104"/>
      <c r="Y180" s="104"/>
      <c r="Z180" s="104"/>
      <c r="AA180" s="104"/>
      <c r="AB180" s="104"/>
      <c r="AC180" s="104"/>
      <c r="AD180" s="104"/>
      <c r="AE180" s="104"/>
    </row>
    <row r="181" spans="1:31" s="36" customFormat="1" x14ac:dyDescent="0.2">
      <c r="M181" s="54"/>
      <c r="N181" s="54"/>
      <c r="O181" s="104"/>
      <c r="P181" s="104"/>
      <c r="Q181" s="104"/>
      <c r="R181" s="104"/>
      <c r="S181" s="104"/>
      <c r="T181" s="104"/>
      <c r="U181" s="104"/>
      <c r="V181" s="104"/>
      <c r="W181" s="104"/>
      <c r="X181" s="104"/>
      <c r="Y181" s="104"/>
      <c r="Z181" s="104"/>
      <c r="AA181" s="104"/>
      <c r="AB181" s="104"/>
      <c r="AC181" s="104"/>
      <c r="AD181" s="104"/>
      <c r="AE181" s="104"/>
    </row>
    <row r="182" spans="1:31" s="36" customFormat="1" x14ac:dyDescent="0.2">
      <c r="M182" s="54"/>
      <c r="N182" s="54"/>
      <c r="O182" s="104"/>
      <c r="P182" s="104"/>
      <c r="Q182" s="104"/>
      <c r="R182" s="104"/>
      <c r="S182" s="104"/>
      <c r="T182" s="104"/>
      <c r="U182" s="104"/>
      <c r="V182" s="104"/>
      <c r="W182" s="104"/>
      <c r="X182" s="104"/>
      <c r="Y182" s="104"/>
      <c r="Z182" s="104"/>
      <c r="AA182" s="104"/>
      <c r="AB182" s="104"/>
      <c r="AC182" s="104"/>
      <c r="AD182" s="104"/>
      <c r="AE182" s="104"/>
    </row>
    <row r="183" spans="1:31" s="36" customFormat="1" x14ac:dyDescent="0.2">
      <c r="M183" s="54"/>
      <c r="N183" s="54"/>
      <c r="O183" s="104"/>
      <c r="P183" s="104"/>
      <c r="Q183" s="104"/>
      <c r="R183" s="104"/>
      <c r="S183" s="104"/>
      <c r="T183" s="104"/>
      <c r="U183" s="104"/>
      <c r="V183" s="104"/>
      <c r="W183" s="104"/>
      <c r="X183" s="104"/>
      <c r="Y183" s="104"/>
      <c r="Z183" s="104"/>
      <c r="AA183" s="104"/>
      <c r="AB183" s="104"/>
      <c r="AC183" s="104"/>
      <c r="AD183" s="104"/>
      <c r="AE183" s="104"/>
    </row>
    <row r="184" spans="1:31" s="36" customFormat="1" x14ac:dyDescent="0.2">
      <c r="M184" s="54"/>
      <c r="N184" s="54"/>
      <c r="O184" s="104"/>
      <c r="P184" s="104"/>
      <c r="Q184" s="104"/>
      <c r="R184" s="104"/>
      <c r="S184" s="104"/>
      <c r="T184" s="104"/>
      <c r="U184" s="104"/>
      <c r="V184" s="104"/>
      <c r="W184" s="104"/>
      <c r="X184" s="104"/>
      <c r="Y184" s="104"/>
      <c r="Z184" s="104"/>
      <c r="AA184" s="104"/>
      <c r="AB184" s="104"/>
      <c r="AC184" s="104"/>
      <c r="AD184" s="104"/>
      <c r="AE184" s="104"/>
    </row>
    <row r="185" spans="1:31" s="36" customFormat="1" x14ac:dyDescent="0.2">
      <c r="M185" s="54"/>
      <c r="N185" s="54"/>
      <c r="O185" s="104"/>
      <c r="P185" s="104"/>
      <c r="Q185" s="104"/>
      <c r="R185" s="104"/>
      <c r="S185" s="104"/>
      <c r="T185" s="104"/>
      <c r="U185" s="104"/>
      <c r="V185" s="104"/>
      <c r="W185" s="104"/>
      <c r="X185" s="104"/>
      <c r="Y185" s="104"/>
      <c r="Z185" s="104"/>
      <c r="AA185" s="104"/>
      <c r="AB185" s="104"/>
      <c r="AC185" s="104"/>
      <c r="AD185" s="104"/>
      <c r="AE185" s="104"/>
    </row>
    <row r="186" spans="1:31" s="36" customFormat="1" x14ac:dyDescent="0.2">
      <c r="M186" s="54"/>
      <c r="N186" s="54"/>
      <c r="O186" s="104"/>
      <c r="P186" s="104"/>
      <c r="Q186" s="104"/>
      <c r="R186" s="104"/>
      <c r="S186" s="104"/>
      <c r="T186" s="104"/>
      <c r="U186" s="104"/>
      <c r="V186" s="104"/>
      <c r="W186" s="104"/>
      <c r="X186" s="104"/>
      <c r="Y186" s="104"/>
      <c r="Z186" s="104"/>
      <c r="AA186" s="104"/>
      <c r="AB186" s="104"/>
      <c r="AC186" s="104"/>
      <c r="AD186" s="104"/>
      <c r="AE186" s="104"/>
    </row>
    <row r="187" spans="1:31" s="36" customFormat="1" x14ac:dyDescent="0.2">
      <c r="M187" s="54"/>
      <c r="N187" s="54"/>
      <c r="O187" s="104"/>
      <c r="P187" s="104"/>
      <c r="Q187" s="104"/>
      <c r="R187" s="104"/>
      <c r="S187" s="104"/>
      <c r="T187" s="104"/>
      <c r="U187" s="104"/>
      <c r="V187" s="104"/>
      <c r="W187" s="104"/>
      <c r="X187" s="104"/>
      <c r="Y187" s="104"/>
      <c r="Z187" s="104"/>
      <c r="AA187" s="104"/>
      <c r="AB187" s="104"/>
      <c r="AC187" s="104"/>
      <c r="AD187" s="104"/>
      <c r="AE187" s="104"/>
    </row>
    <row r="188" spans="1:31" s="36" customFormat="1" x14ac:dyDescent="0.2">
      <c r="M188" s="54"/>
      <c r="N188" s="54"/>
      <c r="O188" s="104"/>
      <c r="P188" s="104"/>
      <c r="Q188" s="104"/>
      <c r="R188" s="104"/>
      <c r="S188" s="104"/>
      <c r="T188" s="104"/>
      <c r="U188" s="104"/>
      <c r="V188" s="104"/>
      <c r="W188" s="104"/>
      <c r="X188" s="104"/>
      <c r="Y188" s="104"/>
      <c r="Z188" s="104"/>
      <c r="AA188" s="104"/>
      <c r="AB188" s="104"/>
      <c r="AC188" s="104"/>
      <c r="AD188" s="104"/>
      <c r="AE188" s="104"/>
    </row>
    <row r="189" spans="1:31" s="36" customFormat="1" x14ac:dyDescent="0.2">
      <c r="M189" s="54"/>
      <c r="N189" s="54"/>
      <c r="O189" s="104"/>
      <c r="P189" s="104"/>
      <c r="Q189" s="104"/>
      <c r="R189" s="104"/>
      <c r="S189" s="104"/>
      <c r="T189" s="104"/>
      <c r="U189" s="104"/>
      <c r="V189" s="104"/>
      <c r="W189" s="104"/>
      <c r="X189" s="104"/>
      <c r="Y189" s="104"/>
      <c r="Z189" s="104"/>
      <c r="AA189" s="104"/>
      <c r="AB189" s="104"/>
      <c r="AC189" s="104"/>
      <c r="AD189" s="104"/>
      <c r="AE189" s="104"/>
    </row>
  </sheetData>
  <sheetProtection sheet="1" objects="1" scenarios="1" selectLockedCells="1"/>
  <mergeCells count="36">
    <mergeCell ref="C74:J74"/>
    <mergeCell ref="B75:B80"/>
    <mergeCell ref="B31:L31"/>
    <mergeCell ref="A33:A50"/>
    <mergeCell ref="B33:B38"/>
    <mergeCell ref="C38:J38"/>
    <mergeCell ref="B39:B44"/>
    <mergeCell ref="C44:J44"/>
    <mergeCell ref="B45:B50"/>
    <mergeCell ref="C50:J50"/>
    <mergeCell ref="C80:J80"/>
    <mergeCell ref="A81:A98"/>
    <mergeCell ref="B81:B86"/>
    <mergeCell ref="C86:J86"/>
    <mergeCell ref="B87:B92"/>
    <mergeCell ref="C92:J92"/>
    <mergeCell ref="B93:B98"/>
    <mergeCell ref="C98:J98"/>
    <mergeCell ref="A51:A80"/>
    <mergeCell ref="B51:B56"/>
    <mergeCell ref="C56:J56"/>
    <mergeCell ref="B57:B62"/>
    <mergeCell ref="C62:J62"/>
    <mergeCell ref="B63:B68"/>
    <mergeCell ref="C68:J68"/>
    <mergeCell ref="B69:B74"/>
    <mergeCell ref="A123:J123"/>
    <mergeCell ref="A99:A122"/>
    <mergeCell ref="B99:B104"/>
    <mergeCell ref="C104:J104"/>
    <mergeCell ref="B105:B110"/>
    <mergeCell ref="C110:J110"/>
    <mergeCell ref="B111:B116"/>
    <mergeCell ref="C116:J116"/>
    <mergeCell ref="B117:B122"/>
    <mergeCell ref="C122:J122"/>
  </mergeCells>
  <conditionalFormatting sqref="H42:H43">
    <cfRule type="cellIs" dxfId="1439" priority="696" operator="equal">
      <formula>"sehr hoch"</formula>
    </cfRule>
    <cfRule type="cellIs" dxfId="1438" priority="697" operator="equal">
      <formula>"hoch"</formula>
    </cfRule>
    <cfRule type="cellIs" dxfId="1437" priority="698" operator="equal">
      <formula>"mittel"</formula>
    </cfRule>
    <cfRule type="cellIs" dxfId="1436" priority="699" operator="equal">
      <formula>"gering"</formula>
    </cfRule>
    <cfRule type="cellIs" dxfId="1435" priority="700" operator="equal">
      <formula>"sehr gering"</formula>
    </cfRule>
    <cfRule type="cellIs" dxfId="1434" priority="701" operator="equal">
      <formula>"trifft nicht ein"</formula>
    </cfRule>
  </conditionalFormatting>
  <conditionalFormatting sqref="H39:H41">
    <cfRule type="cellIs" dxfId="1433" priority="690" operator="equal">
      <formula>"sehr hoch"</formula>
    </cfRule>
    <cfRule type="cellIs" dxfId="1432" priority="691" operator="equal">
      <formula>"hoch"</formula>
    </cfRule>
    <cfRule type="cellIs" dxfId="1431" priority="692" operator="equal">
      <formula>"mittel"</formula>
    </cfRule>
    <cfRule type="cellIs" dxfId="1430" priority="693" operator="equal">
      <formula>"gering"</formula>
    </cfRule>
    <cfRule type="cellIs" dxfId="1429" priority="694" operator="equal">
      <formula>"sehr gering"</formula>
    </cfRule>
    <cfRule type="cellIs" dxfId="1428" priority="695" operator="equal">
      <formula>"trifft nicht ein"</formula>
    </cfRule>
  </conditionalFormatting>
  <conditionalFormatting sqref="H66:H67">
    <cfRule type="cellIs" dxfId="1427" priority="684" operator="equal">
      <formula>"sehr hoch"</formula>
    </cfRule>
    <cfRule type="cellIs" dxfId="1426" priority="685" operator="equal">
      <formula>"hoch"</formula>
    </cfRule>
    <cfRule type="cellIs" dxfId="1425" priority="686" operator="equal">
      <formula>"mittel"</formula>
    </cfRule>
    <cfRule type="cellIs" dxfId="1424" priority="687" operator="equal">
      <formula>"gering"</formula>
    </cfRule>
    <cfRule type="cellIs" dxfId="1423" priority="688" operator="equal">
      <formula>"sehr gering"</formula>
    </cfRule>
    <cfRule type="cellIs" dxfId="1422" priority="689" operator="equal">
      <formula>"trifft nicht ein"</formula>
    </cfRule>
  </conditionalFormatting>
  <conditionalFormatting sqref="H63:H65">
    <cfRule type="cellIs" dxfId="1421" priority="678" operator="equal">
      <formula>"sehr hoch"</formula>
    </cfRule>
    <cfRule type="cellIs" dxfId="1420" priority="679" operator="equal">
      <formula>"hoch"</formula>
    </cfRule>
    <cfRule type="cellIs" dxfId="1419" priority="680" operator="equal">
      <formula>"mittel"</formula>
    </cfRule>
    <cfRule type="cellIs" dxfId="1418" priority="681" operator="equal">
      <formula>"gering"</formula>
    </cfRule>
    <cfRule type="cellIs" dxfId="1417" priority="682" operator="equal">
      <formula>"sehr gering"</formula>
    </cfRule>
    <cfRule type="cellIs" dxfId="1416" priority="683" operator="equal">
      <formula>"trifft nicht ein"</formula>
    </cfRule>
  </conditionalFormatting>
  <conditionalFormatting sqref="H72:H73">
    <cfRule type="cellIs" dxfId="1415" priority="672" operator="equal">
      <formula>"sehr hoch"</formula>
    </cfRule>
    <cfRule type="cellIs" dxfId="1414" priority="673" operator="equal">
      <formula>"hoch"</formula>
    </cfRule>
    <cfRule type="cellIs" dxfId="1413" priority="674" operator="equal">
      <formula>"mittel"</formula>
    </cfRule>
    <cfRule type="cellIs" dxfId="1412" priority="675" operator="equal">
      <formula>"gering"</formula>
    </cfRule>
    <cfRule type="cellIs" dxfId="1411" priority="676" operator="equal">
      <formula>"sehr gering"</formula>
    </cfRule>
    <cfRule type="cellIs" dxfId="1410" priority="677" operator="equal">
      <formula>"trifft nicht ein"</formula>
    </cfRule>
  </conditionalFormatting>
  <conditionalFormatting sqref="H69:H71">
    <cfRule type="cellIs" dxfId="1409" priority="666" operator="equal">
      <formula>"sehr hoch"</formula>
    </cfRule>
    <cfRule type="cellIs" dxfId="1408" priority="667" operator="equal">
      <formula>"hoch"</formula>
    </cfRule>
    <cfRule type="cellIs" dxfId="1407" priority="668" operator="equal">
      <formula>"mittel"</formula>
    </cfRule>
    <cfRule type="cellIs" dxfId="1406" priority="669" operator="equal">
      <formula>"gering"</formula>
    </cfRule>
    <cfRule type="cellIs" dxfId="1405" priority="670" operator="equal">
      <formula>"sehr gering"</formula>
    </cfRule>
    <cfRule type="cellIs" dxfId="1404" priority="671" operator="equal">
      <formula>"trifft nicht ein"</formula>
    </cfRule>
  </conditionalFormatting>
  <conditionalFormatting sqref="H78:H79">
    <cfRule type="cellIs" dxfId="1403" priority="660" operator="equal">
      <formula>"sehr hoch"</formula>
    </cfRule>
    <cfRule type="cellIs" dxfId="1402" priority="661" operator="equal">
      <formula>"hoch"</formula>
    </cfRule>
    <cfRule type="cellIs" dxfId="1401" priority="662" operator="equal">
      <formula>"mittel"</formula>
    </cfRule>
    <cfRule type="cellIs" dxfId="1400" priority="663" operator="equal">
      <formula>"gering"</formula>
    </cfRule>
    <cfRule type="cellIs" dxfId="1399" priority="664" operator="equal">
      <formula>"sehr gering"</formula>
    </cfRule>
    <cfRule type="cellIs" dxfId="1398" priority="665" operator="equal">
      <formula>"trifft nicht ein"</formula>
    </cfRule>
  </conditionalFormatting>
  <conditionalFormatting sqref="H75:H77">
    <cfRule type="cellIs" dxfId="1397" priority="654" operator="equal">
      <formula>"sehr hoch"</formula>
    </cfRule>
    <cfRule type="cellIs" dxfId="1396" priority="655" operator="equal">
      <formula>"hoch"</formula>
    </cfRule>
    <cfRule type="cellIs" dxfId="1395" priority="656" operator="equal">
      <formula>"mittel"</formula>
    </cfRule>
    <cfRule type="cellIs" dxfId="1394" priority="657" operator="equal">
      <formula>"gering"</formula>
    </cfRule>
    <cfRule type="cellIs" dxfId="1393" priority="658" operator="equal">
      <formula>"sehr gering"</formula>
    </cfRule>
    <cfRule type="cellIs" dxfId="1392" priority="659" operator="equal">
      <formula>"trifft nicht ein"</formula>
    </cfRule>
  </conditionalFormatting>
  <conditionalFormatting sqref="H84:H85">
    <cfRule type="cellIs" dxfId="1391" priority="648" operator="equal">
      <formula>"sehr hoch"</formula>
    </cfRule>
    <cfRule type="cellIs" dxfId="1390" priority="649" operator="equal">
      <formula>"hoch"</formula>
    </cfRule>
    <cfRule type="cellIs" dxfId="1389" priority="650" operator="equal">
      <formula>"mittel"</formula>
    </cfRule>
    <cfRule type="cellIs" dxfId="1388" priority="651" operator="equal">
      <formula>"gering"</formula>
    </cfRule>
    <cfRule type="cellIs" dxfId="1387" priority="652" operator="equal">
      <formula>"sehr gering"</formula>
    </cfRule>
    <cfRule type="cellIs" dxfId="1386" priority="653" operator="equal">
      <formula>"trifft nicht ein"</formula>
    </cfRule>
  </conditionalFormatting>
  <conditionalFormatting sqref="H81:H83">
    <cfRule type="cellIs" dxfId="1385" priority="642" operator="equal">
      <formula>"sehr hoch"</formula>
    </cfRule>
    <cfRule type="cellIs" dxfId="1384" priority="643" operator="equal">
      <formula>"hoch"</formula>
    </cfRule>
    <cfRule type="cellIs" dxfId="1383" priority="644" operator="equal">
      <formula>"mittel"</formula>
    </cfRule>
    <cfRule type="cellIs" dxfId="1382" priority="645" operator="equal">
      <formula>"gering"</formula>
    </cfRule>
    <cfRule type="cellIs" dxfId="1381" priority="646" operator="equal">
      <formula>"sehr gering"</formula>
    </cfRule>
    <cfRule type="cellIs" dxfId="1380" priority="647" operator="equal">
      <formula>"trifft nicht ein"</formula>
    </cfRule>
  </conditionalFormatting>
  <conditionalFormatting sqref="H90:H91">
    <cfRule type="cellIs" dxfId="1379" priority="636" operator="equal">
      <formula>"sehr hoch"</formula>
    </cfRule>
    <cfRule type="cellIs" dxfId="1378" priority="637" operator="equal">
      <formula>"hoch"</formula>
    </cfRule>
    <cfRule type="cellIs" dxfId="1377" priority="638" operator="equal">
      <formula>"mittel"</formula>
    </cfRule>
    <cfRule type="cellIs" dxfId="1376" priority="639" operator="equal">
      <formula>"gering"</formula>
    </cfRule>
    <cfRule type="cellIs" dxfId="1375" priority="640" operator="equal">
      <formula>"sehr gering"</formula>
    </cfRule>
    <cfRule type="cellIs" dxfId="1374" priority="641" operator="equal">
      <formula>"trifft nicht ein"</formula>
    </cfRule>
  </conditionalFormatting>
  <conditionalFormatting sqref="H87:H89">
    <cfRule type="cellIs" dxfId="1373" priority="630" operator="equal">
      <formula>"sehr hoch"</formula>
    </cfRule>
    <cfRule type="cellIs" dxfId="1372" priority="631" operator="equal">
      <formula>"hoch"</formula>
    </cfRule>
    <cfRule type="cellIs" dxfId="1371" priority="632" operator="equal">
      <formula>"mittel"</formula>
    </cfRule>
    <cfRule type="cellIs" dxfId="1370" priority="633" operator="equal">
      <formula>"gering"</formula>
    </cfRule>
    <cfRule type="cellIs" dxfId="1369" priority="634" operator="equal">
      <formula>"sehr gering"</formula>
    </cfRule>
    <cfRule type="cellIs" dxfId="1368" priority="635" operator="equal">
      <formula>"trifft nicht ein"</formula>
    </cfRule>
  </conditionalFormatting>
  <conditionalFormatting sqref="H96:H97">
    <cfRule type="cellIs" dxfId="1367" priority="624" operator="equal">
      <formula>"sehr hoch"</formula>
    </cfRule>
    <cfRule type="cellIs" dxfId="1366" priority="625" operator="equal">
      <formula>"hoch"</formula>
    </cfRule>
    <cfRule type="cellIs" dxfId="1365" priority="626" operator="equal">
      <formula>"mittel"</formula>
    </cfRule>
    <cfRule type="cellIs" dxfId="1364" priority="627" operator="equal">
      <formula>"gering"</formula>
    </cfRule>
    <cfRule type="cellIs" dxfId="1363" priority="628" operator="equal">
      <formula>"sehr gering"</formula>
    </cfRule>
    <cfRule type="cellIs" dxfId="1362" priority="629" operator="equal">
      <formula>"trifft nicht ein"</formula>
    </cfRule>
  </conditionalFormatting>
  <conditionalFormatting sqref="H93:H95">
    <cfRule type="cellIs" dxfId="1361" priority="618" operator="equal">
      <formula>"sehr hoch"</formula>
    </cfRule>
    <cfRule type="cellIs" dxfId="1360" priority="619" operator="equal">
      <formula>"hoch"</formula>
    </cfRule>
    <cfRule type="cellIs" dxfId="1359" priority="620" operator="equal">
      <formula>"mittel"</formula>
    </cfRule>
    <cfRule type="cellIs" dxfId="1358" priority="621" operator="equal">
      <formula>"gering"</formula>
    </cfRule>
    <cfRule type="cellIs" dxfId="1357" priority="622" operator="equal">
      <formula>"sehr gering"</formula>
    </cfRule>
    <cfRule type="cellIs" dxfId="1356" priority="623" operator="equal">
      <formula>"trifft nicht ein"</formula>
    </cfRule>
  </conditionalFormatting>
  <conditionalFormatting sqref="H102:H103">
    <cfRule type="cellIs" dxfId="1355" priority="612" operator="equal">
      <formula>"sehr hoch"</formula>
    </cfRule>
    <cfRule type="cellIs" dxfId="1354" priority="613" operator="equal">
      <formula>"hoch"</formula>
    </cfRule>
    <cfRule type="cellIs" dxfId="1353" priority="614" operator="equal">
      <formula>"mittel"</formula>
    </cfRule>
    <cfRule type="cellIs" dxfId="1352" priority="615" operator="equal">
      <formula>"gering"</formula>
    </cfRule>
    <cfRule type="cellIs" dxfId="1351" priority="616" operator="equal">
      <formula>"sehr gering"</formula>
    </cfRule>
    <cfRule type="cellIs" dxfId="1350" priority="617" operator="equal">
      <formula>"trifft nicht ein"</formula>
    </cfRule>
  </conditionalFormatting>
  <conditionalFormatting sqref="H99:H101">
    <cfRule type="cellIs" dxfId="1349" priority="606" operator="equal">
      <formula>"sehr hoch"</formula>
    </cfRule>
    <cfRule type="cellIs" dxfId="1348" priority="607" operator="equal">
      <formula>"hoch"</formula>
    </cfRule>
    <cfRule type="cellIs" dxfId="1347" priority="608" operator="equal">
      <formula>"mittel"</formula>
    </cfRule>
    <cfRule type="cellIs" dxfId="1346" priority="609" operator="equal">
      <formula>"gering"</formula>
    </cfRule>
    <cfRule type="cellIs" dxfId="1345" priority="610" operator="equal">
      <formula>"sehr gering"</formula>
    </cfRule>
    <cfRule type="cellIs" dxfId="1344" priority="611" operator="equal">
      <formula>"trifft nicht ein"</formula>
    </cfRule>
  </conditionalFormatting>
  <conditionalFormatting sqref="H108:H109">
    <cfRule type="cellIs" dxfId="1343" priority="600" operator="equal">
      <formula>"sehr hoch"</formula>
    </cfRule>
    <cfRule type="cellIs" dxfId="1342" priority="601" operator="equal">
      <formula>"hoch"</formula>
    </cfRule>
    <cfRule type="cellIs" dxfId="1341" priority="602" operator="equal">
      <formula>"mittel"</formula>
    </cfRule>
    <cfRule type="cellIs" dxfId="1340" priority="603" operator="equal">
      <formula>"gering"</formula>
    </cfRule>
    <cfRule type="cellIs" dxfId="1339" priority="604" operator="equal">
      <formula>"sehr gering"</formula>
    </cfRule>
    <cfRule type="cellIs" dxfId="1338" priority="605" operator="equal">
      <formula>"trifft nicht ein"</formula>
    </cfRule>
  </conditionalFormatting>
  <conditionalFormatting sqref="H105:H107">
    <cfRule type="cellIs" dxfId="1337" priority="594" operator="equal">
      <formula>"sehr hoch"</formula>
    </cfRule>
    <cfRule type="cellIs" dxfId="1336" priority="595" operator="equal">
      <formula>"hoch"</formula>
    </cfRule>
    <cfRule type="cellIs" dxfId="1335" priority="596" operator="equal">
      <formula>"mittel"</formula>
    </cfRule>
    <cfRule type="cellIs" dxfId="1334" priority="597" operator="equal">
      <formula>"gering"</formula>
    </cfRule>
    <cfRule type="cellIs" dxfId="1333" priority="598" operator="equal">
      <formula>"sehr gering"</formula>
    </cfRule>
    <cfRule type="cellIs" dxfId="1332" priority="599" operator="equal">
      <formula>"trifft nicht ein"</formula>
    </cfRule>
  </conditionalFormatting>
  <conditionalFormatting sqref="H114:H115">
    <cfRule type="cellIs" dxfId="1331" priority="588" operator="equal">
      <formula>"sehr hoch"</formula>
    </cfRule>
    <cfRule type="cellIs" dxfId="1330" priority="589" operator="equal">
      <formula>"hoch"</formula>
    </cfRule>
    <cfRule type="cellIs" dxfId="1329" priority="590" operator="equal">
      <formula>"mittel"</formula>
    </cfRule>
    <cfRule type="cellIs" dxfId="1328" priority="591" operator="equal">
      <formula>"gering"</formula>
    </cfRule>
    <cfRule type="cellIs" dxfId="1327" priority="592" operator="equal">
      <formula>"sehr gering"</formula>
    </cfRule>
    <cfRule type="cellIs" dxfId="1326" priority="593" operator="equal">
      <formula>"trifft nicht ein"</formula>
    </cfRule>
  </conditionalFormatting>
  <conditionalFormatting sqref="H111:H113">
    <cfRule type="cellIs" dxfId="1325" priority="582" operator="equal">
      <formula>"sehr hoch"</formula>
    </cfRule>
    <cfRule type="cellIs" dxfId="1324" priority="583" operator="equal">
      <formula>"hoch"</formula>
    </cfRule>
    <cfRule type="cellIs" dxfId="1323" priority="584" operator="equal">
      <formula>"mittel"</formula>
    </cfRule>
    <cfRule type="cellIs" dxfId="1322" priority="585" operator="equal">
      <formula>"gering"</formula>
    </cfRule>
    <cfRule type="cellIs" dxfId="1321" priority="586" operator="equal">
      <formula>"sehr gering"</formula>
    </cfRule>
    <cfRule type="cellIs" dxfId="1320" priority="587" operator="equal">
      <formula>"trifft nicht ein"</formula>
    </cfRule>
  </conditionalFormatting>
  <conditionalFormatting sqref="H120:H121">
    <cfRule type="cellIs" dxfId="1319" priority="576" operator="equal">
      <formula>"sehr hoch"</formula>
    </cfRule>
    <cfRule type="cellIs" dxfId="1318" priority="577" operator="equal">
      <formula>"hoch"</formula>
    </cfRule>
    <cfRule type="cellIs" dxfId="1317" priority="578" operator="equal">
      <formula>"mittel"</formula>
    </cfRule>
    <cfRule type="cellIs" dxfId="1316" priority="579" operator="equal">
      <formula>"gering"</formula>
    </cfRule>
    <cfRule type="cellIs" dxfId="1315" priority="580" operator="equal">
      <formula>"sehr gering"</formula>
    </cfRule>
    <cfRule type="cellIs" dxfId="1314" priority="581" operator="equal">
      <formula>"trifft nicht ein"</formula>
    </cfRule>
  </conditionalFormatting>
  <conditionalFormatting sqref="H117:H119">
    <cfRule type="cellIs" dxfId="1313" priority="570" operator="equal">
      <formula>"sehr hoch"</formula>
    </cfRule>
    <cfRule type="cellIs" dxfId="1312" priority="571" operator="equal">
      <formula>"hoch"</formula>
    </cfRule>
    <cfRule type="cellIs" dxfId="1311" priority="572" operator="equal">
      <formula>"mittel"</formula>
    </cfRule>
    <cfRule type="cellIs" dxfId="1310" priority="573" operator="equal">
      <formula>"gering"</formula>
    </cfRule>
    <cfRule type="cellIs" dxfId="1309" priority="574" operator="equal">
      <formula>"sehr gering"</formula>
    </cfRule>
    <cfRule type="cellIs" dxfId="1308" priority="575" operator="equal">
      <formula>"trifft nicht ein"</formula>
    </cfRule>
  </conditionalFormatting>
  <conditionalFormatting sqref="I42:I43">
    <cfRule type="cellIs" dxfId="1307" priority="564" operator="equal">
      <formula>"führt zum Abbruch"</formula>
    </cfRule>
    <cfRule type="cellIs" dxfId="1306" priority="565" operator="equal">
      <formula>"sehr hoch"</formula>
    </cfRule>
    <cfRule type="cellIs" dxfId="1305" priority="566" operator="equal">
      <formula>"hoch"</formula>
    </cfRule>
    <cfRule type="cellIs" dxfId="1304" priority="567" operator="equal">
      <formula>"mittel"</formula>
    </cfRule>
    <cfRule type="cellIs" dxfId="1303" priority="568" operator="equal">
      <formula>"gering"</formula>
    </cfRule>
    <cfRule type="cellIs" dxfId="1302" priority="569" operator="equal">
      <formula>"sehr gering"</formula>
    </cfRule>
  </conditionalFormatting>
  <conditionalFormatting sqref="I39:I41">
    <cfRule type="cellIs" dxfId="1301" priority="557" operator="equal">
      <formula>"führt zum Abbruch"</formula>
    </cfRule>
    <cfRule type="cellIs" dxfId="1300" priority="558" operator="equal">
      <formula>"sehr hoch"</formula>
    </cfRule>
    <cfRule type="cellIs" dxfId="1299" priority="559" operator="equal">
      <formula>"hoch"</formula>
    </cfRule>
    <cfRule type="cellIs" dxfId="1298" priority="560" operator="equal">
      <formula>"mittel"</formula>
    </cfRule>
    <cfRule type="cellIs" dxfId="1297" priority="561" operator="equal">
      <formula>"gering"</formula>
    </cfRule>
    <cfRule type="cellIs" dxfId="1296" priority="562" operator="equal">
      <formula>"sehr gering"</formula>
    </cfRule>
  </conditionalFormatting>
  <conditionalFormatting sqref="I66:I67">
    <cfRule type="cellIs" dxfId="1295" priority="550" operator="equal">
      <formula>"führt zum Abbruch"</formula>
    </cfRule>
    <cfRule type="cellIs" dxfId="1294" priority="551" operator="equal">
      <formula>"sehr hoch"</formula>
    </cfRule>
    <cfRule type="cellIs" dxfId="1293" priority="552" operator="equal">
      <formula>"hoch"</formula>
    </cfRule>
    <cfRule type="cellIs" dxfId="1292" priority="553" operator="equal">
      <formula>"mittel"</formula>
    </cfRule>
    <cfRule type="cellIs" dxfId="1291" priority="554" operator="equal">
      <formula>"gering"</formula>
    </cfRule>
    <cfRule type="cellIs" dxfId="1290" priority="555" operator="equal">
      <formula>"sehr gering"</formula>
    </cfRule>
  </conditionalFormatting>
  <conditionalFormatting sqref="I63:I65">
    <cfRule type="cellIs" dxfId="1289" priority="543" operator="equal">
      <formula>"führt zum Abbruch"</formula>
    </cfRule>
    <cfRule type="cellIs" dxfId="1288" priority="544" operator="equal">
      <formula>"sehr hoch"</formula>
    </cfRule>
    <cfRule type="cellIs" dxfId="1287" priority="545" operator="equal">
      <formula>"hoch"</formula>
    </cfRule>
    <cfRule type="cellIs" dxfId="1286" priority="546" operator="equal">
      <formula>"mittel"</formula>
    </cfRule>
    <cfRule type="cellIs" dxfId="1285" priority="547" operator="equal">
      <formula>"gering"</formula>
    </cfRule>
    <cfRule type="cellIs" dxfId="1284" priority="548" operator="equal">
      <formula>"sehr gering"</formula>
    </cfRule>
  </conditionalFormatting>
  <conditionalFormatting sqref="I72:I73">
    <cfRule type="cellIs" dxfId="1283" priority="536" operator="equal">
      <formula>"führt zum Abbruch"</formula>
    </cfRule>
    <cfRule type="cellIs" dxfId="1282" priority="537" operator="equal">
      <formula>"sehr hoch"</formula>
    </cfRule>
    <cfRule type="cellIs" dxfId="1281" priority="538" operator="equal">
      <formula>"hoch"</formula>
    </cfRule>
    <cfRule type="cellIs" dxfId="1280" priority="539" operator="equal">
      <formula>"mittel"</formula>
    </cfRule>
    <cfRule type="cellIs" dxfId="1279" priority="540" operator="equal">
      <formula>"gering"</formula>
    </cfRule>
    <cfRule type="cellIs" dxfId="1278" priority="541" operator="equal">
      <formula>"sehr gering"</formula>
    </cfRule>
  </conditionalFormatting>
  <conditionalFormatting sqref="I69:I71">
    <cfRule type="cellIs" dxfId="1277" priority="529" operator="equal">
      <formula>"führt zum Abbruch"</formula>
    </cfRule>
    <cfRule type="cellIs" dxfId="1276" priority="530" operator="equal">
      <formula>"sehr hoch"</formula>
    </cfRule>
    <cfRule type="cellIs" dxfId="1275" priority="531" operator="equal">
      <formula>"hoch"</formula>
    </cfRule>
    <cfRule type="cellIs" dxfId="1274" priority="532" operator="equal">
      <formula>"mittel"</formula>
    </cfRule>
    <cfRule type="cellIs" dxfId="1273" priority="533" operator="equal">
      <formula>"gering"</formula>
    </cfRule>
    <cfRule type="cellIs" dxfId="1272" priority="534" operator="equal">
      <formula>"sehr gering"</formula>
    </cfRule>
  </conditionalFormatting>
  <conditionalFormatting sqref="I78:I79">
    <cfRule type="cellIs" dxfId="1271" priority="522" operator="equal">
      <formula>"führt zum Abbruch"</formula>
    </cfRule>
    <cfRule type="cellIs" dxfId="1270" priority="523" operator="equal">
      <formula>"sehr hoch"</formula>
    </cfRule>
    <cfRule type="cellIs" dxfId="1269" priority="524" operator="equal">
      <formula>"hoch"</formula>
    </cfRule>
    <cfRule type="cellIs" dxfId="1268" priority="525" operator="equal">
      <formula>"mittel"</formula>
    </cfRule>
    <cfRule type="cellIs" dxfId="1267" priority="526" operator="equal">
      <formula>"gering"</formula>
    </cfRule>
    <cfRule type="cellIs" dxfId="1266" priority="527" operator="equal">
      <formula>"sehr gering"</formula>
    </cfRule>
  </conditionalFormatting>
  <conditionalFormatting sqref="I75:I77">
    <cfRule type="cellIs" dxfId="1265" priority="515" operator="equal">
      <formula>"führt zum Abbruch"</formula>
    </cfRule>
    <cfRule type="cellIs" dxfId="1264" priority="516" operator="equal">
      <formula>"sehr hoch"</formula>
    </cfRule>
    <cfRule type="cellIs" dxfId="1263" priority="517" operator="equal">
      <formula>"hoch"</formula>
    </cfRule>
    <cfRule type="cellIs" dxfId="1262" priority="518" operator="equal">
      <formula>"mittel"</formula>
    </cfRule>
    <cfRule type="cellIs" dxfId="1261" priority="519" operator="equal">
      <formula>"gering"</formula>
    </cfRule>
    <cfRule type="cellIs" dxfId="1260" priority="520" operator="equal">
      <formula>"sehr gering"</formula>
    </cfRule>
  </conditionalFormatting>
  <conditionalFormatting sqref="I84:I85">
    <cfRule type="cellIs" dxfId="1259" priority="508" operator="equal">
      <formula>"führt zum Abbruch"</formula>
    </cfRule>
    <cfRule type="cellIs" dxfId="1258" priority="509" operator="equal">
      <formula>"sehr hoch"</formula>
    </cfRule>
    <cfRule type="cellIs" dxfId="1257" priority="510" operator="equal">
      <formula>"hoch"</formula>
    </cfRule>
    <cfRule type="cellIs" dxfId="1256" priority="511" operator="equal">
      <formula>"mittel"</formula>
    </cfRule>
    <cfRule type="cellIs" dxfId="1255" priority="512" operator="equal">
      <formula>"gering"</formula>
    </cfRule>
    <cfRule type="cellIs" dxfId="1254" priority="513" operator="equal">
      <formula>"sehr gering"</formula>
    </cfRule>
  </conditionalFormatting>
  <conditionalFormatting sqref="I81:I83">
    <cfRule type="cellIs" dxfId="1253" priority="501" operator="equal">
      <formula>"führt zum Abbruch"</formula>
    </cfRule>
    <cfRule type="cellIs" dxfId="1252" priority="502" operator="equal">
      <formula>"sehr hoch"</formula>
    </cfRule>
    <cfRule type="cellIs" dxfId="1251" priority="503" operator="equal">
      <formula>"hoch"</formula>
    </cfRule>
    <cfRule type="cellIs" dxfId="1250" priority="504" operator="equal">
      <formula>"mittel"</formula>
    </cfRule>
    <cfRule type="cellIs" dxfId="1249" priority="505" operator="equal">
      <formula>"gering"</formula>
    </cfRule>
    <cfRule type="cellIs" dxfId="1248" priority="506" operator="equal">
      <formula>"sehr gering"</formula>
    </cfRule>
  </conditionalFormatting>
  <conditionalFormatting sqref="I90:I91">
    <cfRule type="cellIs" dxfId="1247" priority="494" operator="equal">
      <formula>"führt zum Abbruch"</formula>
    </cfRule>
    <cfRule type="cellIs" dxfId="1246" priority="495" operator="equal">
      <formula>"sehr hoch"</formula>
    </cfRule>
    <cfRule type="cellIs" dxfId="1245" priority="496" operator="equal">
      <formula>"hoch"</formula>
    </cfRule>
    <cfRule type="cellIs" dxfId="1244" priority="497" operator="equal">
      <formula>"mittel"</formula>
    </cfRule>
    <cfRule type="cellIs" dxfId="1243" priority="498" operator="equal">
      <formula>"gering"</formula>
    </cfRule>
    <cfRule type="cellIs" dxfId="1242" priority="499" operator="equal">
      <formula>"sehr gering"</formula>
    </cfRule>
  </conditionalFormatting>
  <conditionalFormatting sqref="I87:I89">
    <cfRule type="cellIs" dxfId="1241" priority="487" operator="equal">
      <formula>"führt zum Abbruch"</formula>
    </cfRule>
    <cfRule type="cellIs" dxfId="1240" priority="488" operator="equal">
      <formula>"sehr hoch"</formula>
    </cfRule>
    <cfRule type="cellIs" dxfId="1239" priority="489" operator="equal">
      <formula>"hoch"</formula>
    </cfRule>
    <cfRule type="cellIs" dxfId="1238" priority="490" operator="equal">
      <formula>"mittel"</formula>
    </cfRule>
    <cfRule type="cellIs" dxfId="1237" priority="491" operator="equal">
      <formula>"gering"</formula>
    </cfRule>
    <cfRule type="cellIs" dxfId="1236" priority="492" operator="equal">
      <formula>"sehr gering"</formula>
    </cfRule>
  </conditionalFormatting>
  <conditionalFormatting sqref="I96:I97">
    <cfRule type="cellIs" dxfId="1235" priority="480" operator="equal">
      <formula>"führt zum Abbruch"</formula>
    </cfRule>
    <cfRule type="cellIs" dxfId="1234" priority="481" operator="equal">
      <formula>"sehr hoch"</formula>
    </cfRule>
    <cfRule type="cellIs" dxfId="1233" priority="482" operator="equal">
      <formula>"hoch"</formula>
    </cfRule>
    <cfRule type="cellIs" dxfId="1232" priority="483" operator="equal">
      <formula>"mittel"</formula>
    </cfRule>
    <cfRule type="cellIs" dxfId="1231" priority="484" operator="equal">
      <formula>"gering"</formula>
    </cfRule>
    <cfRule type="cellIs" dxfId="1230" priority="485" operator="equal">
      <formula>"sehr gering"</formula>
    </cfRule>
  </conditionalFormatting>
  <conditionalFormatting sqref="I93:I95">
    <cfRule type="cellIs" dxfId="1229" priority="473" operator="equal">
      <formula>"führt zum Abbruch"</formula>
    </cfRule>
    <cfRule type="cellIs" dxfId="1228" priority="474" operator="equal">
      <formula>"sehr hoch"</formula>
    </cfRule>
    <cfRule type="cellIs" dxfId="1227" priority="475" operator="equal">
      <formula>"hoch"</formula>
    </cfRule>
    <cfRule type="cellIs" dxfId="1226" priority="476" operator="equal">
      <formula>"mittel"</formula>
    </cfRule>
    <cfRule type="cellIs" dxfId="1225" priority="477" operator="equal">
      <formula>"gering"</formula>
    </cfRule>
    <cfRule type="cellIs" dxfId="1224" priority="478" operator="equal">
      <formula>"sehr gering"</formula>
    </cfRule>
  </conditionalFormatting>
  <conditionalFormatting sqref="I102:I103">
    <cfRule type="cellIs" dxfId="1223" priority="466" operator="equal">
      <formula>"führt zum Abbruch"</formula>
    </cfRule>
    <cfRule type="cellIs" dxfId="1222" priority="467" operator="equal">
      <formula>"sehr hoch"</formula>
    </cfRule>
    <cfRule type="cellIs" dxfId="1221" priority="468" operator="equal">
      <formula>"hoch"</formula>
    </cfRule>
    <cfRule type="cellIs" dxfId="1220" priority="469" operator="equal">
      <formula>"mittel"</formula>
    </cfRule>
    <cfRule type="cellIs" dxfId="1219" priority="470" operator="equal">
      <formula>"gering"</formula>
    </cfRule>
    <cfRule type="cellIs" dxfId="1218" priority="471" operator="equal">
      <formula>"sehr gering"</formula>
    </cfRule>
  </conditionalFormatting>
  <conditionalFormatting sqref="I99:I101">
    <cfRule type="cellIs" dxfId="1217" priority="459" operator="equal">
      <formula>"führt zum Abbruch"</formula>
    </cfRule>
    <cfRule type="cellIs" dxfId="1216" priority="460" operator="equal">
      <formula>"sehr hoch"</formula>
    </cfRule>
    <cfRule type="cellIs" dxfId="1215" priority="461" operator="equal">
      <formula>"hoch"</formula>
    </cfRule>
    <cfRule type="cellIs" dxfId="1214" priority="462" operator="equal">
      <formula>"mittel"</formula>
    </cfRule>
    <cfRule type="cellIs" dxfId="1213" priority="463" operator="equal">
      <formula>"gering"</formula>
    </cfRule>
    <cfRule type="cellIs" dxfId="1212" priority="464" operator="equal">
      <formula>"sehr gering"</formula>
    </cfRule>
  </conditionalFormatting>
  <conditionalFormatting sqref="I108:I109">
    <cfRule type="cellIs" dxfId="1211" priority="452" operator="equal">
      <formula>"führt zum Abbruch"</formula>
    </cfRule>
    <cfRule type="cellIs" dxfId="1210" priority="453" operator="equal">
      <formula>"sehr hoch"</formula>
    </cfRule>
    <cfRule type="cellIs" dxfId="1209" priority="454" operator="equal">
      <formula>"hoch"</formula>
    </cfRule>
    <cfRule type="cellIs" dxfId="1208" priority="455" operator="equal">
      <formula>"mittel"</formula>
    </cfRule>
    <cfRule type="cellIs" dxfId="1207" priority="456" operator="equal">
      <formula>"gering"</formula>
    </cfRule>
    <cfRule type="cellIs" dxfId="1206" priority="457" operator="equal">
      <formula>"sehr gering"</formula>
    </cfRule>
  </conditionalFormatting>
  <conditionalFormatting sqref="I105:I107">
    <cfRule type="cellIs" dxfId="1205" priority="445" operator="equal">
      <formula>"führt zum Abbruch"</formula>
    </cfRule>
    <cfRule type="cellIs" dxfId="1204" priority="446" operator="equal">
      <formula>"sehr hoch"</formula>
    </cfRule>
    <cfRule type="cellIs" dxfId="1203" priority="447" operator="equal">
      <formula>"hoch"</formula>
    </cfRule>
    <cfRule type="cellIs" dxfId="1202" priority="448" operator="equal">
      <formula>"mittel"</formula>
    </cfRule>
    <cfRule type="cellIs" dxfId="1201" priority="449" operator="equal">
      <formula>"gering"</formula>
    </cfRule>
    <cfRule type="cellIs" dxfId="1200" priority="450" operator="equal">
      <formula>"sehr gering"</formula>
    </cfRule>
  </conditionalFormatting>
  <conditionalFormatting sqref="I114:I115">
    <cfRule type="cellIs" dxfId="1199" priority="438" operator="equal">
      <formula>"führt zum Abbruch"</formula>
    </cfRule>
    <cfRule type="cellIs" dxfId="1198" priority="439" operator="equal">
      <formula>"sehr hoch"</formula>
    </cfRule>
    <cfRule type="cellIs" dxfId="1197" priority="440" operator="equal">
      <formula>"hoch"</formula>
    </cfRule>
    <cfRule type="cellIs" dxfId="1196" priority="441" operator="equal">
      <formula>"mittel"</formula>
    </cfRule>
    <cfRule type="cellIs" dxfId="1195" priority="442" operator="equal">
      <formula>"gering"</formula>
    </cfRule>
    <cfRule type="cellIs" dxfId="1194" priority="443" operator="equal">
      <formula>"sehr gering"</formula>
    </cfRule>
  </conditionalFormatting>
  <conditionalFormatting sqref="I111:I113">
    <cfRule type="cellIs" dxfId="1193" priority="431" operator="equal">
      <formula>"führt zum Abbruch"</formula>
    </cfRule>
    <cfRule type="cellIs" dxfId="1192" priority="432" operator="equal">
      <formula>"sehr hoch"</formula>
    </cfRule>
    <cfRule type="cellIs" dxfId="1191" priority="433" operator="equal">
      <formula>"hoch"</formula>
    </cfRule>
    <cfRule type="cellIs" dxfId="1190" priority="434" operator="equal">
      <formula>"mittel"</formula>
    </cfRule>
    <cfRule type="cellIs" dxfId="1189" priority="435" operator="equal">
      <formula>"gering"</formula>
    </cfRule>
    <cfRule type="cellIs" dxfId="1188" priority="436" operator="equal">
      <formula>"sehr gering"</formula>
    </cfRule>
  </conditionalFormatting>
  <conditionalFormatting sqref="I120:I121">
    <cfRule type="cellIs" dxfId="1187" priority="424" operator="equal">
      <formula>"führt zum Abbruch"</formula>
    </cfRule>
    <cfRule type="cellIs" dxfId="1186" priority="425" operator="equal">
      <formula>"sehr hoch"</formula>
    </cfRule>
    <cfRule type="cellIs" dxfId="1185" priority="426" operator="equal">
      <formula>"hoch"</formula>
    </cfRule>
    <cfRule type="cellIs" dxfId="1184" priority="427" operator="equal">
      <formula>"mittel"</formula>
    </cfRule>
    <cfRule type="cellIs" dxfId="1183" priority="428" operator="equal">
      <formula>"gering"</formula>
    </cfRule>
    <cfRule type="cellIs" dxfId="1182" priority="429" operator="equal">
      <formula>"sehr gering"</formula>
    </cfRule>
  </conditionalFormatting>
  <conditionalFormatting sqref="I117:I119">
    <cfRule type="cellIs" dxfId="1181" priority="417" operator="equal">
      <formula>"führt zum Abbruch"</formula>
    </cfRule>
    <cfRule type="cellIs" dxfId="1180" priority="418" operator="equal">
      <formula>"sehr hoch"</formula>
    </cfRule>
    <cfRule type="cellIs" dxfId="1179" priority="419" operator="equal">
      <formula>"hoch"</formula>
    </cfRule>
    <cfRule type="cellIs" dxfId="1178" priority="420" operator="equal">
      <formula>"mittel"</formula>
    </cfRule>
    <cfRule type="cellIs" dxfId="1177" priority="421" operator="equal">
      <formula>"gering"</formula>
    </cfRule>
    <cfRule type="cellIs" dxfId="1176" priority="422" operator="equal">
      <formula>"sehr gering"</formula>
    </cfRule>
  </conditionalFormatting>
  <conditionalFormatting sqref="G42:G43">
    <cfRule type="cellIs" dxfId="1175" priority="410" operator="equal">
      <formula>"führt zum Abbruch"</formula>
    </cfRule>
    <cfRule type="cellIs" dxfId="1174" priority="411" operator="equal">
      <formula>"sehr hoch"</formula>
    </cfRule>
    <cfRule type="cellIs" dxfId="1173" priority="412" operator="equal">
      <formula>"hoch"</formula>
    </cfRule>
    <cfRule type="cellIs" dxfId="1172" priority="413" operator="equal">
      <formula>"mittel"</formula>
    </cfRule>
    <cfRule type="cellIs" dxfId="1171" priority="414" operator="equal">
      <formula>"gering"</formula>
    </cfRule>
    <cfRule type="cellIs" dxfId="1170" priority="415" operator="equal">
      <formula>"sehr gering"</formula>
    </cfRule>
  </conditionalFormatting>
  <conditionalFormatting sqref="G39:G41">
    <cfRule type="cellIs" dxfId="1169" priority="403" operator="equal">
      <formula>"führt zum Abbruch"</formula>
    </cfRule>
    <cfRule type="cellIs" dxfId="1168" priority="404" operator="equal">
      <formula>"sehr hoch"</formula>
    </cfRule>
    <cfRule type="cellIs" dxfId="1167" priority="405" operator="equal">
      <formula>"hoch"</formula>
    </cfRule>
    <cfRule type="cellIs" dxfId="1166" priority="406" operator="equal">
      <formula>"mittel"</formula>
    </cfRule>
    <cfRule type="cellIs" dxfId="1165" priority="407" operator="equal">
      <formula>"gering"</formula>
    </cfRule>
    <cfRule type="cellIs" dxfId="1164" priority="408" operator="equal">
      <formula>"sehr gering"</formula>
    </cfRule>
  </conditionalFormatting>
  <conditionalFormatting sqref="G66:G67">
    <cfRule type="cellIs" dxfId="1163" priority="396" operator="equal">
      <formula>"führt zum Abbruch"</formula>
    </cfRule>
    <cfRule type="cellIs" dxfId="1162" priority="397" operator="equal">
      <formula>"sehr hoch"</formula>
    </cfRule>
    <cfRule type="cellIs" dxfId="1161" priority="398" operator="equal">
      <formula>"hoch"</formula>
    </cfRule>
    <cfRule type="cellIs" dxfId="1160" priority="399" operator="equal">
      <formula>"mittel"</formula>
    </cfRule>
    <cfRule type="cellIs" dxfId="1159" priority="400" operator="equal">
      <formula>"gering"</formula>
    </cfRule>
    <cfRule type="cellIs" dxfId="1158" priority="401" operator="equal">
      <formula>"sehr gering"</formula>
    </cfRule>
  </conditionalFormatting>
  <conditionalFormatting sqref="G63:G65">
    <cfRule type="cellIs" dxfId="1157" priority="389" operator="equal">
      <formula>"führt zum Abbruch"</formula>
    </cfRule>
    <cfRule type="cellIs" dxfId="1156" priority="390" operator="equal">
      <formula>"sehr hoch"</formula>
    </cfRule>
    <cfRule type="cellIs" dxfId="1155" priority="391" operator="equal">
      <formula>"hoch"</formula>
    </cfRule>
    <cfRule type="cellIs" dxfId="1154" priority="392" operator="equal">
      <formula>"mittel"</formula>
    </cfRule>
    <cfRule type="cellIs" dxfId="1153" priority="393" operator="equal">
      <formula>"gering"</formula>
    </cfRule>
    <cfRule type="cellIs" dxfId="1152" priority="394" operator="equal">
      <formula>"sehr gering"</formula>
    </cfRule>
  </conditionalFormatting>
  <conditionalFormatting sqref="G72:G73">
    <cfRule type="cellIs" dxfId="1151" priority="382" operator="equal">
      <formula>"führt zum Abbruch"</formula>
    </cfRule>
    <cfRule type="cellIs" dxfId="1150" priority="383" operator="equal">
      <formula>"sehr hoch"</formula>
    </cfRule>
    <cfRule type="cellIs" dxfId="1149" priority="384" operator="equal">
      <formula>"hoch"</formula>
    </cfRule>
    <cfRule type="cellIs" dxfId="1148" priority="385" operator="equal">
      <formula>"mittel"</formula>
    </cfRule>
    <cfRule type="cellIs" dxfId="1147" priority="386" operator="equal">
      <formula>"gering"</formula>
    </cfRule>
    <cfRule type="cellIs" dxfId="1146" priority="387" operator="equal">
      <formula>"sehr gering"</formula>
    </cfRule>
  </conditionalFormatting>
  <conditionalFormatting sqref="G69:G71">
    <cfRule type="cellIs" dxfId="1145" priority="375" operator="equal">
      <formula>"führt zum Abbruch"</formula>
    </cfRule>
    <cfRule type="cellIs" dxfId="1144" priority="376" operator="equal">
      <formula>"sehr hoch"</formula>
    </cfRule>
    <cfRule type="cellIs" dxfId="1143" priority="377" operator="equal">
      <formula>"hoch"</formula>
    </cfRule>
    <cfRule type="cellIs" dxfId="1142" priority="378" operator="equal">
      <formula>"mittel"</formula>
    </cfRule>
    <cfRule type="cellIs" dxfId="1141" priority="379" operator="equal">
      <formula>"gering"</formula>
    </cfRule>
    <cfRule type="cellIs" dxfId="1140" priority="380" operator="equal">
      <formula>"sehr gering"</formula>
    </cfRule>
  </conditionalFormatting>
  <conditionalFormatting sqref="G78:G79">
    <cfRule type="cellIs" dxfId="1139" priority="368" operator="equal">
      <formula>"führt zum Abbruch"</formula>
    </cfRule>
    <cfRule type="cellIs" dxfId="1138" priority="369" operator="equal">
      <formula>"sehr hoch"</formula>
    </cfRule>
    <cfRule type="cellIs" dxfId="1137" priority="370" operator="equal">
      <formula>"hoch"</formula>
    </cfRule>
    <cfRule type="cellIs" dxfId="1136" priority="371" operator="equal">
      <formula>"mittel"</formula>
    </cfRule>
    <cfRule type="cellIs" dxfId="1135" priority="372" operator="equal">
      <formula>"gering"</formula>
    </cfRule>
    <cfRule type="cellIs" dxfId="1134" priority="373" operator="equal">
      <formula>"sehr gering"</formula>
    </cfRule>
  </conditionalFormatting>
  <conditionalFormatting sqref="G75:G77">
    <cfRule type="cellIs" dxfId="1133" priority="361" operator="equal">
      <formula>"führt zum Abbruch"</formula>
    </cfRule>
    <cfRule type="cellIs" dxfId="1132" priority="362" operator="equal">
      <formula>"sehr hoch"</formula>
    </cfRule>
    <cfRule type="cellIs" dxfId="1131" priority="363" operator="equal">
      <formula>"hoch"</formula>
    </cfRule>
    <cfRule type="cellIs" dxfId="1130" priority="364" operator="equal">
      <formula>"mittel"</formula>
    </cfRule>
    <cfRule type="cellIs" dxfId="1129" priority="365" operator="equal">
      <formula>"gering"</formula>
    </cfRule>
    <cfRule type="cellIs" dxfId="1128" priority="366" operator="equal">
      <formula>"sehr gering"</formula>
    </cfRule>
  </conditionalFormatting>
  <conditionalFormatting sqref="G84:G85">
    <cfRule type="cellIs" dxfId="1127" priority="354" operator="equal">
      <formula>"führt zum Abbruch"</formula>
    </cfRule>
    <cfRule type="cellIs" dxfId="1126" priority="355" operator="equal">
      <formula>"sehr hoch"</formula>
    </cfRule>
    <cfRule type="cellIs" dxfId="1125" priority="356" operator="equal">
      <formula>"hoch"</formula>
    </cfRule>
    <cfRule type="cellIs" dxfId="1124" priority="357" operator="equal">
      <formula>"mittel"</formula>
    </cfRule>
    <cfRule type="cellIs" dxfId="1123" priority="358" operator="equal">
      <formula>"gering"</formula>
    </cfRule>
    <cfRule type="cellIs" dxfId="1122" priority="359" operator="equal">
      <formula>"sehr gering"</formula>
    </cfRule>
  </conditionalFormatting>
  <conditionalFormatting sqref="G81:G83">
    <cfRule type="cellIs" dxfId="1121" priority="347" operator="equal">
      <formula>"führt zum Abbruch"</formula>
    </cfRule>
    <cfRule type="cellIs" dxfId="1120" priority="348" operator="equal">
      <formula>"sehr hoch"</formula>
    </cfRule>
    <cfRule type="cellIs" dxfId="1119" priority="349" operator="equal">
      <formula>"hoch"</formula>
    </cfRule>
    <cfRule type="cellIs" dxfId="1118" priority="350" operator="equal">
      <formula>"mittel"</formula>
    </cfRule>
    <cfRule type="cellIs" dxfId="1117" priority="351" operator="equal">
      <formula>"gering"</formula>
    </cfRule>
    <cfRule type="cellIs" dxfId="1116" priority="352" operator="equal">
      <formula>"sehr gering"</formula>
    </cfRule>
  </conditionalFormatting>
  <conditionalFormatting sqref="G90:G91">
    <cfRule type="cellIs" dxfId="1115" priority="340" operator="equal">
      <formula>"führt zum Abbruch"</formula>
    </cfRule>
    <cfRule type="cellIs" dxfId="1114" priority="341" operator="equal">
      <formula>"sehr hoch"</formula>
    </cfRule>
    <cfRule type="cellIs" dxfId="1113" priority="342" operator="equal">
      <formula>"hoch"</formula>
    </cfRule>
    <cfRule type="cellIs" dxfId="1112" priority="343" operator="equal">
      <formula>"mittel"</formula>
    </cfRule>
    <cfRule type="cellIs" dxfId="1111" priority="344" operator="equal">
      <formula>"gering"</formula>
    </cfRule>
    <cfRule type="cellIs" dxfId="1110" priority="345" operator="equal">
      <formula>"sehr gering"</formula>
    </cfRule>
  </conditionalFormatting>
  <conditionalFormatting sqref="G87:G89">
    <cfRule type="cellIs" dxfId="1109" priority="333" operator="equal">
      <formula>"führt zum Abbruch"</formula>
    </cfRule>
    <cfRule type="cellIs" dxfId="1108" priority="334" operator="equal">
      <formula>"sehr hoch"</formula>
    </cfRule>
    <cfRule type="cellIs" dxfId="1107" priority="335" operator="equal">
      <formula>"hoch"</formula>
    </cfRule>
    <cfRule type="cellIs" dxfId="1106" priority="336" operator="equal">
      <formula>"mittel"</formula>
    </cfRule>
    <cfRule type="cellIs" dxfId="1105" priority="337" operator="equal">
      <formula>"gering"</formula>
    </cfRule>
    <cfRule type="cellIs" dxfId="1104" priority="338" operator="equal">
      <formula>"sehr gering"</formula>
    </cfRule>
  </conditionalFormatting>
  <conditionalFormatting sqref="G96:G97">
    <cfRule type="cellIs" dxfId="1103" priority="326" operator="equal">
      <formula>"führt zum Abbruch"</formula>
    </cfRule>
    <cfRule type="cellIs" dxfId="1102" priority="327" operator="equal">
      <formula>"sehr hoch"</formula>
    </cfRule>
    <cfRule type="cellIs" dxfId="1101" priority="328" operator="equal">
      <formula>"hoch"</formula>
    </cfRule>
    <cfRule type="cellIs" dxfId="1100" priority="329" operator="equal">
      <formula>"mittel"</formula>
    </cfRule>
    <cfRule type="cellIs" dxfId="1099" priority="330" operator="equal">
      <formula>"gering"</formula>
    </cfRule>
    <cfRule type="cellIs" dxfId="1098" priority="331" operator="equal">
      <formula>"sehr gering"</formula>
    </cfRule>
  </conditionalFormatting>
  <conditionalFormatting sqref="G93:G95">
    <cfRule type="cellIs" dxfId="1097" priority="319" operator="equal">
      <formula>"führt zum Abbruch"</formula>
    </cfRule>
    <cfRule type="cellIs" dxfId="1096" priority="320" operator="equal">
      <formula>"sehr hoch"</formula>
    </cfRule>
    <cfRule type="cellIs" dxfId="1095" priority="321" operator="equal">
      <formula>"hoch"</formula>
    </cfRule>
    <cfRule type="cellIs" dxfId="1094" priority="322" operator="equal">
      <formula>"mittel"</formula>
    </cfRule>
    <cfRule type="cellIs" dxfId="1093" priority="323" operator="equal">
      <formula>"gering"</formula>
    </cfRule>
    <cfRule type="cellIs" dxfId="1092" priority="324" operator="equal">
      <formula>"sehr gering"</formula>
    </cfRule>
  </conditionalFormatting>
  <conditionalFormatting sqref="G102:G103">
    <cfRule type="cellIs" dxfId="1091" priority="312" operator="equal">
      <formula>"führt zum Abbruch"</formula>
    </cfRule>
    <cfRule type="cellIs" dxfId="1090" priority="313" operator="equal">
      <formula>"sehr hoch"</formula>
    </cfRule>
    <cfRule type="cellIs" dxfId="1089" priority="314" operator="equal">
      <formula>"hoch"</formula>
    </cfRule>
    <cfRule type="cellIs" dxfId="1088" priority="315" operator="equal">
      <formula>"mittel"</formula>
    </cfRule>
    <cfRule type="cellIs" dxfId="1087" priority="316" operator="equal">
      <formula>"gering"</formula>
    </cfRule>
    <cfRule type="cellIs" dxfId="1086" priority="317" operator="equal">
      <formula>"sehr gering"</formula>
    </cfRule>
  </conditionalFormatting>
  <conditionalFormatting sqref="G99:G101">
    <cfRule type="cellIs" dxfId="1085" priority="305" operator="equal">
      <formula>"führt zum Abbruch"</formula>
    </cfRule>
    <cfRule type="cellIs" dxfId="1084" priority="306" operator="equal">
      <formula>"sehr hoch"</formula>
    </cfRule>
    <cfRule type="cellIs" dxfId="1083" priority="307" operator="equal">
      <formula>"hoch"</formula>
    </cfRule>
    <cfRule type="cellIs" dxfId="1082" priority="308" operator="equal">
      <formula>"mittel"</formula>
    </cfRule>
    <cfRule type="cellIs" dxfId="1081" priority="309" operator="equal">
      <formula>"gering"</formula>
    </cfRule>
    <cfRule type="cellIs" dxfId="1080" priority="310" operator="equal">
      <formula>"sehr gering"</formula>
    </cfRule>
  </conditionalFormatting>
  <conditionalFormatting sqref="G108:G109">
    <cfRule type="cellIs" dxfId="1079" priority="298" operator="equal">
      <formula>"führt zum Abbruch"</formula>
    </cfRule>
    <cfRule type="cellIs" dxfId="1078" priority="299" operator="equal">
      <formula>"sehr hoch"</formula>
    </cfRule>
    <cfRule type="cellIs" dxfId="1077" priority="300" operator="equal">
      <formula>"hoch"</formula>
    </cfRule>
    <cfRule type="cellIs" dxfId="1076" priority="301" operator="equal">
      <formula>"mittel"</formula>
    </cfRule>
    <cfRule type="cellIs" dxfId="1075" priority="302" operator="equal">
      <formula>"gering"</formula>
    </cfRule>
    <cfRule type="cellIs" dxfId="1074" priority="303" operator="equal">
      <formula>"sehr gering"</formula>
    </cfRule>
  </conditionalFormatting>
  <conditionalFormatting sqref="G105:G107">
    <cfRule type="cellIs" dxfId="1073" priority="291" operator="equal">
      <formula>"führt zum Abbruch"</formula>
    </cfRule>
    <cfRule type="cellIs" dxfId="1072" priority="292" operator="equal">
      <formula>"sehr hoch"</formula>
    </cfRule>
    <cfRule type="cellIs" dxfId="1071" priority="293" operator="equal">
      <formula>"hoch"</formula>
    </cfRule>
    <cfRule type="cellIs" dxfId="1070" priority="294" operator="equal">
      <formula>"mittel"</formula>
    </cfRule>
    <cfRule type="cellIs" dxfId="1069" priority="295" operator="equal">
      <formula>"gering"</formula>
    </cfRule>
    <cfRule type="cellIs" dxfId="1068" priority="296" operator="equal">
      <formula>"sehr gering"</formula>
    </cfRule>
  </conditionalFormatting>
  <conditionalFormatting sqref="G114:G115">
    <cfRule type="cellIs" dxfId="1067" priority="284" operator="equal">
      <formula>"führt zum Abbruch"</formula>
    </cfRule>
    <cfRule type="cellIs" dxfId="1066" priority="285" operator="equal">
      <formula>"sehr hoch"</formula>
    </cfRule>
    <cfRule type="cellIs" dxfId="1065" priority="286" operator="equal">
      <formula>"hoch"</formula>
    </cfRule>
    <cfRule type="cellIs" dxfId="1064" priority="287" operator="equal">
      <formula>"mittel"</formula>
    </cfRule>
    <cfRule type="cellIs" dxfId="1063" priority="288" operator="equal">
      <formula>"gering"</formula>
    </cfRule>
    <cfRule type="cellIs" dxfId="1062" priority="289" operator="equal">
      <formula>"sehr gering"</formula>
    </cfRule>
  </conditionalFormatting>
  <conditionalFormatting sqref="G111:G113">
    <cfRule type="cellIs" dxfId="1061" priority="277" operator="equal">
      <formula>"führt zum Abbruch"</formula>
    </cfRule>
    <cfRule type="cellIs" dxfId="1060" priority="278" operator="equal">
      <formula>"sehr hoch"</formula>
    </cfRule>
    <cfRule type="cellIs" dxfId="1059" priority="279" operator="equal">
      <formula>"hoch"</formula>
    </cfRule>
    <cfRule type="cellIs" dxfId="1058" priority="280" operator="equal">
      <formula>"mittel"</formula>
    </cfRule>
    <cfRule type="cellIs" dxfId="1057" priority="281" operator="equal">
      <formula>"gering"</formula>
    </cfRule>
    <cfRule type="cellIs" dxfId="1056" priority="282" operator="equal">
      <formula>"sehr gering"</formula>
    </cfRule>
  </conditionalFormatting>
  <conditionalFormatting sqref="G120:G121">
    <cfRule type="cellIs" dxfId="1055" priority="270" operator="equal">
      <formula>"führt zum Abbruch"</formula>
    </cfRule>
    <cfRule type="cellIs" dxfId="1054" priority="271" operator="equal">
      <formula>"sehr hoch"</formula>
    </cfRule>
    <cfRule type="cellIs" dxfId="1053" priority="272" operator="equal">
      <formula>"hoch"</formula>
    </cfRule>
    <cfRule type="cellIs" dxfId="1052" priority="273" operator="equal">
      <formula>"mittel"</formula>
    </cfRule>
    <cfRule type="cellIs" dxfId="1051" priority="274" operator="equal">
      <formula>"gering"</formula>
    </cfRule>
    <cfRule type="cellIs" dxfId="1050" priority="275" operator="equal">
      <formula>"sehr gering"</formula>
    </cfRule>
  </conditionalFormatting>
  <conditionalFormatting sqref="G117:G119">
    <cfRule type="cellIs" dxfId="1049" priority="263" operator="equal">
      <formula>"führt zum Abbruch"</formula>
    </cfRule>
    <cfRule type="cellIs" dxfId="1048" priority="264" operator="equal">
      <formula>"sehr hoch"</formula>
    </cfRule>
    <cfRule type="cellIs" dxfId="1047" priority="265" operator="equal">
      <formula>"hoch"</formula>
    </cfRule>
    <cfRule type="cellIs" dxfId="1046" priority="266" operator="equal">
      <formula>"mittel"</formula>
    </cfRule>
    <cfRule type="cellIs" dxfId="1045" priority="267" operator="equal">
      <formula>"gering"</formula>
    </cfRule>
    <cfRule type="cellIs" dxfId="1044" priority="268" operator="equal">
      <formula>"sehr gering"</formula>
    </cfRule>
  </conditionalFormatting>
  <conditionalFormatting sqref="H48:H49">
    <cfRule type="cellIs" dxfId="1043" priority="155" operator="equal">
      <formula>"sehr hoch"</formula>
    </cfRule>
    <cfRule type="cellIs" dxfId="1042" priority="156" operator="equal">
      <formula>"hoch"</formula>
    </cfRule>
    <cfRule type="cellIs" dxfId="1041" priority="157" operator="equal">
      <formula>"mittel"</formula>
    </cfRule>
    <cfRule type="cellIs" dxfId="1040" priority="158" operator="equal">
      <formula>"gering"</formula>
    </cfRule>
    <cfRule type="cellIs" dxfId="1039" priority="159" operator="equal">
      <formula>"sehr gering"</formula>
    </cfRule>
    <cfRule type="cellIs" dxfId="1038" priority="160" operator="equal">
      <formula>"trifft nicht ein"</formula>
    </cfRule>
  </conditionalFormatting>
  <conditionalFormatting sqref="I48:I49">
    <cfRule type="cellIs" dxfId="1037" priority="149" operator="equal">
      <formula>"führt zum Abbruch"</formula>
    </cfRule>
    <cfRule type="cellIs" dxfId="1036" priority="150" operator="equal">
      <formula>"sehr hoch"</formula>
    </cfRule>
    <cfRule type="cellIs" dxfId="1035" priority="151" operator="equal">
      <formula>"hoch"</formula>
    </cfRule>
    <cfRule type="cellIs" dxfId="1034" priority="152" operator="equal">
      <formula>"mittel"</formula>
    </cfRule>
    <cfRule type="cellIs" dxfId="1033" priority="153" operator="equal">
      <formula>"gering"</formula>
    </cfRule>
    <cfRule type="cellIs" dxfId="1032" priority="154" operator="equal">
      <formula>"sehr gering"</formula>
    </cfRule>
  </conditionalFormatting>
  <conditionalFormatting sqref="G48:G49">
    <cfRule type="cellIs" dxfId="1031" priority="142" operator="equal">
      <formula>"führt zum Abbruch"</formula>
    </cfRule>
    <cfRule type="cellIs" dxfId="1030" priority="143" operator="equal">
      <formula>"sehr hoch"</formula>
    </cfRule>
    <cfRule type="cellIs" dxfId="1029" priority="144" operator="equal">
      <formula>"hoch"</formula>
    </cfRule>
    <cfRule type="cellIs" dxfId="1028" priority="145" operator="equal">
      <formula>"mittel"</formula>
    </cfRule>
    <cfRule type="cellIs" dxfId="1027" priority="146" operator="equal">
      <formula>"gering"</formula>
    </cfRule>
    <cfRule type="cellIs" dxfId="1026" priority="147" operator="equal">
      <formula>"sehr gering"</formula>
    </cfRule>
  </conditionalFormatting>
  <conditionalFormatting sqref="H45:H47">
    <cfRule type="cellIs" dxfId="1025" priority="135" operator="equal">
      <formula>"sehr hoch"</formula>
    </cfRule>
    <cfRule type="cellIs" dxfId="1024" priority="136" operator="equal">
      <formula>"hoch"</formula>
    </cfRule>
    <cfRule type="cellIs" dxfId="1023" priority="137" operator="equal">
      <formula>"mittel"</formula>
    </cfRule>
    <cfRule type="cellIs" dxfId="1022" priority="138" operator="equal">
      <formula>"gering"</formula>
    </cfRule>
    <cfRule type="cellIs" dxfId="1021" priority="139" operator="equal">
      <formula>"sehr gering"</formula>
    </cfRule>
    <cfRule type="cellIs" dxfId="1020" priority="140" operator="equal">
      <formula>"trifft nicht ein"</formula>
    </cfRule>
  </conditionalFormatting>
  <conditionalFormatting sqref="I45:I47">
    <cfRule type="cellIs" dxfId="1019" priority="129" operator="equal">
      <formula>"führt zum Abbruch"</formula>
    </cfRule>
    <cfRule type="cellIs" dxfId="1018" priority="130" operator="equal">
      <formula>"sehr hoch"</formula>
    </cfRule>
    <cfRule type="cellIs" dxfId="1017" priority="131" operator="equal">
      <formula>"hoch"</formula>
    </cfRule>
    <cfRule type="cellIs" dxfId="1016" priority="132" operator="equal">
      <formula>"mittel"</formula>
    </cfRule>
    <cfRule type="cellIs" dxfId="1015" priority="133" operator="equal">
      <formula>"gering"</formula>
    </cfRule>
    <cfRule type="cellIs" dxfId="1014" priority="134" operator="equal">
      <formula>"sehr gering"</formula>
    </cfRule>
  </conditionalFormatting>
  <conditionalFormatting sqref="G45:G47">
    <cfRule type="cellIs" dxfId="1013" priority="122" operator="equal">
      <formula>"führt zum Abbruch"</formula>
    </cfRule>
    <cfRule type="cellIs" dxfId="1012" priority="123" operator="equal">
      <formula>"sehr hoch"</formula>
    </cfRule>
    <cfRule type="cellIs" dxfId="1011" priority="124" operator="equal">
      <formula>"hoch"</formula>
    </cfRule>
    <cfRule type="cellIs" dxfId="1010" priority="125" operator="equal">
      <formula>"mittel"</formula>
    </cfRule>
    <cfRule type="cellIs" dxfId="1009" priority="126" operator="equal">
      <formula>"gering"</formula>
    </cfRule>
    <cfRule type="cellIs" dxfId="1008" priority="127" operator="equal">
      <formula>"sehr gering"</formula>
    </cfRule>
  </conditionalFormatting>
  <conditionalFormatting sqref="H54:H55">
    <cfRule type="cellIs" dxfId="1007" priority="115" operator="equal">
      <formula>"sehr hoch"</formula>
    </cfRule>
    <cfRule type="cellIs" dxfId="1006" priority="116" operator="equal">
      <formula>"hoch"</formula>
    </cfRule>
    <cfRule type="cellIs" dxfId="1005" priority="117" operator="equal">
      <formula>"mittel"</formula>
    </cfRule>
    <cfRule type="cellIs" dxfId="1004" priority="118" operator="equal">
      <formula>"gering"</formula>
    </cfRule>
    <cfRule type="cellIs" dxfId="1003" priority="119" operator="equal">
      <formula>"sehr gering"</formula>
    </cfRule>
    <cfRule type="cellIs" dxfId="1002" priority="120" operator="equal">
      <formula>"trifft nicht ein"</formula>
    </cfRule>
  </conditionalFormatting>
  <conditionalFormatting sqref="I54:I55">
    <cfRule type="cellIs" dxfId="1001" priority="109" operator="equal">
      <formula>"führt zum Abbruch"</formula>
    </cfRule>
    <cfRule type="cellIs" dxfId="1000" priority="110" operator="equal">
      <formula>"sehr hoch"</formula>
    </cfRule>
    <cfRule type="cellIs" dxfId="999" priority="111" operator="equal">
      <formula>"hoch"</formula>
    </cfRule>
    <cfRule type="cellIs" dxfId="998" priority="112" operator="equal">
      <formula>"mittel"</formula>
    </cfRule>
    <cfRule type="cellIs" dxfId="997" priority="113" operator="equal">
      <formula>"gering"</formula>
    </cfRule>
    <cfRule type="cellIs" dxfId="996" priority="114" operator="equal">
      <formula>"sehr gering"</formula>
    </cfRule>
  </conditionalFormatting>
  <conditionalFormatting sqref="G54:G55">
    <cfRule type="cellIs" dxfId="995" priority="102" operator="equal">
      <formula>"führt zum Abbruch"</formula>
    </cfRule>
    <cfRule type="cellIs" dxfId="994" priority="103" operator="equal">
      <formula>"sehr hoch"</formula>
    </cfRule>
    <cfRule type="cellIs" dxfId="993" priority="104" operator="equal">
      <formula>"hoch"</formula>
    </cfRule>
    <cfRule type="cellIs" dxfId="992" priority="105" operator="equal">
      <formula>"mittel"</formula>
    </cfRule>
    <cfRule type="cellIs" dxfId="991" priority="106" operator="equal">
      <formula>"gering"</formula>
    </cfRule>
    <cfRule type="cellIs" dxfId="990" priority="107" operator="equal">
      <formula>"sehr gering"</formula>
    </cfRule>
  </conditionalFormatting>
  <conditionalFormatting sqref="H51:H53">
    <cfRule type="cellIs" dxfId="989" priority="95" operator="equal">
      <formula>"sehr hoch"</formula>
    </cfRule>
    <cfRule type="cellIs" dxfId="988" priority="96" operator="equal">
      <formula>"hoch"</formula>
    </cfRule>
    <cfRule type="cellIs" dxfId="987" priority="97" operator="equal">
      <formula>"mittel"</formula>
    </cfRule>
    <cfRule type="cellIs" dxfId="986" priority="98" operator="equal">
      <formula>"gering"</formula>
    </cfRule>
    <cfRule type="cellIs" dxfId="985" priority="99" operator="equal">
      <formula>"sehr gering"</formula>
    </cfRule>
    <cfRule type="cellIs" dxfId="984" priority="100" operator="equal">
      <formula>"trifft nicht ein"</formula>
    </cfRule>
  </conditionalFormatting>
  <conditionalFormatting sqref="I51:I53">
    <cfRule type="cellIs" dxfId="983" priority="89" operator="equal">
      <formula>"führt zum Abbruch"</formula>
    </cfRule>
    <cfRule type="cellIs" dxfId="982" priority="90" operator="equal">
      <formula>"sehr hoch"</formula>
    </cfRule>
    <cfRule type="cellIs" dxfId="981" priority="91" operator="equal">
      <formula>"hoch"</formula>
    </cfRule>
    <cfRule type="cellIs" dxfId="980" priority="92" operator="equal">
      <formula>"mittel"</formula>
    </cfRule>
    <cfRule type="cellIs" dxfId="979" priority="93" operator="equal">
      <formula>"gering"</formula>
    </cfRule>
    <cfRule type="cellIs" dxfId="978" priority="94" operator="equal">
      <formula>"sehr gering"</formula>
    </cfRule>
  </conditionalFormatting>
  <conditionalFormatting sqref="G51:G53">
    <cfRule type="cellIs" dxfId="977" priority="82" operator="equal">
      <formula>"führt zum Abbruch"</formula>
    </cfRule>
    <cfRule type="cellIs" dxfId="976" priority="83" operator="equal">
      <formula>"sehr hoch"</formula>
    </cfRule>
    <cfRule type="cellIs" dxfId="975" priority="84" operator="equal">
      <formula>"hoch"</formula>
    </cfRule>
    <cfRule type="cellIs" dxfId="974" priority="85" operator="equal">
      <formula>"mittel"</formula>
    </cfRule>
    <cfRule type="cellIs" dxfId="973" priority="86" operator="equal">
      <formula>"gering"</formula>
    </cfRule>
    <cfRule type="cellIs" dxfId="972" priority="87" operator="equal">
      <formula>"sehr gering"</formula>
    </cfRule>
  </conditionalFormatting>
  <conditionalFormatting sqref="H60:H61">
    <cfRule type="cellIs" dxfId="971" priority="75" operator="equal">
      <formula>"sehr hoch"</formula>
    </cfRule>
    <cfRule type="cellIs" dxfId="970" priority="76" operator="equal">
      <formula>"hoch"</formula>
    </cfRule>
    <cfRule type="cellIs" dxfId="969" priority="77" operator="equal">
      <formula>"mittel"</formula>
    </cfRule>
    <cfRule type="cellIs" dxfId="968" priority="78" operator="equal">
      <formula>"gering"</formula>
    </cfRule>
    <cfRule type="cellIs" dxfId="967" priority="79" operator="equal">
      <formula>"sehr gering"</formula>
    </cfRule>
    <cfRule type="cellIs" dxfId="966" priority="80" operator="equal">
      <formula>"trifft nicht ein"</formula>
    </cfRule>
  </conditionalFormatting>
  <conditionalFormatting sqref="I60:I61">
    <cfRule type="cellIs" dxfId="965" priority="69" operator="equal">
      <formula>"führt zum Abbruch"</formula>
    </cfRule>
    <cfRule type="cellIs" dxfId="964" priority="70" operator="equal">
      <formula>"sehr hoch"</formula>
    </cfRule>
    <cfRule type="cellIs" dxfId="963" priority="71" operator="equal">
      <formula>"hoch"</formula>
    </cfRule>
    <cfRule type="cellIs" dxfId="962" priority="72" operator="equal">
      <formula>"mittel"</formula>
    </cfRule>
    <cfRule type="cellIs" dxfId="961" priority="73" operator="equal">
      <formula>"gering"</formula>
    </cfRule>
    <cfRule type="cellIs" dxfId="960" priority="74" operator="equal">
      <formula>"sehr gering"</formula>
    </cfRule>
  </conditionalFormatting>
  <conditionalFormatting sqref="G60:G61">
    <cfRule type="cellIs" dxfId="959" priority="62" operator="equal">
      <formula>"führt zum Abbruch"</formula>
    </cfRule>
    <cfRule type="cellIs" dxfId="958" priority="63" operator="equal">
      <formula>"sehr hoch"</formula>
    </cfRule>
    <cfRule type="cellIs" dxfId="957" priority="64" operator="equal">
      <formula>"hoch"</formula>
    </cfRule>
    <cfRule type="cellIs" dxfId="956" priority="65" operator="equal">
      <formula>"mittel"</formula>
    </cfRule>
    <cfRule type="cellIs" dxfId="955" priority="66" operator="equal">
      <formula>"gering"</formula>
    </cfRule>
    <cfRule type="cellIs" dxfId="954" priority="67" operator="equal">
      <formula>"sehr gering"</formula>
    </cfRule>
  </conditionalFormatting>
  <conditionalFormatting sqref="H57:H59">
    <cfRule type="cellIs" dxfId="953" priority="55" operator="equal">
      <formula>"sehr hoch"</formula>
    </cfRule>
    <cfRule type="cellIs" dxfId="952" priority="56" operator="equal">
      <formula>"hoch"</formula>
    </cfRule>
    <cfRule type="cellIs" dxfId="951" priority="57" operator="equal">
      <formula>"mittel"</formula>
    </cfRule>
    <cfRule type="cellIs" dxfId="950" priority="58" operator="equal">
      <formula>"gering"</formula>
    </cfRule>
    <cfRule type="cellIs" dxfId="949" priority="59" operator="equal">
      <formula>"sehr gering"</formula>
    </cfRule>
    <cfRule type="cellIs" dxfId="948" priority="60" operator="equal">
      <formula>"trifft nicht ein"</formula>
    </cfRule>
  </conditionalFormatting>
  <conditionalFormatting sqref="I57:I59">
    <cfRule type="cellIs" dxfId="947" priority="49" operator="equal">
      <formula>"führt zum Abbruch"</formula>
    </cfRule>
    <cfRule type="cellIs" dxfId="946" priority="50" operator="equal">
      <formula>"sehr hoch"</formula>
    </cfRule>
    <cfRule type="cellIs" dxfId="945" priority="51" operator="equal">
      <formula>"hoch"</formula>
    </cfRule>
    <cfRule type="cellIs" dxfId="944" priority="52" operator="equal">
      <formula>"mittel"</formula>
    </cfRule>
    <cfRule type="cellIs" dxfId="943" priority="53" operator="equal">
      <formula>"gering"</formula>
    </cfRule>
    <cfRule type="cellIs" dxfId="942" priority="54" operator="equal">
      <formula>"sehr gering"</formula>
    </cfRule>
  </conditionalFormatting>
  <conditionalFormatting sqref="G57:G59">
    <cfRule type="cellIs" dxfId="941" priority="42" operator="equal">
      <formula>"führt zum Abbruch"</formula>
    </cfRule>
    <cfRule type="cellIs" dxfId="940" priority="43" operator="equal">
      <formula>"sehr hoch"</formula>
    </cfRule>
    <cfRule type="cellIs" dxfId="939" priority="44" operator="equal">
      <formula>"hoch"</formula>
    </cfRule>
    <cfRule type="cellIs" dxfId="938" priority="45" operator="equal">
      <formula>"mittel"</formula>
    </cfRule>
    <cfRule type="cellIs" dxfId="937" priority="46" operator="equal">
      <formula>"gering"</formula>
    </cfRule>
    <cfRule type="cellIs" dxfId="936" priority="47" operator="equal">
      <formula>"sehr gering"</formula>
    </cfRule>
  </conditionalFormatting>
  <conditionalFormatting sqref="H36:H37">
    <cfRule type="cellIs" dxfId="935" priority="35" operator="equal">
      <formula>"sehr hoch"</formula>
    </cfRule>
    <cfRule type="cellIs" dxfId="934" priority="36" operator="equal">
      <formula>"hoch"</formula>
    </cfRule>
    <cfRule type="cellIs" dxfId="933" priority="37" operator="equal">
      <formula>"mittel"</formula>
    </cfRule>
    <cfRule type="cellIs" dxfId="932" priority="38" operator="equal">
      <formula>"gering"</formula>
    </cfRule>
    <cfRule type="cellIs" dxfId="931" priority="39" operator="equal">
      <formula>"sehr gering"</formula>
    </cfRule>
    <cfRule type="cellIs" dxfId="930" priority="40" operator="equal">
      <formula>"trifft nicht ein"</formula>
    </cfRule>
  </conditionalFormatting>
  <conditionalFormatting sqref="I36:I37">
    <cfRule type="cellIs" dxfId="929" priority="29" operator="equal">
      <formula>"führt zum Abbruch"</formula>
    </cfRule>
    <cfRule type="cellIs" dxfId="928" priority="30" operator="equal">
      <formula>"sehr hoch"</formula>
    </cfRule>
    <cfRule type="cellIs" dxfId="927" priority="31" operator="equal">
      <formula>"hoch"</formula>
    </cfRule>
    <cfRule type="cellIs" dxfId="926" priority="32" operator="equal">
      <formula>"mittel"</formula>
    </cfRule>
    <cfRule type="cellIs" dxfId="925" priority="33" operator="equal">
      <formula>"gering"</formula>
    </cfRule>
    <cfRule type="cellIs" dxfId="924" priority="34" operator="equal">
      <formula>"sehr gering"</formula>
    </cfRule>
  </conditionalFormatting>
  <conditionalFormatting sqref="G36:G37">
    <cfRule type="cellIs" dxfId="923" priority="22" operator="equal">
      <formula>"führt zum Abbruch"</formula>
    </cfRule>
    <cfRule type="cellIs" dxfId="922" priority="23" operator="equal">
      <formula>"sehr hoch"</formula>
    </cfRule>
    <cfRule type="cellIs" dxfId="921" priority="24" operator="equal">
      <formula>"hoch"</formula>
    </cfRule>
    <cfRule type="cellIs" dxfId="920" priority="25" operator="equal">
      <formula>"mittel"</formula>
    </cfRule>
    <cfRule type="cellIs" dxfId="919" priority="26" operator="equal">
      <formula>"gering"</formula>
    </cfRule>
    <cfRule type="cellIs" dxfId="918" priority="27" operator="equal">
      <formula>"sehr gering"</formula>
    </cfRule>
  </conditionalFormatting>
  <conditionalFormatting sqref="H33:H35">
    <cfRule type="cellIs" dxfId="917" priority="15" operator="equal">
      <formula>"sehr hoch"</formula>
    </cfRule>
    <cfRule type="cellIs" dxfId="916" priority="16" operator="equal">
      <formula>"hoch"</formula>
    </cfRule>
    <cfRule type="cellIs" dxfId="915" priority="17" operator="equal">
      <formula>"mittel"</formula>
    </cfRule>
    <cfRule type="cellIs" dxfId="914" priority="18" operator="equal">
      <formula>"gering"</formula>
    </cfRule>
    <cfRule type="cellIs" dxfId="913" priority="19" operator="equal">
      <formula>"sehr gering"</formula>
    </cfRule>
    <cfRule type="cellIs" dxfId="912" priority="20" operator="equal">
      <formula>"trifft nicht ein"</formula>
    </cfRule>
  </conditionalFormatting>
  <conditionalFormatting sqref="I33:I35">
    <cfRule type="cellIs" dxfId="911" priority="9" operator="equal">
      <formula>"führt zum Abbruch"</formula>
    </cfRule>
    <cfRule type="cellIs" dxfId="910" priority="10" operator="equal">
      <formula>"sehr hoch"</formula>
    </cfRule>
    <cfRule type="cellIs" dxfId="909" priority="11" operator="equal">
      <formula>"hoch"</formula>
    </cfRule>
    <cfRule type="cellIs" dxfId="908" priority="12" operator="equal">
      <formula>"mittel"</formula>
    </cfRule>
    <cfRule type="cellIs" dxfId="907" priority="13" operator="equal">
      <formula>"gering"</formula>
    </cfRule>
    <cfRule type="cellIs" dxfId="906" priority="14" operator="equal">
      <formula>"sehr gering"</formula>
    </cfRule>
  </conditionalFormatting>
  <conditionalFormatting sqref="G33:G35">
    <cfRule type="cellIs" dxfId="905" priority="2" operator="equal">
      <formula>"führt zum Abbruch"</formula>
    </cfRule>
    <cfRule type="cellIs" dxfId="904" priority="3" operator="equal">
      <formula>"sehr hoch"</formula>
    </cfRule>
    <cfRule type="cellIs" dxfId="903" priority="4" operator="equal">
      <formula>"hoch"</formula>
    </cfRule>
    <cfRule type="cellIs" dxfId="902" priority="5" operator="equal">
      <formula>"mittel"</formula>
    </cfRule>
    <cfRule type="cellIs" dxfId="901" priority="6" operator="equal">
      <formula>"gering"</formula>
    </cfRule>
    <cfRule type="cellIs" dxfId="900" priority="7" operator="equal">
      <formula>"sehr gering"</formula>
    </cfRule>
  </conditionalFormatting>
  <pageMargins left="0.70866141732283472" right="0.70866141732283472" top="0.78740157480314965" bottom="0.78740157480314965" header="0.31496062992125984" footer="0.31496062992125984"/>
  <pageSetup paperSize="8" scale="29" orientation="portrait" r:id="rId1"/>
  <headerFooter>
    <oddHeader>&amp;CSTEP-Analyse</oddHeader>
    <oddFooter xml:space="preserve">&amp;C22
</oddFooter>
  </headerFooter>
  <drawing r:id="rId2"/>
  <legacyDrawing r:id="rId3"/>
  <controls>
    <mc:AlternateContent xmlns:mc="http://schemas.openxmlformats.org/markup-compatibility/2006">
      <mc:Choice Requires="x14">
        <control shapeId="129025" r:id="rId4" name="ComboBox1">
          <controlPr defaultSize="0" autoLine="0" r:id="rId5">
            <anchor moveWithCells="1">
              <from>
                <xdr:col>3</xdr:col>
                <xdr:colOff>47625</xdr:colOff>
                <xdr:row>30</xdr:row>
                <xdr:rowOff>76200</xdr:rowOff>
              </from>
              <to>
                <xdr:col>4</xdr:col>
                <xdr:colOff>152400</xdr:colOff>
                <xdr:row>30</xdr:row>
                <xdr:rowOff>847725</xdr:rowOff>
              </to>
            </anchor>
          </controlPr>
        </control>
      </mc:Choice>
      <mc:Fallback>
        <control shapeId="129025" r:id="rId4" name="ComboBox1"/>
      </mc:Fallback>
    </mc:AlternateContent>
    <mc:AlternateContent xmlns:mc="http://schemas.openxmlformats.org/markup-compatibility/2006">
      <mc:Choice Requires="x14">
        <control shapeId="129026" r:id="rId6" name="Löschbutton">
          <controlPr defaultSize="0" autoLine="0" r:id="rId7">
            <anchor moveWithCells="1">
              <from>
                <xdr:col>0</xdr:col>
                <xdr:colOff>266700</xdr:colOff>
                <xdr:row>30</xdr:row>
                <xdr:rowOff>38100</xdr:rowOff>
              </from>
              <to>
                <xdr:col>1</xdr:col>
                <xdr:colOff>2819400</xdr:colOff>
                <xdr:row>30</xdr:row>
                <xdr:rowOff>847725</xdr:rowOff>
              </to>
            </anchor>
          </controlPr>
        </control>
      </mc:Choice>
      <mc:Fallback>
        <control shapeId="129026" r:id="rId6" name="Löschbutton"/>
      </mc:Fallback>
    </mc:AlternateContent>
    <mc:AlternateContent xmlns:mc="http://schemas.openxmlformats.org/markup-compatibility/2006">
      <mc:Choice Requires="x14">
        <control shapeId="129027" r:id="rId8" name="Portfolioview">
          <controlPr defaultSize="0" autoLine="0" r:id="rId9">
            <anchor moveWithCells="1">
              <from>
                <xdr:col>2</xdr:col>
                <xdr:colOff>28575</xdr:colOff>
                <xdr:row>30</xdr:row>
                <xdr:rowOff>47625</xdr:rowOff>
              </from>
              <to>
                <xdr:col>2</xdr:col>
                <xdr:colOff>3324225</xdr:colOff>
                <xdr:row>30</xdr:row>
                <xdr:rowOff>847725</xdr:rowOff>
              </to>
            </anchor>
          </controlPr>
        </control>
      </mc:Choice>
      <mc:Fallback>
        <control shapeId="129027" r:id="rId8" name="Portfolioview"/>
      </mc:Fallback>
    </mc:AlternateContent>
    <mc:AlternateContent xmlns:mc="http://schemas.openxmlformats.org/markup-compatibility/2006">
      <mc:Choice Requires="x14">
        <control shapeId="129028" r:id="rId10" name="Zeileneinfügen">
          <controlPr defaultSize="0" autoLine="0" r:id="rId11">
            <anchor moveWithCells="1">
              <from>
                <xdr:col>3</xdr:col>
                <xdr:colOff>19050</xdr:colOff>
                <xdr:row>30</xdr:row>
                <xdr:rowOff>47625</xdr:rowOff>
              </from>
              <to>
                <xdr:col>4</xdr:col>
                <xdr:colOff>0</xdr:colOff>
                <xdr:row>30</xdr:row>
                <xdr:rowOff>847725</xdr:rowOff>
              </to>
            </anchor>
          </controlPr>
        </control>
      </mc:Choice>
      <mc:Fallback>
        <control shapeId="129028" r:id="rId10" name="Zeileneinfügen"/>
      </mc:Fallback>
    </mc:AlternateContent>
    <mc:AlternateContent xmlns:mc="http://schemas.openxmlformats.org/markup-compatibility/2006">
      <mc:Choice Requires="x14">
        <control shapeId="129029" r:id="rId12" name="CommandButton1">
          <controlPr defaultSize="0" autoLine="0" r:id="rId13">
            <anchor moveWithCells="1">
              <from>
                <xdr:col>6</xdr:col>
                <xdr:colOff>38100</xdr:colOff>
                <xdr:row>125</xdr:row>
                <xdr:rowOff>38100</xdr:rowOff>
              </from>
              <to>
                <xdr:col>8</xdr:col>
                <xdr:colOff>533400</xdr:colOff>
                <xdr:row>128</xdr:row>
                <xdr:rowOff>104775</xdr:rowOff>
              </to>
            </anchor>
          </controlPr>
        </control>
      </mc:Choice>
      <mc:Fallback>
        <control shapeId="129029" r:id="rId12"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cellIs" priority="786" operator="between" id="{A4B800FB-E2AD-494E-829F-1DB86A61D22A}">
            <xm:f>'Modell-Kalibrierung'!$C$7+1%</xm:f>
            <xm:f>"0Kalibrierung!$E$8"</xm:f>
            <x14:dxf>
              <font>
                <color theme="0"/>
              </font>
              <fill>
                <patternFill>
                  <bgColor theme="5" tint="-0.499984740745262"/>
                </patternFill>
              </fill>
            </x14:dxf>
          </x14:cfRule>
          <x14:cfRule type="cellIs" priority="787" operator="between" id="{D2DB7CAD-6E81-4CA6-8DEF-35E826410469}">
            <xm:f>'Modell-Kalibrierung'!$C$6+1%</xm:f>
            <xm:f>"0Kalibrierung!$E$7"</xm:f>
            <x14:dxf>
              <fill>
                <patternFill>
                  <bgColor theme="5" tint="-0.24994659260841701"/>
                </patternFill>
              </fill>
            </x14:dxf>
          </x14:cfRule>
          <x14:cfRule type="cellIs" priority="788" operator="between" id="{8AA0D599-D9FA-4900-8DE5-66E4B61E4496}">
            <xm:f>'Modell-Kalibrierung'!$C$5+1%</xm:f>
            <xm:f>"0Kalibrierung!$E$6"</xm:f>
            <x14:dxf>
              <fill>
                <patternFill>
                  <bgColor theme="5" tint="0.39994506668294322"/>
                </patternFill>
              </fill>
            </x14:dxf>
          </x14:cfRule>
          <x14:cfRule type="cellIs" priority="789" operator="between" id="{43A0EBD6-BE2F-42AB-8907-4EAD6F04DD93}">
            <xm:f>'Modell-Kalibrierung'!$C$4+1%</xm:f>
            <xm:f>"0Kalibrierung!$E$5"</xm:f>
            <x14:dxf>
              <fill>
                <patternFill>
                  <bgColor theme="5" tint="0.59996337778862885"/>
                </patternFill>
              </fill>
            </x14:dxf>
          </x14:cfRule>
          <x14:cfRule type="cellIs" priority="790" operator="between" id="{08EDBFB5-6F71-45F6-8F52-FC76691A34F8}">
            <xm:f>'Modell-Kalibrierung'!$C$3+1%</xm:f>
            <xm:f>'Modell-Kalibrierung'!$C$4</xm:f>
            <x14:dxf>
              <fill>
                <patternFill>
                  <bgColor theme="5" tint="0.79998168889431442"/>
                </patternFill>
              </fill>
            </x14:dxf>
          </x14:cfRule>
          <x14:cfRule type="cellIs" priority="791" operator="equal" id="{6FB7808D-99B6-47A1-80C4-928947F851C8}">
            <xm:f>'Modell-Kalibrierung'!$C$3</xm:f>
            <x14:dxf>
              <fill>
                <patternFill>
                  <bgColor theme="0"/>
                </patternFill>
              </fill>
            </x14:dxf>
          </x14:cfRule>
          <xm:sqref>J33:J34 J36:J37</xm:sqref>
        </x14:conditionalFormatting>
        <x14:conditionalFormatting xmlns:xm="http://schemas.microsoft.com/office/excel/2006/main">
          <x14:cfRule type="cellIs" priority="780" operator="between" id="{8CF5D3B9-2CB3-4FF8-AB7A-3F8FD7476DDE}">
            <xm:f>'Modell-Kalibrierung'!$C$7+1%</xm:f>
            <xm:f>"0Kalibrierung!$E$8"</xm:f>
            <x14:dxf>
              <font>
                <color theme="0"/>
              </font>
              <fill>
                <patternFill>
                  <bgColor theme="5" tint="-0.499984740745262"/>
                </patternFill>
              </fill>
            </x14:dxf>
          </x14:cfRule>
          <x14:cfRule type="cellIs" priority="781" operator="between" id="{763B38F0-4A70-49C7-B1B4-ABAC0D19BCA5}">
            <xm:f>'Modell-Kalibrierung'!$C$6+1%</xm:f>
            <xm:f>"0Kalibrierung!$E$7"</xm:f>
            <x14:dxf>
              <fill>
                <patternFill>
                  <bgColor theme="5" tint="-0.24994659260841701"/>
                </patternFill>
              </fill>
            </x14:dxf>
          </x14:cfRule>
          <x14:cfRule type="cellIs" priority="782" operator="between" id="{FE159B18-8DC6-469A-8C87-4A56D443E87C}">
            <xm:f>'Modell-Kalibrierung'!$C$5+1%</xm:f>
            <xm:f>"0Kalibrierung!$E$6"</xm:f>
            <x14:dxf>
              <fill>
                <patternFill>
                  <bgColor theme="5" tint="0.39994506668294322"/>
                </patternFill>
              </fill>
            </x14:dxf>
          </x14:cfRule>
          <x14:cfRule type="cellIs" priority="783" operator="between" id="{10F27CA8-B321-4D3F-A6A7-402D2D982F6B}">
            <xm:f>'Modell-Kalibrierung'!$C$4+1%</xm:f>
            <xm:f>"0Kalibrierung!$E$5"</xm:f>
            <x14:dxf>
              <fill>
                <patternFill>
                  <bgColor theme="5" tint="0.59996337778862885"/>
                </patternFill>
              </fill>
            </x14:dxf>
          </x14:cfRule>
          <x14:cfRule type="cellIs" priority="784" operator="between" id="{D9CA88AB-BA91-4A5B-AA39-7EBDDA9D7DF0}">
            <xm:f>'Modell-Kalibrierung'!$C$3+1%</xm:f>
            <xm:f>'Modell-Kalibrierung'!$C$4</xm:f>
            <x14:dxf>
              <fill>
                <patternFill>
                  <bgColor theme="5" tint="0.79998168889431442"/>
                </patternFill>
              </fill>
            </x14:dxf>
          </x14:cfRule>
          <x14:cfRule type="cellIs" priority="785" operator="equal" id="{C0E53EBA-F50A-4A9E-AAFA-0366F90EE8E0}">
            <xm:f>'Modell-Kalibrierung'!$C$3</xm:f>
            <x14:dxf>
              <fill>
                <patternFill>
                  <bgColor theme="0"/>
                </patternFill>
              </fill>
            </x14:dxf>
          </x14:cfRule>
          <xm:sqref>J39:J43</xm:sqref>
        </x14:conditionalFormatting>
        <x14:conditionalFormatting xmlns:xm="http://schemas.microsoft.com/office/excel/2006/main">
          <x14:cfRule type="cellIs" priority="774" operator="between" id="{D08896B1-C280-4BC9-8A3C-A0073A320525}">
            <xm:f>'Modell-Kalibrierung'!$C$7+1%</xm:f>
            <xm:f>"0Kalibrierung!$E$8"</xm:f>
            <x14:dxf>
              <font>
                <color theme="0"/>
              </font>
              <fill>
                <patternFill>
                  <bgColor theme="5" tint="-0.499984740745262"/>
                </patternFill>
              </fill>
            </x14:dxf>
          </x14:cfRule>
          <x14:cfRule type="cellIs" priority="775" operator="between" id="{E01A3A8C-B63C-4EA6-A5FC-3168AD14A923}">
            <xm:f>'Modell-Kalibrierung'!$C$6+1%</xm:f>
            <xm:f>"0Kalibrierung!$E$7"</xm:f>
            <x14:dxf>
              <fill>
                <patternFill>
                  <bgColor theme="5" tint="-0.24994659260841701"/>
                </patternFill>
              </fill>
            </x14:dxf>
          </x14:cfRule>
          <x14:cfRule type="cellIs" priority="776" operator="between" id="{B3E5A7E4-DCA8-445A-9614-7D8D3519A847}">
            <xm:f>'Modell-Kalibrierung'!$C$5+1%</xm:f>
            <xm:f>"0Kalibrierung!$E$6"</xm:f>
            <x14:dxf>
              <fill>
                <patternFill>
                  <bgColor theme="5" tint="0.39994506668294322"/>
                </patternFill>
              </fill>
            </x14:dxf>
          </x14:cfRule>
          <x14:cfRule type="cellIs" priority="777" operator="between" id="{92150708-0BB5-449A-A1D7-CB255AF05A52}">
            <xm:f>'Modell-Kalibrierung'!$C$4+1%</xm:f>
            <xm:f>"0Kalibrierung!$E$5"</xm:f>
            <x14:dxf>
              <fill>
                <patternFill>
                  <bgColor theme="5" tint="0.59996337778862885"/>
                </patternFill>
              </fill>
            </x14:dxf>
          </x14:cfRule>
          <x14:cfRule type="cellIs" priority="778" operator="between" id="{6DC86255-B935-48AB-9DB5-E83AB19FE113}">
            <xm:f>'Modell-Kalibrierung'!$C$3+1%</xm:f>
            <xm:f>'Modell-Kalibrierung'!$C$4</xm:f>
            <x14:dxf>
              <fill>
                <patternFill>
                  <bgColor theme="5" tint="0.79998168889431442"/>
                </patternFill>
              </fill>
            </x14:dxf>
          </x14:cfRule>
          <x14:cfRule type="cellIs" priority="779" operator="equal" id="{7AF8E8E8-35A0-4ED5-8356-B44798203CC3}">
            <xm:f>'Modell-Kalibrierung'!$C$3</xm:f>
            <x14:dxf>
              <fill>
                <patternFill>
                  <bgColor theme="0"/>
                </patternFill>
              </fill>
            </x14:dxf>
          </x14:cfRule>
          <xm:sqref>J45:J49</xm:sqref>
        </x14:conditionalFormatting>
        <x14:conditionalFormatting xmlns:xm="http://schemas.microsoft.com/office/excel/2006/main">
          <x14:cfRule type="cellIs" priority="768" operator="between" id="{9EEDC1E0-CD93-4DDE-9A2C-10ADB06532DF}">
            <xm:f>'Modell-Kalibrierung'!$C$7+1%</xm:f>
            <xm:f>"0Kalibrierung!$E$8"</xm:f>
            <x14:dxf>
              <font>
                <color theme="0"/>
              </font>
              <fill>
                <patternFill>
                  <bgColor theme="5" tint="-0.499984740745262"/>
                </patternFill>
              </fill>
            </x14:dxf>
          </x14:cfRule>
          <x14:cfRule type="cellIs" priority="769" operator="between" id="{A3CB45A1-2D4F-4B62-BA92-3EBB4A36A2DE}">
            <xm:f>'Modell-Kalibrierung'!$C$6+1%</xm:f>
            <xm:f>"0Kalibrierung!$E$7"</xm:f>
            <x14:dxf>
              <fill>
                <patternFill>
                  <bgColor theme="5" tint="-0.24994659260841701"/>
                </patternFill>
              </fill>
            </x14:dxf>
          </x14:cfRule>
          <x14:cfRule type="cellIs" priority="770" operator="between" id="{50C1EFF6-BE77-4FFF-A942-1D13F116F51E}">
            <xm:f>'Modell-Kalibrierung'!$C$5+1%</xm:f>
            <xm:f>"0Kalibrierung!$E$6"</xm:f>
            <x14:dxf>
              <fill>
                <patternFill>
                  <bgColor theme="5" tint="0.39994506668294322"/>
                </patternFill>
              </fill>
            </x14:dxf>
          </x14:cfRule>
          <x14:cfRule type="cellIs" priority="771" operator="between" id="{E78AE26B-F312-4832-AAEA-F2FB86A181D7}">
            <xm:f>'Modell-Kalibrierung'!$C$4+1%</xm:f>
            <xm:f>"0Kalibrierung!$E$5"</xm:f>
            <x14:dxf>
              <fill>
                <patternFill>
                  <bgColor theme="5" tint="0.59996337778862885"/>
                </patternFill>
              </fill>
            </x14:dxf>
          </x14:cfRule>
          <x14:cfRule type="cellIs" priority="772" operator="between" id="{598D8C4D-E6A6-4B5F-BD05-08A38BC62CDA}">
            <xm:f>'Modell-Kalibrierung'!$C$3+1%</xm:f>
            <xm:f>'Modell-Kalibrierung'!$C$4</xm:f>
            <x14:dxf>
              <fill>
                <patternFill>
                  <bgColor theme="5" tint="0.79998168889431442"/>
                </patternFill>
              </fill>
            </x14:dxf>
          </x14:cfRule>
          <x14:cfRule type="cellIs" priority="773" operator="equal" id="{B35E6373-B586-4A1F-97BF-84D50C85824E}">
            <xm:f>'Modell-Kalibrierung'!$C$3</xm:f>
            <x14:dxf>
              <fill>
                <patternFill>
                  <bgColor theme="0"/>
                </patternFill>
              </fill>
            </x14:dxf>
          </x14:cfRule>
          <xm:sqref>J51:J55</xm:sqref>
        </x14:conditionalFormatting>
        <x14:conditionalFormatting xmlns:xm="http://schemas.microsoft.com/office/excel/2006/main">
          <x14:cfRule type="cellIs" priority="762" operator="between" id="{AAFE5EB0-CD2E-4211-ADAD-2EF00A00CF84}">
            <xm:f>'Modell-Kalibrierung'!$C$7+1%</xm:f>
            <xm:f>"0Kalibrierung!$E$8"</xm:f>
            <x14:dxf>
              <font>
                <color theme="0"/>
              </font>
              <fill>
                <patternFill>
                  <bgColor theme="5" tint="-0.499984740745262"/>
                </patternFill>
              </fill>
            </x14:dxf>
          </x14:cfRule>
          <x14:cfRule type="cellIs" priority="763" operator="between" id="{D73B8703-5AD9-42FB-A8FF-AE4B2362EFEA}">
            <xm:f>'Modell-Kalibrierung'!$C$6+1%</xm:f>
            <xm:f>"0Kalibrierung!$E$7"</xm:f>
            <x14:dxf>
              <fill>
                <patternFill>
                  <bgColor theme="5" tint="-0.24994659260841701"/>
                </patternFill>
              </fill>
            </x14:dxf>
          </x14:cfRule>
          <x14:cfRule type="cellIs" priority="764" operator="between" id="{6FB4E08F-F30F-441E-828C-3D8B37D7D5D8}">
            <xm:f>'Modell-Kalibrierung'!$C$5+1%</xm:f>
            <xm:f>"0Kalibrierung!$E$6"</xm:f>
            <x14:dxf>
              <fill>
                <patternFill>
                  <bgColor theme="5" tint="0.39994506668294322"/>
                </patternFill>
              </fill>
            </x14:dxf>
          </x14:cfRule>
          <x14:cfRule type="cellIs" priority="765" operator="between" id="{C1D57566-B6B8-4097-89F5-9F5639AEF431}">
            <xm:f>'Modell-Kalibrierung'!$C$4+1%</xm:f>
            <xm:f>"0Kalibrierung!$E$5"</xm:f>
            <x14:dxf>
              <fill>
                <patternFill>
                  <bgColor theme="5" tint="0.59996337778862885"/>
                </patternFill>
              </fill>
            </x14:dxf>
          </x14:cfRule>
          <x14:cfRule type="cellIs" priority="766" operator="between" id="{AB11E531-9206-4BF7-B669-0F616DEB3AA7}">
            <xm:f>'Modell-Kalibrierung'!$C$3+1%</xm:f>
            <xm:f>'Modell-Kalibrierung'!$C$4</xm:f>
            <x14:dxf>
              <fill>
                <patternFill>
                  <bgColor theme="5" tint="0.79998168889431442"/>
                </patternFill>
              </fill>
            </x14:dxf>
          </x14:cfRule>
          <x14:cfRule type="cellIs" priority="767" operator="equal" id="{4D21897B-F041-4FAB-91C4-A1996BE4A574}">
            <xm:f>'Modell-Kalibrierung'!$C$3</xm:f>
            <x14:dxf>
              <fill>
                <patternFill>
                  <bgColor theme="0"/>
                </patternFill>
              </fill>
            </x14:dxf>
          </x14:cfRule>
          <xm:sqref>J57:J61</xm:sqref>
        </x14:conditionalFormatting>
        <x14:conditionalFormatting xmlns:xm="http://schemas.microsoft.com/office/excel/2006/main">
          <x14:cfRule type="cellIs" priority="756" operator="between" id="{CD1F236B-1BE7-4ED7-99A3-2F4C2CDEF016}">
            <xm:f>'Modell-Kalibrierung'!$C$7+1%</xm:f>
            <xm:f>"0Kalibrierung!$E$8"</xm:f>
            <x14:dxf>
              <font>
                <color theme="0"/>
              </font>
              <fill>
                <patternFill>
                  <bgColor theme="5" tint="-0.499984740745262"/>
                </patternFill>
              </fill>
            </x14:dxf>
          </x14:cfRule>
          <x14:cfRule type="cellIs" priority="757" operator="between" id="{A77FE5ED-62C2-4374-8B0E-6EBBE4BC3583}">
            <xm:f>'Modell-Kalibrierung'!$C$6+1%</xm:f>
            <xm:f>"0Kalibrierung!$E$7"</xm:f>
            <x14:dxf>
              <fill>
                <patternFill>
                  <bgColor theme="5" tint="-0.24994659260841701"/>
                </patternFill>
              </fill>
            </x14:dxf>
          </x14:cfRule>
          <x14:cfRule type="cellIs" priority="758" operator="between" id="{4C957CB3-8493-4A85-AD72-5BFF9C119B8A}">
            <xm:f>'Modell-Kalibrierung'!$C$5+1%</xm:f>
            <xm:f>"0Kalibrierung!$E$6"</xm:f>
            <x14:dxf>
              <fill>
                <patternFill>
                  <bgColor theme="5" tint="0.39994506668294322"/>
                </patternFill>
              </fill>
            </x14:dxf>
          </x14:cfRule>
          <x14:cfRule type="cellIs" priority="759" operator="between" id="{8D9E8B4D-C8B5-4194-AFB2-8966198D8767}">
            <xm:f>'Modell-Kalibrierung'!$C$4+1%</xm:f>
            <xm:f>"0Kalibrierung!$E$5"</xm:f>
            <x14:dxf>
              <fill>
                <patternFill>
                  <bgColor theme="5" tint="0.59996337778862885"/>
                </patternFill>
              </fill>
            </x14:dxf>
          </x14:cfRule>
          <x14:cfRule type="cellIs" priority="760" operator="between" id="{8C72827F-572E-4F57-9BF5-AF76437DB403}">
            <xm:f>'Modell-Kalibrierung'!$C$3+1%</xm:f>
            <xm:f>'Modell-Kalibrierung'!$C$4</xm:f>
            <x14:dxf>
              <fill>
                <patternFill>
                  <bgColor theme="5" tint="0.79998168889431442"/>
                </patternFill>
              </fill>
            </x14:dxf>
          </x14:cfRule>
          <x14:cfRule type="cellIs" priority="761" operator="equal" id="{A79F01F6-A040-4BE8-B336-4A80E2F5519D}">
            <xm:f>'Modell-Kalibrierung'!$C$3</xm:f>
            <x14:dxf>
              <fill>
                <patternFill>
                  <bgColor theme="0"/>
                </patternFill>
              </fill>
            </x14:dxf>
          </x14:cfRule>
          <xm:sqref>J63:J67</xm:sqref>
        </x14:conditionalFormatting>
        <x14:conditionalFormatting xmlns:xm="http://schemas.microsoft.com/office/excel/2006/main">
          <x14:cfRule type="cellIs" priority="750" operator="between" id="{ABCACE6A-88BC-47D4-A9EE-C17B82D328C8}">
            <xm:f>'Modell-Kalibrierung'!$C$7+1%</xm:f>
            <xm:f>"0Kalibrierung!$E$8"</xm:f>
            <x14:dxf>
              <font>
                <color theme="0"/>
              </font>
              <fill>
                <patternFill>
                  <bgColor theme="5" tint="-0.499984740745262"/>
                </patternFill>
              </fill>
            </x14:dxf>
          </x14:cfRule>
          <x14:cfRule type="cellIs" priority="751" operator="between" id="{DEC7CAFD-49F9-4291-8ACF-4803FA152257}">
            <xm:f>'Modell-Kalibrierung'!$C$6+1%</xm:f>
            <xm:f>"0Kalibrierung!$E$7"</xm:f>
            <x14:dxf>
              <fill>
                <patternFill>
                  <bgColor theme="5" tint="-0.24994659260841701"/>
                </patternFill>
              </fill>
            </x14:dxf>
          </x14:cfRule>
          <x14:cfRule type="cellIs" priority="752" operator="between" id="{C2228616-297B-4349-9042-5C524ABEC46D}">
            <xm:f>'Modell-Kalibrierung'!$C$5+1%</xm:f>
            <xm:f>"0Kalibrierung!$E$6"</xm:f>
            <x14:dxf>
              <fill>
                <patternFill>
                  <bgColor theme="5" tint="0.39994506668294322"/>
                </patternFill>
              </fill>
            </x14:dxf>
          </x14:cfRule>
          <x14:cfRule type="cellIs" priority="753" operator="between" id="{B6A187BA-02FB-4D1D-B7DF-742D24E96CB8}">
            <xm:f>'Modell-Kalibrierung'!$C$4+1%</xm:f>
            <xm:f>"0Kalibrierung!$E$5"</xm:f>
            <x14:dxf>
              <fill>
                <patternFill>
                  <bgColor theme="5" tint="0.59996337778862885"/>
                </patternFill>
              </fill>
            </x14:dxf>
          </x14:cfRule>
          <x14:cfRule type="cellIs" priority="754" operator="between" id="{43D6127F-1CD2-4583-9ECD-CD8F5993A8F3}">
            <xm:f>'Modell-Kalibrierung'!$C$3+1%</xm:f>
            <xm:f>'Modell-Kalibrierung'!$C$4</xm:f>
            <x14:dxf>
              <fill>
                <patternFill>
                  <bgColor theme="5" tint="0.79998168889431442"/>
                </patternFill>
              </fill>
            </x14:dxf>
          </x14:cfRule>
          <x14:cfRule type="cellIs" priority="755" operator="equal" id="{D8AEE706-DF83-46CC-AE0E-22624CAA0600}">
            <xm:f>'Modell-Kalibrierung'!$C$3</xm:f>
            <x14:dxf>
              <fill>
                <patternFill>
                  <bgColor theme="0"/>
                </patternFill>
              </fill>
            </x14:dxf>
          </x14:cfRule>
          <xm:sqref>J69:J73</xm:sqref>
        </x14:conditionalFormatting>
        <x14:conditionalFormatting xmlns:xm="http://schemas.microsoft.com/office/excel/2006/main">
          <x14:cfRule type="cellIs" priority="744" operator="between" id="{1488747A-250D-4D58-BC33-E84850490E03}">
            <xm:f>'Modell-Kalibrierung'!$C$7+1%</xm:f>
            <xm:f>"0Kalibrierung!$E$8"</xm:f>
            <x14:dxf>
              <font>
                <color theme="0"/>
              </font>
              <fill>
                <patternFill>
                  <bgColor theme="5" tint="-0.499984740745262"/>
                </patternFill>
              </fill>
            </x14:dxf>
          </x14:cfRule>
          <x14:cfRule type="cellIs" priority="745" operator="between" id="{D0741DCE-780B-435B-B651-B345CD925645}">
            <xm:f>'Modell-Kalibrierung'!$C$6+1%</xm:f>
            <xm:f>"0Kalibrierung!$E$7"</xm:f>
            <x14:dxf>
              <fill>
                <patternFill>
                  <bgColor theme="5" tint="-0.24994659260841701"/>
                </patternFill>
              </fill>
            </x14:dxf>
          </x14:cfRule>
          <x14:cfRule type="cellIs" priority="746" operator="between" id="{CCDD92D4-6770-40F5-81F8-EBA37763C03B}">
            <xm:f>'Modell-Kalibrierung'!$C$5+1%</xm:f>
            <xm:f>"0Kalibrierung!$E$6"</xm:f>
            <x14:dxf>
              <fill>
                <patternFill>
                  <bgColor theme="5" tint="0.39994506668294322"/>
                </patternFill>
              </fill>
            </x14:dxf>
          </x14:cfRule>
          <x14:cfRule type="cellIs" priority="747" operator="between" id="{9386263E-F85C-42C6-A596-153BA5AC6A3F}">
            <xm:f>'Modell-Kalibrierung'!$C$4+1%</xm:f>
            <xm:f>"0Kalibrierung!$E$5"</xm:f>
            <x14:dxf>
              <fill>
                <patternFill>
                  <bgColor theme="5" tint="0.59996337778862885"/>
                </patternFill>
              </fill>
            </x14:dxf>
          </x14:cfRule>
          <x14:cfRule type="cellIs" priority="748" operator="between" id="{3F68649C-8846-4029-B06C-9C5F8BEFAE36}">
            <xm:f>'Modell-Kalibrierung'!$C$3+1%</xm:f>
            <xm:f>'Modell-Kalibrierung'!$C$4</xm:f>
            <x14:dxf>
              <fill>
                <patternFill>
                  <bgColor theme="5" tint="0.79998168889431442"/>
                </patternFill>
              </fill>
            </x14:dxf>
          </x14:cfRule>
          <x14:cfRule type="cellIs" priority="749" operator="equal" id="{F2902E57-BA0D-4045-AA40-D7D0C2D5CFBC}">
            <xm:f>'Modell-Kalibrierung'!$C$3</xm:f>
            <x14:dxf>
              <fill>
                <patternFill>
                  <bgColor theme="0"/>
                </patternFill>
              </fill>
            </x14:dxf>
          </x14:cfRule>
          <xm:sqref>J75:J79</xm:sqref>
        </x14:conditionalFormatting>
        <x14:conditionalFormatting xmlns:xm="http://schemas.microsoft.com/office/excel/2006/main">
          <x14:cfRule type="cellIs" priority="738" operator="between" id="{226D4F2F-234E-457B-96F5-5C5B041B7BBE}">
            <xm:f>'Modell-Kalibrierung'!$C$7+1%</xm:f>
            <xm:f>"0Kalibrierung!$E$8"</xm:f>
            <x14:dxf>
              <font>
                <color theme="0"/>
              </font>
              <fill>
                <patternFill>
                  <bgColor theme="5" tint="-0.499984740745262"/>
                </patternFill>
              </fill>
            </x14:dxf>
          </x14:cfRule>
          <x14:cfRule type="cellIs" priority="739" operator="between" id="{7EB860CF-243E-4AE0-8066-4944CE4E61D4}">
            <xm:f>'Modell-Kalibrierung'!$C$6+1%</xm:f>
            <xm:f>"0Kalibrierung!$E$7"</xm:f>
            <x14:dxf>
              <fill>
                <patternFill>
                  <bgColor theme="5" tint="-0.24994659260841701"/>
                </patternFill>
              </fill>
            </x14:dxf>
          </x14:cfRule>
          <x14:cfRule type="cellIs" priority="740" operator="between" id="{B54D3CEA-CFC2-424A-B0E2-6F62BB25EC5E}">
            <xm:f>'Modell-Kalibrierung'!$C$5+1%</xm:f>
            <xm:f>"0Kalibrierung!$E$6"</xm:f>
            <x14:dxf>
              <fill>
                <patternFill>
                  <bgColor theme="5" tint="0.39994506668294322"/>
                </patternFill>
              </fill>
            </x14:dxf>
          </x14:cfRule>
          <x14:cfRule type="cellIs" priority="741" operator="between" id="{D886D1CC-4B47-4587-BFA4-77E86FE0D5D7}">
            <xm:f>'Modell-Kalibrierung'!$C$4+1%</xm:f>
            <xm:f>"0Kalibrierung!$E$5"</xm:f>
            <x14:dxf>
              <fill>
                <patternFill>
                  <bgColor theme="5" tint="0.59996337778862885"/>
                </patternFill>
              </fill>
            </x14:dxf>
          </x14:cfRule>
          <x14:cfRule type="cellIs" priority="742" operator="between" id="{F441116D-AA54-4981-A6DF-8C646F477A16}">
            <xm:f>'Modell-Kalibrierung'!$C$3+1%</xm:f>
            <xm:f>'Modell-Kalibrierung'!$C$4</xm:f>
            <x14:dxf>
              <fill>
                <patternFill>
                  <bgColor theme="5" tint="0.79998168889431442"/>
                </patternFill>
              </fill>
            </x14:dxf>
          </x14:cfRule>
          <x14:cfRule type="cellIs" priority="743" operator="equal" id="{225B9BEB-F12C-4599-B672-26FBE67793D7}">
            <xm:f>'Modell-Kalibrierung'!$C$3</xm:f>
            <x14:dxf>
              <fill>
                <patternFill>
                  <bgColor theme="0"/>
                </patternFill>
              </fill>
            </x14:dxf>
          </x14:cfRule>
          <xm:sqref>J81:J85</xm:sqref>
        </x14:conditionalFormatting>
        <x14:conditionalFormatting xmlns:xm="http://schemas.microsoft.com/office/excel/2006/main">
          <x14:cfRule type="cellIs" priority="732" operator="between" id="{6AEC65D8-F622-424B-A2AE-D62E404C358F}">
            <xm:f>'Modell-Kalibrierung'!$C$7+1%</xm:f>
            <xm:f>"0Kalibrierung!$E$8"</xm:f>
            <x14:dxf>
              <font>
                <color theme="0"/>
              </font>
              <fill>
                <patternFill>
                  <bgColor theme="5" tint="-0.499984740745262"/>
                </patternFill>
              </fill>
            </x14:dxf>
          </x14:cfRule>
          <x14:cfRule type="cellIs" priority="733" operator="between" id="{F6C83C16-7CFC-47D9-9A30-49C699F5B0CC}">
            <xm:f>'Modell-Kalibrierung'!$C$6+1%</xm:f>
            <xm:f>"0Kalibrierung!$E$7"</xm:f>
            <x14:dxf>
              <fill>
                <patternFill>
                  <bgColor theme="5" tint="-0.24994659260841701"/>
                </patternFill>
              </fill>
            </x14:dxf>
          </x14:cfRule>
          <x14:cfRule type="cellIs" priority="734" operator="between" id="{8B9A821C-15C0-4C43-ADCA-58E209A5860C}">
            <xm:f>'Modell-Kalibrierung'!$C$5+1%</xm:f>
            <xm:f>"0Kalibrierung!$E$6"</xm:f>
            <x14:dxf>
              <fill>
                <patternFill>
                  <bgColor theme="5" tint="0.39994506668294322"/>
                </patternFill>
              </fill>
            </x14:dxf>
          </x14:cfRule>
          <x14:cfRule type="cellIs" priority="735" operator="between" id="{DF0A21D4-8C9F-4A2A-9568-2E2ACE7A473E}">
            <xm:f>'Modell-Kalibrierung'!$C$4+1%</xm:f>
            <xm:f>"0Kalibrierung!$E$5"</xm:f>
            <x14:dxf>
              <fill>
                <patternFill>
                  <bgColor theme="5" tint="0.59996337778862885"/>
                </patternFill>
              </fill>
            </x14:dxf>
          </x14:cfRule>
          <x14:cfRule type="cellIs" priority="736" operator="between" id="{32D0D6E6-7274-42CB-91DB-6B69BB6EE16D}">
            <xm:f>'Modell-Kalibrierung'!$C$3+1%</xm:f>
            <xm:f>'Modell-Kalibrierung'!$C$4</xm:f>
            <x14:dxf>
              <fill>
                <patternFill>
                  <bgColor theme="5" tint="0.79998168889431442"/>
                </patternFill>
              </fill>
            </x14:dxf>
          </x14:cfRule>
          <x14:cfRule type="cellIs" priority="737" operator="equal" id="{26127713-14EE-41C6-8857-26DFD90763FD}">
            <xm:f>'Modell-Kalibrierung'!$C$3</xm:f>
            <x14:dxf>
              <fill>
                <patternFill>
                  <bgColor theme="0"/>
                </patternFill>
              </fill>
            </x14:dxf>
          </x14:cfRule>
          <xm:sqref>J87:J91</xm:sqref>
        </x14:conditionalFormatting>
        <x14:conditionalFormatting xmlns:xm="http://schemas.microsoft.com/office/excel/2006/main">
          <x14:cfRule type="cellIs" priority="726" operator="between" id="{DFF2D8EE-E915-4BA9-B4A5-DB8DECCF053D}">
            <xm:f>'Modell-Kalibrierung'!$C$7+1%</xm:f>
            <xm:f>"0Kalibrierung!$E$8"</xm:f>
            <x14:dxf>
              <font>
                <color theme="0"/>
              </font>
              <fill>
                <patternFill>
                  <bgColor theme="5" tint="-0.499984740745262"/>
                </patternFill>
              </fill>
            </x14:dxf>
          </x14:cfRule>
          <x14:cfRule type="cellIs" priority="727" operator="between" id="{884ADE86-91C8-4A64-A1B0-AF95C30476D1}">
            <xm:f>'Modell-Kalibrierung'!$C$6+1%</xm:f>
            <xm:f>"0Kalibrierung!$E$7"</xm:f>
            <x14:dxf>
              <fill>
                <patternFill>
                  <bgColor theme="5" tint="-0.24994659260841701"/>
                </patternFill>
              </fill>
            </x14:dxf>
          </x14:cfRule>
          <x14:cfRule type="cellIs" priority="728" operator="between" id="{3598A1A2-E4AB-4439-BA6A-9643BB6AF8A1}">
            <xm:f>'Modell-Kalibrierung'!$C$5+1%</xm:f>
            <xm:f>"0Kalibrierung!$E$6"</xm:f>
            <x14:dxf>
              <fill>
                <patternFill>
                  <bgColor theme="5" tint="0.39994506668294322"/>
                </patternFill>
              </fill>
            </x14:dxf>
          </x14:cfRule>
          <x14:cfRule type="cellIs" priority="729" operator="between" id="{6696CE5D-00A8-4C9C-AE6B-D43E23915CC4}">
            <xm:f>'Modell-Kalibrierung'!$C$4+1%</xm:f>
            <xm:f>"0Kalibrierung!$E$5"</xm:f>
            <x14:dxf>
              <fill>
                <patternFill>
                  <bgColor theme="5" tint="0.59996337778862885"/>
                </patternFill>
              </fill>
            </x14:dxf>
          </x14:cfRule>
          <x14:cfRule type="cellIs" priority="730" operator="between" id="{F323EB4A-E011-4FEF-9777-1C17B959B467}">
            <xm:f>'Modell-Kalibrierung'!$C$3+1%</xm:f>
            <xm:f>'Modell-Kalibrierung'!$C$4</xm:f>
            <x14:dxf>
              <fill>
                <patternFill>
                  <bgColor theme="5" tint="0.79998168889431442"/>
                </patternFill>
              </fill>
            </x14:dxf>
          </x14:cfRule>
          <x14:cfRule type="cellIs" priority="731" operator="equal" id="{74DDA66F-94A5-4C6E-BE09-3C1DBAE3CAED}">
            <xm:f>'Modell-Kalibrierung'!$C$3</xm:f>
            <x14:dxf>
              <fill>
                <patternFill>
                  <bgColor theme="0"/>
                </patternFill>
              </fill>
            </x14:dxf>
          </x14:cfRule>
          <xm:sqref>J93:J97</xm:sqref>
        </x14:conditionalFormatting>
        <x14:conditionalFormatting xmlns:xm="http://schemas.microsoft.com/office/excel/2006/main">
          <x14:cfRule type="cellIs" priority="720" operator="between" id="{FFD2CF7F-DE03-4024-99DC-761012EA502E}">
            <xm:f>'Modell-Kalibrierung'!$C$7+1%</xm:f>
            <xm:f>"0Kalibrierung!$E$8"</xm:f>
            <x14:dxf>
              <font>
                <color theme="0"/>
              </font>
              <fill>
                <patternFill>
                  <bgColor theme="5" tint="-0.499984740745262"/>
                </patternFill>
              </fill>
            </x14:dxf>
          </x14:cfRule>
          <x14:cfRule type="cellIs" priority="721" operator="between" id="{5FA82E0B-E88D-415F-8429-8606D3559D06}">
            <xm:f>'Modell-Kalibrierung'!$C$6+1%</xm:f>
            <xm:f>"0Kalibrierung!$E$7"</xm:f>
            <x14:dxf>
              <fill>
                <patternFill>
                  <bgColor theme="5" tint="-0.24994659260841701"/>
                </patternFill>
              </fill>
            </x14:dxf>
          </x14:cfRule>
          <x14:cfRule type="cellIs" priority="722" operator="between" id="{26E8BB69-952B-4FC5-92F2-5E1583CC4790}">
            <xm:f>'Modell-Kalibrierung'!$C$5+1%</xm:f>
            <xm:f>"0Kalibrierung!$E$6"</xm:f>
            <x14:dxf>
              <fill>
                <patternFill>
                  <bgColor theme="5" tint="0.39994506668294322"/>
                </patternFill>
              </fill>
            </x14:dxf>
          </x14:cfRule>
          <x14:cfRule type="cellIs" priority="723" operator="between" id="{38148DA1-AC0F-40AA-A66A-B6E08847203C}">
            <xm:f>'Modell-Kalibrierung'!$C$4+1%</xm:f>
            <xm:f>"0Kalibrierung!$E$5"</xm:f>
            <x14:dxf>
              <fill>
                <patternFill>
                  <bgColor theme="5" tint="0.59996337778862885"/>
                </patternFill>
              </fill>
            </x14:dxf>
          </x14:cfRule>
          <x14:cfRule type="cellIs" priority="724" operator="between" id="{62AC1D21-BA20-464F-96C0-EAE249762E6C}">
            <xm:f>'Modell-Kalibrierung'!$C$3+1%</xm:f>
            <xm:f>'Modell-Kalibrierung'!$C$4</xm:f>
            <x14:dxf>
              <fill>
                <patternFill>
                  <bgColor theme="5" tint="0.79998168889431442"/>
                </patternFill>
              </fill>
            </x14:dxf>
          </x14:cfRule>
          <x14:cfRule type="cellIs" priority="725" operator="equal" id="{2A5A1D3A-0BC0-4D68-A1F4-40D06A7A380A}">
            <xm:f>'Modell-Kalibrierung'!$C$3</xm:f>
            <x14:dxf>
              <fill>
                <patternFill>
                  <bgColor theme="0"/>
                </patternFill>
              </fill>
            </x14:dxf>
          </x14:cfRule>
          <xm:sqref>J99:J103</xm:sqref>
        </x14:conditionalFormatting>
        <x14:conditionalFormatting xmlns:xm="http://schemas.microsoft.com/office/excel/2006/main">
          <x14:cfRule type="cellIs" priority="714" operator="between" id="{0A6075BC-9B93-41EA-8F46-07CDFD014145}">
            <xm:f>'Modell-Kalibrierung'!$C$7+1%</xm:f>
            <xm:f>"0Kalibrierung!$E$8"</xm:f>
            <x14:dxf>
              <font>
                <color theme="0"/>
              </font>
              <fill>
                <patternFill>
                  <bgColor theme="5" tint="-0.499984740745262"/>
                </patternFill>
              </fill>
            </x14:dxf>
          </x14:cfRule>
          <x14:cfRule type="cellIs" priority="715" operator="between" id="{E9363B4A-B56A-4BFB-8C9B-1F31768415FA}">
            <xm:f>'Modell-Kalibrierung'!$C$6+1%</xm:f>
            <xm:f>"0Kalibrierung!$E$7"</xm:f>
            <x14:dxf>
              <fill>
                <patternFill>
                  <bgColor theme="5" tint="-0.24994659260841701"/>
                </patternFill>
              </fill>
            </x14:dxf>
          </x14:cfRule>
          <x14:cfRule type="cellIs" priority="716" operator="between" id="{6AC14276-0A7A-44A5-BB86-59A5BF9FB1DE}">
            <xm:f>'Modell-Kalibrierung'!$C$5+1%</xm:f>
            <xm:f>"0Kalibrierung!$E$6"</xm:f>
            <x14:dxf>
              <fill>
                <patternFill>
                  <bgColor theme="5" tint="0.39994506668294322"/>
                </patternFill>
              </fill>
            </x14:dxf>
          </x14:cfRule>
          <x14:cfRule type="cellIs" priority="717" operator="between" id="{EDEEBCB3-5555-4F04-89BD-8CE0AE3CEE6E}">
            <xm:f>'Modell-Kalibrierung'!$C$4+1%</xm:f>
            <xm:f>"0Kalibrierung!$E$5"</xm:f>
            <x14:dxf>
              <fill>
                <patternFill>
                  <bgColor theme="5" tint="0.59996337778862885"/>
                </patternFill>
              </fill>
            </x14:dxf>
          </x14:cfRule>
          <x14:cfRule type="cellIs" priority="718" operator="between" id="{6D0EFF20-0B44-4165-9C4E-28C567892B9B}">
            <xm:f>'Modell-Kalibrierung'!$C$3+1%</xm:f>
            <xm:f>'Modell-Kalibrierung'!$C$4</xm:f>
            <x14:dxf>
              <fill>
                <patternFill>
                  <bgColor theme="5" tint="0.79998168889431442"/>
                </patternFill>
              </fill>
            </x14:dxf>
          </x14:cfRule>
          <x14:cfRule type="cellIs" priority="719" operator="equal" id="{A8591E03-3C72-41B5-B1E7-1CA7063B251A}">
            <xm:f>'Modell-Kalibrierung'!$C$3</xm:f>
            <x14:dxf>
              <fill>
                <patternFill>
                  <bgColor theme="0"/>
                </patternFill>
              </fill>
            </x14:dxf>
          </x14:cfRule>
          <xm:sqref>J105:J109</xm:sqref>
        </x14:conditionalFormatting>
        <x14:conditionalFormatting xmlns:xm="http://schemas.microsoft.com/office/excel/2006/main">
          <x14:cfRule type="cellIs" priority="708" operator="between" id="{1A299C75-0513-4945-A236-5392502ADF05}">
            <xm:f>'Modell-Kalibrierung'!$C$7+1%</xm:f>
            <xm:f>"0Kalibrierung!$E$8"</xm:f>
            <x14:dxf>
              <font>
                <color theme="0"/>
              </font>
              <fill>
                <patternFill>
                  <bgColor theme="5" tint="-0.499984740745262"/>
                </patternFill>
              </fill>
            </x14:dxf>
          </x14:cfRule>
          <x14:cfRule type="cellIs" priority="709" operator="between" id="{B63836DF-D7E4-4BC4-B80B-0888B40643E4}">
            <xm:f>'Modell-Kalibrierung'!$C$6+1%</xm:f>
            <xm:f>"0Kalibrierung!$E$7"</xm:f>
            <x14:dxf>
              <fill>
                <patternFill>
                  <bgColor theme="5" tint="-0.24994659260841701"/>
                </patternFill>
              </fill>
            </x14:dxf>
          </x14:cfRule>
          <x14:cfRule type="cellIs" priority="710" operator="between" id="{010F1FE4-0587-4A71-909F-3EEE45FE4845}">
            <xm:f>'Modell-Kalibrierung'!$C$5+1%</xm:f>
            <xm:f>"0Kalibrierung!$E$6"</xm:f>
            <x14:dxf>
              <fill>
                <patternFill>
                  <bgColor theme="5" tint="0.39994506668294322"/>
                </patternFill>
              </fill>
            </x14:dxf>
          </x14:cfRule>
          <x14:cfRule type="cellIs" priority="711" operator="between" id="{4C59610A-6961-4C22-9873-B7B267EDB635}">
            <xm:f>'Modell-Kalibrierung'!$C$4+1%</xm:f>
            <xm:f>"0Kalibrierung!$E$5"</xm:f>
            <x14:dxf>
              <fill>
                <patternFill>
                  <bgColor theme="5" tint="0.59996337778862885"/>
                </patternFill>
              </fill>
            </x14:dxf>
          </x14:cfRule>
          <x14:cfRule type="cellIs" priority="712" operator="between" id="{9A6A1C66-2D92-478E-A2D7-6C09E09DD4E7}">
            <xm:f>'Modell-Kalibrierung'!$C$3+1%</xm:f>
            <xm:f>'Modell-Kalibrierung'!$C$4</xm:f>
            <x14:dxf>
              <fill>
                <patternFill>
                  <bgColor theme="5" tint="0.79998168889431442"/>
                </patternFill>
              </fill>
            </x14:dxf>
          </x14:cfRule>
          <x14:cfRule type="cellIs" priority="713" operator="equal" id="{FF7DE24E-41F2-4B95-9C6E-828460CF9440}">
            <xm:f>'Modell-Kalibrierung'!$C$3</xm:f>
            <x14:dxf>
              <fill>
                <patternFill>
                  <bgColor theme="0"/>
                </patternFill>
              </fill>
            </x14:dxf>
          </x14:cfRule>
          <xm:sqref>J111:J115</xm:sqref>
        </x14:conditionalFormatting>
        <x14:conditionalFormatting xmlns:xm="http://schemas.microsoft.com/office/excel/2006/main">
          <x14:cfRule type="cellIs" priority="702" operator="between" id="{A1D9C03A-BC49-4284-AC69-93F9C54CF0EB}">
            <xm:f>'Modell-Kalibrierung'!$C$7+1%</xm:f>
            <xm:f>"0Kalibrierung!$E$8"</xm:f>
            <x14:dxf>
              <font>
                <color theme="0"/>
              </font>
              <fill>
                <patternFill>
                  <bgColor theme="5" tint="-0.499984740745262"/>
                </patternFill>
              </fill>
            </x14:dxf>
          </x14:cfRule>
          <x14:cfRule type="cellIs" priority="703" operator="between" id="{6AEB84CB-310C-45FC-937C-F89E0AFE240A}">
            <xm:f>'Modell-Kalibrierung'!$C$6+1%</xm:f>
            <xm:f>"0Kalibrierung!$E$7"</xm:f>
            <x14:dxf>
              <fill>
                <patternFill>
                  <bgColor theme="5" tint="-0.24994659260841701"/>
                </patternFill>
              </fill>
            </x14:dxf>
          </x14:cfRule>
          <x14:cfRule type="cellIs" priority="704" operator="between" id="{6FD762BB-80A1-48D4-99F7-DF244B7D3389}">
            <xm:f>'Modell-Kalibrierung'!$C$5+1%</xm:f>
            <xm:f>"0Kalibrierung!$E$6"</xm:f>
            <x14:dxf>
              <fill>
                <patternFill>
                  <bgColor theme="5" tint="0.39994506668294322"/>
                </patternFill>
              </fill>
            </x14:dxf>
          </x14:cfRule>
          <x14:cfRule type="cellIs" priority="705" operator="between" id="{6BAC9757-6D5F-4406-A9AC-B3FDBFDE9632}">
            <xm:f>'Modell-Kalibrierung'!$C$4+1%</xm:f>
            <xm:f>"0Kalibrierung!$E$5"</xm:f>
            <x14:dxf>
              <fill>
                <patternFill>
                  <bgColor theme="5" tint="0.59996337778862885"/>
                </patternFill>
              </fill>
            </x14:dxf>
          </x14:cfRule>
          <x14:cfRule type="cellIs" priority="706" operator="between" id="{C2B0D989-3F5F-495E-941D-3FDCA5D3BF3A}">
            <xm:f>'Modell-Kalibrierung'!$C$3+1%</xm:f>
            <xm:f>'Modell-Kalibrierung'!$C$4</xm:f>
            <x14:dxf>
              <fill>
                <patternFill>
                  <bgColor theme="5" tint="0.79998168889431442"/>
                </patternFill>
              </fill>
            </x14:dxf>
          </x14:cfRule>
          <x14:cfRule type="cellIs" priority="707" operator="equal" id="{9383990E-E2A6-4553-9B33-8CFFE0047C53}">
            <xm:f>'Modell-Kalibrierung'!$C$3</xm:f>
            <x14:dxf>
              <fill>
                <patternFill>
                  <bgColor theme="0"/>
                </patternFill>
              </fill>
            </x14:dxf>
          </x14:cfRule>
          <xm:sqref>J117:J121</xm:sqref>
        </x14:conditionalFormatting>
        <x14:conditionalFormatting xmlns:xm="http://schemas.microsoft.com/office/excel/2006/main">
          <x14:cfRule type="cellIs" priority="563" operator="equal" id="{F3409563-FE98-4CE7-A20F-10FE4B7D14E5}">
            <xm:f>'Modell-Kalibrierung'!$B$16</xm:f>
            <x14:dxf>
              <fill>
                <patternFill>
                  <bgColor theme="0"/>
                </patternFill>
              </fill>
            </x14:dxf>
          </x14:cfRule>
          <xm:sqref>I42:I43</xm:sqref>
        </x14:conditionalFormatting>
        <x14:conditionalFormatting xmlns:xm="http://schemas.microsoft.com/office/excel/2006/main">
          <x14:cfRule type="cellIs" priority="556" operator="equal" id="{EEF197F6-3546-4603-A877-6C7F96D426C9}">
            <xm:f>'Modell-Kalibrierung'!$B$16</xm:f>
            <x14:dxf>
              <fill>
                <patternFill>
                  <bgColor theme="0"/>
                </patternFill>
              </fill>
            </x14:dxf>
          </x14:cfRule>
          <xm:sqref>I39:I41</xm:sqref>
        </x14:conditionalFormatting>
        <x14:conditionalFormatting xmlns:xm="http://schemas.microsoft.com/office/excel/2006/main">
          <x14:cfRule type="cellIs" priority="549" operator="equal" id="{C99D25B6-D723-434D-8CCD-34E17789004B}">
            <xm:f>'Modell-Kalibrierung'!$B$16</xm:f>
            <x14:dxf>
              <fill>
                <patternFill>
                  <bgColor theme="0"/>
                </patternFill>
              </fill>
            </x14:dxf>
          </x14:cfRule>
          <xm:sqref>I66:I67</xm:sqref>
        </x14:conditionalFormatting>
        <x14:conditionalFormatting xmlns:xm="http://schemas.microsoft.com/office/excel/2006/main">
          <x14:cfRule type="cellIs" priority="542" operator="equal" id="{ADF1E977-BFEA-494B-942A-CD9D3DC748FE}">
            <xm:f>'Modell-Kalibrierung'!$B$16</xm:f>
            <x14:dxf>
              <fill>
                <patternFill>
                  <bgColor theme="0"/>
                </patternFill>
              </fill>
            </x14:dxf>
          </x14:cfRule>
          <xm:sqref>I63:I65</xm:sqref>
        </x14:conditionalFormatting>
        <x14:conditionalFormatting xmlns:xm="http://schemas.microsoft.com/office/excel/2006/main">
          <x14:cfRule type="cellIs" priority="535" operator="equal" id="{9F596B62-4684-401E-9BC1-B0CCDA94FA65}">
            <xm:f>'Modell-Kalibrierung'!$B$16</xm:f>
            <x14:dxf>
              <fill>
                <patternFill>
                  <bgColor theme="0"/>
                </patternFill>
              </fill>
            </x14:dxf>
          </x14:cfRule>
          <xm:sqref>I72:I73</xm:sqref>
        </x14:conditionalFormatting>
        <x14:conditionalFormatting xmlns:xm="http://schemas.microsoft.com/office/excel/2006/main">
          <x14:cfRule type="cellIs" priority="528" operator="equal" id="{AE0D12F0-E29C-4ED9-A782-22C75131F2B5}">
            <xm:f>'Modell-Kalibrierung'!$B$16</xm:f>
            <x14:dxf>
              <fill>
                <patternFill>
                  <bgColor theme="0"/>
                </patternFill>
              </fill>
            </x14:dxf>
          </x14:cfRule>
          <xm:sqref>I69:I71</xm:sqref>
        </x14:conditionalFormatting>
        <x14:conditionalFormatting xmlns:xm="http://schemas.microsoft.com/office/excel/2006/main">
          <x14:cfRule type="cellIs" priority="521" operator="equal" id="{7E8FE511-6EB8-42B7-A473-8786035D6773}">
            <xm:f>'Modell-Kalibrierung'!$B$16</xm:f>
            <x14:dxf>
              <fill>
                <patternFill>
                  <bgColor theme="0"/>
                </patternFill>
              </fill>
            </x14:dxf>
          </x14:cfRule>
          <xm:sqref>I78:I79</xm:sqref>
        </x14:conditionalFormatting>
        <x14:conditionalFormatting xmlns:xm="http://schemas.microsoft.com/office/excel/2006/main">
          <x14:cfRule type="cellIs" priority="514" operator="equal" id="{639F354B-EA1B-418F-B85A-0F3566D4EB7A}">
            <xm:f>'Modell-Kalibrierung'!$B$16</xm:f>
            <x14:dxf>
              <fill>
                <patternFill>
                  <bgColor theme="0"/>
                </patternFill>
              </fill>
            </x14:dxf>
          </x14:cfRule>
          <xm:sqref>I75:I77</xm:sqref>
        </x14:conditionalFormatting>
        <x14:conditionalFormatting xmlns:xm="http://schemas.microsoft.com/office/excel/2006/main">
          <x14:cfRule type="cellIs" priority="507" operator="equal" id="{708E1522-47AF-4664-A98E-58F1BC04733F}">
            <xm:f>'Modell-Kalibrierung'!$B$16</xm:f>
            <x14:dxf>
              <fill>
                <patternFill>
                  <bgColor theme="0"/>
                </patternFill>
              </fill>
            </x14:dxf>
          </x14:cfRule>
          <xm:sqref>I84:I85</xm:sqref>
        </x14:conditionalFormatting>
        <x14:conditionalFormatting xmlns:xm="http://schemas.microsoft.com/office/excel/2006/main">
          <x14:cfRule type="cellIs" priority="500" operator="equal" id="{4CB11235-F393-434B-A121-429AAF6CBA8B}">
            <xm:f>'Modell-Kalibrierung'!$B$16</xm:f>
            <x14:dxf>
              <fill>
                <patternFill>
                  <bgColor theme="0"/>
                </patternFill>
              </fill>
            </x14:dxf>
          </x14:cfRule>
          <xm:sqref>I81:I83</xm:sqref>
        </x14:conditionalFormatting>
        <x14:conditionalFormatting xmlns:xm="http://schemas.microsoft.com/office/excel/2006/main">
          <x14:cfRule type="cellIs" priority="493" operator="equal" id="{24459EA4-0D4A-4093-B32B-164E2558D4A3}">
            <xm:f>'Modell-Kalibrierung'!$B$16</xm:f>
            <x14:dxf>
              <fill>
                <patternFill>
                  <bgColor theme="0"/>
                </patternFill>
              </fill>
            </x14:dxf>
          </x14:cfRule>
          <xm:sqref>I90:I91</xm:sqref>
        </x14:conditionalFormatting>
        <x14:conditionalFormatting xmlns:xm="http://schemas.microsoft.com/office/excel/2006/main">
          <x14:cfRule type="cellIs" priority="486" operator="equal" id="{D66B052E-A57F-468D-8F21-167B75568983}">
            <xm:f>'Modell-Kalibrierung'!$B$16</xm:f>
            <x14:dxf>
              <fill>
                <patternFill>
                  <bgColor theme="0"/>
                </patternFill>
              </fill>
            </x14:dxf>
          </x14:cfRule>
          <xm:sqref>I87:I89</xm:sqref>
        </x14:conditionalFormatting>
        <x14:conditionalFormatting xmlns:xm="http://schemas.microsoft.com/office/excel/2006/main">
          <x14:cfRule type="cellIs" priority="479" operator="equal" id="{C0977986-6DF5-4374-9452-358385A5BF24}">
            <xm:f>'Modell-Kalibrierung'!$B$16</xm:f>
            <x14:dxf>
              <fill>
                <patternFill>
                  <bgColor theme="0"/>
                </patternFill>
              </fill>
            </x14:dxf>
          </x14:cfRule>
          <xm:sqref>I96:I97</xm:sqref>
        </x14:conditionalFormatting>
        <x14:conditionalFormatting xmlns:xm="http://schemas.microsoft.com/office/excel/2006/main">
          <x14:cfRule type="cellIs" priority="472" operator="equal" id="{3C11D94F-0EED-4CB5-B36E-A63657EB3A9A}">
            <xm:f>'Modell-Kalibrierung'!$B$16</xm:f>
            <x14:dxf>
              <fill>
                <patternFill>
                  <bgColor theme="0"/>
                </patternFill>
              </fill>
            </x14:dxf>
          </x14:cfRule>
          <xm:sqref>I93:I95</xm:sqref>
        </x14:conditionalFormatting>
        <x14:conditionalFormatting xmlns:xm="http://schemas.microsoft.com/office/excel/2006/main">
          <x14:cfRule type="cellIs" priority="465" operator="equal" id="{0A40CC0E-6684-4849-A8AD-3E992E07B68D}">
            <xm:f>'Modell-Kalibrierung'!$B$16</xm:f>
            <x14:dxf>
              <fill>
                <patternFill>
                  <bgColor theme="0"/>
                </patternFill>
              </fill>
            </x14:dxf>
          </x14:cfRule>
          <xm:sqref>I102:I103</xm:sqref>
        </x14:conditionalFormatting>
        <x14:conditionalFormatting xmlns:xm="http://schemas.microsoft.com/office/excel/2006/main">
          <x14:cfRule type="cellIs" priority="458" operator="equal" id="{8B137E18-3026-48D9-A179-BBBC1128F132}">
            <xm:f>'Modell-Kalibrierung'!$B$16</xm:f>
            <x14:dxf>
              <fill>
                <patternFill>
                  <bgColor theme="0"/>
                </patternFill>
              </fill>
            </x14:dxf>
          </x14:cfRule>
          <xm:sqref>I99:I101</xm:sqref>
        </x14:conditionalFormatting>
        <x14:conditionalFormatting xmlns:xm="http://schemas.microsoft.com/office/excel/2006/main">
          <x14:cfRule type="cellIs" priority="451" operator="equal" id="{F478074A-E8BE-459D-9AD0-D93B3550CD7D}">
            <xm:f>'Modell-Kalibrierung'!$B$16</xm:f>
            <x14:dxf>
              <fill>
                <patternFill>
                  <bgColor theme="0"/>
                </patternFill>
              </fill>
            </x14:dxf>
          </x14:cfRule>
          <xm:sqref>I108:I109</xm:sqref>
        </x14:conditionalFormatting>
        <x14:conditionalFormatting xmlns:xm="http://schemas.microsoft.com/office/excel/2006/main">
          <x14:cfRule type="cellIs" priority="444" operator="equal" id="{A9ACD309-0841-4181-8777-E0292A6F736F}">
            <xm:f>'Modell-Kalibrierung'!$B$16</xm:f>
            <x14:dxf>
              <fill>
                <patternFill>
                  <bgColor theme="0"/>
                </patternFill>
              </fill>
            </x14:dxf>
          </x14:cfRule>
          <xm:sqref>I105:I107</xm:sqref>
        </x14:conditionalFormatting>
        <x14:conditionalFormatting xmlns:xm="http://schemas.microsoft.com/office/excel/2006/main">
          <x14:cfRule type="cellIs" priority="437" operator="equal" id="{8CC9D197-D2F6-4FCA-8417-D1F0795C8976}">
            <xm:f>'Modell-Kalibrierung'!$B$16</xm:f>
            <x14:dxf>
              <fill>
                <patternFill>
                  <bgColor theme="0"/>
                </patternFill>
              </fill>
            </x14:dxf>
          </x14:cfRule>
          <xm:sqref>I114:I115</xm:sqref>
        </x14:conditionalFormatting>
        <x14:conditionalFormatting xmlns:xm="http://schemas.microsoft.com/office/excel/2006/main">
          <x14:cfRule type="cellIs" priority="430" operator="equal" id="{CEDC2F32-8D8D-4952-865D-542D6DD5B7B3}">
            <xm:f>'Modell-Kalibrierung'!$B$16</xm:f>
            <x14:dxf>
              <fill>
                <patternFill>
                  <bgColor theme="0"/>
                </patternFill>
              </fill>
            </x14:dxf>
          </x14:cfRule>
          <xm:sqref>I111:I113</xm:sqref>
        </x14:conditionalFormatting>
        <x14:conditionalFormatting xmlns:xm="http://schemas.microsoft.com/office/excel/2006/main">
          <x14:cfRule type="cellIs" priority="423" operator="equal" id="{7F39BDED-6313-4F14-BBCC-A4438E4FAA17}">
            <xm:f>'Modell-Kalibrierung'!$B$16</xm:f>
            <x14:dxf>
              <fill>
                <patternFill>
                  <bgColor theme="0"/>
                </patternFill>
              </fill>
            </x14:dxf>
          </x14:cfRule>
          <xm:sqref>I120:I121</xm:sqref>
        </x14:conditionalFormatting>
        <x14:conditionalFormatting xmlns:xm="http://schemas.microsoft.com/office/excel/2006/main">
          <x14:cfRule type="cellIs" priority="416" operator="equal" id="{BB181834-BF45-462B-9841-A91EC645A826}">
            <xm:f>'Modell-Kalibrierung'!$B$16</xm:f>
            <x14:dxf>
              <fill>
                <patternFill>
                  <bgColor theme="0"/>
                </patternFill>
              </fill>
            </x14:dxf>
          </x14:cfRule>
          <xm:sqref>I117:I119</xm:sqref>
        </x14:conditionalFormatting>
        <x14:conditionalFormatting xmlns:xm="http://schemas.microsoft.com/office/excel/2006/main">
          <x14:cfRule type="cellIs" priority="409" operator="equal" id="{B3692FED-9DE0-4553-ADE7-17D8C8E56EED}">
            <xm:f>'Modell-Kalibrierung'!$B$16</xm:f>
            <x14:dxf>
              <fill>
                <patternFill>
                  <bgColor theme="0"/>
                </patternFill>
              </fill>
            </x14:dxf>
          </x14:cfRule>
          <xm:sqref>G42:G43</xm:sqref>
        </x14:conditionalFormatting>
        <x14:conditionalFormatting xmlns:xm="http://schemas.microsoft.com/office/excel/2006/main">
          <x14:cfRule type="cellIs" priority="402" operator="equal" id="{375331B0-6800-477A-A044-8AB884DB5B7D}">
            <xm:f>'Modell-Kalibrierung'!$B$16</xm:f>
            <x14:dxf>
              <fill>
                <patternFill>
                  <bgColor theme="0"/>
                </patternFill>
              </fill>
            </x14:dxf>
          </x14:cfRule>
          <xm:sqref>G39:G41</xm:sqref>
        </x14:conditionalFormatting>
        <x14:conditionalFormatting xmlns:xm="http://schemas.microsoft.com/office/excel/2006/main">
          <x14:cfRule type="cellIs" priority="395" operator="equal" id="{F3E4C4A7-0B9F-43B7-98D5-5B0FCB151CC9}">
            <xm:f>'Modell-Kalibrierung'!$B$16</xm:f>
            <x14:dxf>
              <fill>
                <patternFill>
                  <bgColor theme="0"/>
                </patternFill>
              </fill>
            </x14:dxf>
          </x14:cfRule>
          <xm:sqref>G66:G67</xm:sqref>
        </x14:conditionalFormatting>
        <x14:conditionalFormatting xmlns:xm="http://schemas.microsoft.com/office/excel/2006/main">
          <x14:cfRule type="cellIs" priority="388" operator="equal" id="{0D328F2F-CDA0-4298-8EFF-E9636BDB561F}">
            <xm:f>'Modell-Kalibrierung'!$B$16</xm:f>
            <x14:dxf>
              <fill>
                <patternFill>
                  <bgColor theme="0"/>
                </patternFill>
              </fill>
            </x14:dxf>
          </x14:cfRule>
          <xm:sqref>G63:G65</xm:sqref>
        </x14:conditionalFormatting>
        <x14:conditionalFormatting xmlns:xm="http://schemas.microsoft.com/office/excel/2006/main">
          <x14:cfRule type="cellIs" priority="381" operator="equal" id="{5AF23007-F2D0-4E14-892B-E3BE0E1FE3B7}">
            <xm:f>'Modell-Kalibrierung'!$B$16</xm:f>
            <x14:dxf>
              <fill>
                <patternFill>
                  <bgColor theme="0"/>
                </patternFill>
              </fill>
            </x14:dxf>
          </x14:cfRule>
          <xm:sqref>G72:G73</xm:sqref>
        </x14:conditionalFormatting>
        <x14:conditionalFormatting xmlns:xm="http://schemas.microsoft.com/office/excel/2006/main">
          <x14:cfRule type="cellIs" priority="374" operator="equal" id="{CD5240C1-A5A6-400B-821F-11C22E163AF5}">
            <xm:f>'Modell-Kalibrierung'!$B$16</xm:f>
            <x14:dxf>
              <fill>
                <patternFill>
                  <bgColor theme="0"/>
                </patternFill>
              </fill>
            </x14:dxf>
          </x14:cfRule>
          <xm:sqref>G69:G71</xm:sqref>
        </x14:conditionalFormatting>
        <x14:conditionalFormatting xmlns:xm="http://schemas.microsoft.com/office/excel/2006/main">
          <x14:cfRule type="cellIs" priority="367" operator="equal" id="{A25ECC72-A58E-4AAC-9B41-8F76273EB35F}">
            <xm:f>'Modell-Kalibrierung'!$B$16</xm:f>
            <x14:dxf>
              <fill>
                <patternFill>
                  <bgColor theme="0"/>
                </patternFill>
              </fill>
            </x14:dxf>
          </x14:cfRule>
          <xm:sqref>G78:G79</xm:sqref>
        </x14:conditionalFormatting>
        <x14:conditionalFormatting xmlns:xm="http://schemas.microsoft.com/office/excel/2006/main">
          <x14:cfRule type="cellIs" priority="360" operator="equal" id="{6E4FBF8D-44D7-4E05-96F1-E9E220E039B5}">
            <xm:f>'Modell-Kalibrierung'!$B$16</xm:f>
            <x14:dxf>
              <fill>
                <patternFill>
                  <bgColor theme="0"/>
                </patternFill>
              </fill>
            </x14:dxf>
          </x14:cfRule>
          <xm:sqref>G75:G77</xm:sqref>
        </x14:conditionalFormatting>
        <x14:conditionalFormatting xmlns:xm="http://schemas.microsoft.com/office/excel/2006/main">
          <x14:cfRule type="cellIs" priority="353" operator="equal" id="{26BB6CF7-76D9-4A92-B129-0A0447735B3C}">
            <xm:f>'Modell-Kalibrierung'!$B$16</xm:f>
            <x14:dxf>
              <fill>
                <patternFill>
                  <bgColor theme="0"/>
                </patternFill>
              </fill>
            </x14:dxf>
          </x14:cfRule>
          <xm:sqref>G84:G85</xm:sqref>
        </x14:conditionalFormatting>
        <x14:conditionalFormatting xmlns:xm="http://schemas.microsoft.com/office/excel/2006/main">
          <x14:cfRule type="cellIs" priority="346" operator="equal" id="{CE9A6DA7-D069-42BD-B759-8795AAB7C45D}">
            <xm:f>'Modell-Kalibrierung'!$B$16</xm:f>
            <x14:dxf>
              <fill>
                <patternFill>
                  <bgColor theme="0"/>
                </patternFill>
              </fill>
            </x14:dxf>
          </x14:cfRule>
          <xm:sqref>G81:G83</xm:sqref>
        </x14:conditionalFormatting>
        <x14:conditionalFormatting xmlns:xm="http://schemas.microsoft.com/office/excel/2006/main">
          <x14:cfRule type="cellIs" priority="339" operator="equal" id="{E5D7DB83-9353-4B6B-A41B-C01454BF8399}">
            <xm:f>'Modell-Kalibrierung'!$B$16</xm:f>
            <x14:dxf>
              <fill>
                <patternFill>
                  <bgColor theme="0"/>
                </patternFill>
              </fill>
            </x14:dxf>
          </x14:cfRule>
          <xm:sqref>G90:G91</xm:sqref>
        </x14:conditionalFormatting>
        <x14:conditionalFormatting xmlns:xm="http://schemas.microsoft.com/office/excel/2006/main">
          <x14:cfRule type="cellIs" priority="332" operator="equal" id="{B7468495-8A99-425E-9711-01D22BC61010}">
            <xm:f>'Modell-Kalibrierung'!$B$16</xm:f>
            <x14:dxf>
              <fill>
                <patternFill>
                  <bgColor theme="0"/>
                </patternFill>
              </fill>
            </x14:dxf>
          </x14:cfRule>
          <xm:sqref>G87:G89</xm:sqref>
        </x14:conditionalFormatting>
        <x14:conditionalFormatting xmlns:xm="http://schemas.microsoft.com/office/excel/2006/main">
          <x14:cfRule type="cellIs" priority="325" operator="equal" id="{56A5D573-B1F8-4F44-AB06-2E563616C76A}">
            <xm:f>'Modell-Kalibrierung'!$B$16</xm:f>
            <x14:dxf>
              <fill>
                <patternFill>
                  <bgColor theme="0"/>
                </patternFill>
              </fill>
            </x14:dxf>
          </x14:cfRule>
          <xm:sqref>G96:G97</xm:sqref>
        </x14:conditionalFormatting>
        <x14:conditionalFormatting xmlns:xm="http://schemas.microsoft.com/office/excel/2006/main">
          <x14:cfRule type="cellIs" priority="318" operator="equal" id="{9EBCA65E-023E-4879-B553-E17F00E67C4F}">
            <xm:f>'Modell-Kalibrierung'!$B$16</xm:f>
            <x14:dxf>
              <fill>
                <patternFill>
                  <bgColor theme="0"/>
                </patternFill>
              </fill>
            </x14:dxf>
          </x14:cfRule>
          <xm:sqref>G93:G95</xm:sqref>
        </x14:conditionalFormatting>
        <x14:conditionalFormatting xmlns:xm="http://schemas.microsoft.com/office/excel/2006/main">
          <x14:cfRule type="cellIs" priority="311" operator="equal" id="{6291CA61-FFA9-47DF-892D-214E50ACF93F}">
            <xm:f>'Modell-Kalibrierung'!$B$16</xm:f>
            <x14:dxf>
              <fill>
                <patternFill>
                  <bgColor theme="0"/>
                </patternFill>
              </fill>
            </x14:dxf>
          </x14:cfRule>
          <xm:sqref>G102:G103</xm:sqref>
        </x14:conditionalFormatting>
        <x14:conditionalFormatting xmlns:xm="http://schemas.microsoft.com/office/excel/2006/main">
          <x14:cfRule type="cellIs" priority="304" operator="equal" id="{94138100-575D-4890-B0B7-FD56D42F90D6}">
            <xm:f>'Modell-Kalibrierung'!$B$16</xm:f>
            <x14:dxf>
              <fill>
                <patternFill>
                  <bgColor theme="0"/>
                </patternFill>
              </fill>
            </x14:dxf>
          </x14:cfRule>
          <xm:sqref>G99:G101</xm:sqref>
        </x14:conditionalFormatting>
        <x14:conditionalFormatting xmlns:xm="http://schemas.microsoft.com/office/excel/2006/main">
          <x14:cfRule type="cellIs" priority="297" operator="equal" id="{1B4C9029-D6D6-4BE1-BFD3-8E43717BA6A9}">
            <xm:f>'Modell-Kalibrierung'!$B$16</xm:f>
            <x14:dxf>
              <fill>
                <patternFill>
                  <bgColor theme="0"/>
                </patternFill>
              </fill>
            </x14:dxf>
          </x14:cfRule>
          <xm:sqref>G108:G109</xm:sqref>
        </x14:conditionalFormatting>
        <x14:conditionalFormatting xmlns:xm="http://schemas.microsoft.com/office/excel/2006/main">
          <x14:cfRule type="cellIs" priority="290" operator="equal" id="{351C3AA2-55C2-46ED-AF63-E37135E87B9F}">
            <xm:f>'Modell-Kalibrierung'!$B$16</xm:f>
            <x14:dxf>
              <fill>
                <patternFill>
                  <bgColor theme="0"/>
                </patternFill>
              </fill>
            </x14:dxf>
          </x14:cfRule>
          <xm:sqref>G105:G107</xm:sqref>
        </x14:conditionalFormatting>
        <x14:conditionalFormatting xmlns:xm="http://schemas.microsoft.com/office/excel/2006/main">
          <x14:cfRule type="cellIs" priority="283" operator="equal" id="{931D0F77-D543-4C02-BED5-3B7BD455EEA5}">
            <xm:f>'Modell-Kalibrierung'!$B$16</xm:f>
            <x14:dxf>
              <fill>
                <patternFill>
                  <bgColor theme="0"/>
                </patternFill>
              </fill>
            </x14:dxf>
          </x14:cfRule>
          <xm:sqref>G114:G115</xm:sqref>
        </x14:conditionalFormatting>
        <x14:conditionalFormatting xmlns:xm="http://schemas.microsoft.com/office/excel/2006/main">
          <x14:cfRule type="cellIs" priority="276" operator="equal" id="{C9C1D6A8-AA50-4C75-BF1E-096CDF98B0EB}">
            <xm:f>'Modell-Kalibrierung'!$B$16</xm:f>
            <x14:dxf>
              <fill>
                <patternFill>
                  <bgColor theme="0"/>
                </patternFill>
              </fill>
            </x14:dxf>
          </x14:cfRule>
          <xm:sqref>G111:G113</xm:sqref>
        </x14:conditionalFormatting>
        <x14:conditionalFormatting xmlns:xm="http://schemas.microsoft.com/office/excel/2006/main">
          <x14:cfRule type="cellIs" priority="269" operator="equal" id="{1864007B-F3EC-46F0-872D-9583D83BF323}">
            <xm:f>'Modell-Kalibrierung'!$B$16</xm:f>
            <x14:dxf>
              <fill>
                <patternFill>
                  <bgColor theme="0"/>
                </patternFill>
              </fill>
            </x14:dxf>
          </x14:cfRule>
          <xm:sqref>G120:G121</xm:sqref>
        </x14:conditionalFormatting>
        <x14:conditionalFormatting xmlns:xm="http://schemas.microsoft.com/office/excel/2006/main">
          <x14:cfRule type="cellIs" priority="262" operator="equal" id="{9B1BF3B4-AEFC-4331-9712-FD52B0BF77AB}">
            <xm:f>'Modell-Kalibrierung'!$B$16</xm:f>
            <x14:dxf>
              <fill>
                <patternFill>
                  <bgColor theme="0"/>
                </patternFill>
              </fill>
            </x14:dxf>
          </x14:cfRule>
          <xm:sqref>G117:G119</xm:sqref>
        </x14:conditionalFormatting>
        <x14:conditionalFormatting xmlns:xm="http://schemas.microsoft.com/office/excel/2006/main">
          <x14:cfRule type="iconSet" priority="792" id="{EAD22512-219D-476C-83B3-24F9DE14F3BF}">
            <x14:iconSet iconSet="3TrafficLights2" reverse="1">
              <x14:cfvo type="percent">
                <xm:f>0</xm:f>
              </x14:cfvo>
              <x14:cfvo type="num" gte="0">
                <xm:f>'Modell-Kalibrierung'!$C$18</xm:f>
              </x14:cfvo>
              <x14:cfvo type="num">
                <xm:f>'Modell-Kalibrierung'!$C$20</xm:f>
              </x14:cfvo>
            </x14:iconSet>
          </x14:cfRule>
          <xm:sqref>K33</xm:sqref>
        </x14:conditionalFormatting>
        <x14:conditionalFormatting xmlns:xm="http://schemas.microsoft.com/office/excel/2006/main">
          <x14:cfRule type="cellIs" priority="256" operator="between" id="{ADE7B5C9-744D-4B7B-944C-7D59C6643C9B}">
            <xm:f>'Modell-Kalibrierung'!$C$7+1%</xm:f>
            <xm:f>"0Kalibrierung!$E$8"</xm:f>
            <x14:dxf>
              <font>
                <color theme="0"/>
              </font>
              <fill>
                <patternFill>
                  <bgColor theme="5" tint="-0.499984740745262"/>
                </patternFill>
              </fill>
            </x14:dxf>
          </x14:cfRule>
          <x14:cfRule type="cellIs" priority="257" operator="between" id="{67257894-F433-464C-BE33-5A42A1BE5F44}">
            <xm:f>'Modell-Kalibrierung'!$C$6+1%</xm:f>
            <xm:f>"0Kalibrierung!$E$7"</xm:f>
            <x14:dxf>
              <fill>
                <patternFill>
                  <bgColor theme="5" tint="-0.24994659260841701"/>
                </patternFill>
              </fill>
            </x14:dxf>
          </x14:cfRule>
          <x14:cfRule type="cellIs" priority="258" operator="between" id="{8B9E8980-432F-4A79-8C58-EC5B9F8625F0}">
            <xm:f>'Modell-Kalibrierung'!$C$5+1%</xm:f>
            <xm:f>"0Kalibrierung!$E$6"</xm:f>
            <x14:dxf>
              <fill>
                <patternFill>
                  <bgColor theme="5" tint="0.39994506668294322"/>
                </patternFill>
              </fill>
            </x14:dxf>
          </x14:cfRule>
          <x14:cfRule type="cellIs" priority="259" operator="between" id="{D85E24DF-A584-49E1-8087-2F455A5AC76B}">
            <xm:f>'Modell-Kalibrierung'!$C$4+1%</xm:f>
            <xm:f>"0Kalibrierung!$E$5"</xm:f>
            <x14:dxf>
              <fill>
                <patternFill>
                  <bgColor theme="5" tint="0.59996337778862885"/>
                </patternFill>
              </fill>
            </x14:dxf>
          </x14:cfRule>
          <x14:cfRule type="cellIs" priority="260" operator="between" id="{AA773ABC-2C7D-48E6-975C-4EF402F6E923}">
            <xm:f>'Modell-Kalibrierung'!$C$3+1%</xm:f>
            <xm:f>'Modell-Kalibrierung'!$C$4</xm:f>
            <x14:dxf>
              <fill>
                <patternFill>
                  <bgColor theme="5" tint="0.79998168889431442"/>
                </patternFill>
              </fill>
            </x14:dxf>
          </x14:cfRule>
          <x14:cfRule type="cellIs" priority="261" operator="equal" id="{3792B591-1862-439B-AC3B-84E3E1D3EAC5}">
            <xm:f>'Modell-Kalibrierung'!$C$3</xm:f>
            <x14:dxf>
              <fill>
                <patternFill>
                  <bgColor theme="0"/>
                </patternFill>
              </fill>
            </x14:dxf>
          </x14:cfRule>
          <xm:sqref>J35</xm:sqref>
        </x14:conditionalFormatting>
        <x14:conditionalFormatting xmlns:xm="http://schemas.microsoft.com/office/excel/2006/main">
          <x14:cfRule type="iconSet" priority="255" id="{06F44CD6-6AAC-418F-A2CE-029EEF0B1991}">
            <x14:iconSet iconSet="3TrafficLights2" reverse="1">
              <x14:cfvo type="percent">
                <xm:f>0</xm:f>
              </x14:cfvo>
              <x14:cfvo type="num" gte="0">
                <xm:f>'Modell-Kalibrierung'!$C$18</xm:f>
              </x14:cfvo>
              <x14:cfvo type="num">
                <xm:f>'Modell-Kalibrierung'!$C$20</xm:f>
              </x14:cfvo>
            </x14:iconSet>
          </x14:cfRule>
          <xm:sqref>K126</xm:sqref>
        </x14:conditionalFormatting>
        <x14:conditionalFormatting xmlns:xm="http://schemas.microsoft.com/office/excel/2006/main">
          <x14:cfRule type="cellIs" priority="249" operator="between" id="{4D0F4FAA-69B5-4ED9-BFE8-9752DBF2A6F9}">
            <xm:f>'Modell-Kalibrierung'!$C$7+1%</xm:f>
            <xm:f>"0Kalibrierung!$E$8"</xm:f>
            <x14:dxf>
              <font>
                <color theme="0"/>
              </font>
              <fill>
                <patternFill>
                  <bgColor theme="5" tint="-0.499984740745262"/>
                </patternFill>
              </fill>
            </x14:dxf>
          </x14:cfRule>
          <x14:cfRule type="cellIs" priority="250" operator="between" id="{644DE8AE-D37F-4825-97CC-92C8B8F8FFCC}">
            <xm:f>'Modell-Kalibrierung'!$C$6+1%</xm:f>
            <xm:f>"0Kalibrierung!$E$7"</xm:f>
            <x14:dxf>
              <fill>
                <patternFill>
                  <bgColor theme="5" tint="-0.24994659260841701"/>
                </patternFill>
              </fill>
            </x14:dxf>
          </x14:cfRule>
          <x14:cfRule type="cellIs" priority="251" operator="between" id="{7A8EF573-2044-405B-BD45-9BC912493D39}">
            <xm:f>'Modell-Kalibrierung'!$C$5+1%</xm:f>
            <xm:f>"0Kalibrierung!$E$6"</xm:f>
            <x14:dxf>
              <fill>
                <patternFill>
                  <bgColor theme="5" tint="0.39994506668294322"/>
                </patternFill>
              </fill>
            </x14:dxf>
          </x14:cfRule>
          <x14:cfRule type="cellIs" priority="252" operator="between" id="{9FE23460-EE35-4254-8D90-B8FB22AD017F}">
            <xm:f>'Modell-Kalibrierung'!$C$4+1%</xm:f>
            <xm:f>"0Kalibrierung!$E$5"</xm:f>
            <x14:dxf>
              <fill>
                <patternFill>
                  <bgColor theme="5" tint="0.59996337778862885"/>
                </patternFill>
              </fill>
            </x14:dxf>
          </x14:cfRule>
          <x14:cfRule type="cellIs" priority="253" operator="between" id="{F01D201A-1A36-49E6-89E8-393B6DF6FBF8}">
            <xm:f>'Modell-Kalibrierung'!$C$3+1%</xm:f>
            <xm:f>'Modell-Kalibrierung'!$C$4</xm:f>
            <x14:dxf>
              <fill>
                <patternFill>
                  <bgColor theme="5" tint="0.79998168889431442"/>
                </patternFill>
              </fill>
            </x14:dxf>
          </x14:cfRule>
          <x14:cfRule type="cellIs" priority="254" operator="equal" id="{C8A57260-6D35-4933-9007-2B944A35F2D5}">
            <xm:f>'Modell-Kalibrierung'!$C$3</xm:f>
            <x14:dxf>
              <fill>
                <patternFill>
                  <bgColor theme="0"/>
                </patternFill>
              </fill>
            </x14:dxf>
          </x14:cfRule>
          <xm:sqref>J126</xm:sqref>
        </x14:conditionalFormatting>
        <x14:conditionalFormatting xmlns:xm="http://schemas.microsoft.com/office/excel/2006/main">
          <x14:cfRule type="iconSet" priority="248" id="{16F97DB4-15D3-426B-B315-8DD6A29DF3C4}">
            <x14:iconSet iconSet="3TrafficLights2" reverse="1">
              <x14:cfvo type="percent">
                <xm:f>0</xm:f>
              </x14:cfvo>
              <x14:cfvo type="num" gte="0">
                <xm:f>'Modell-Kalibrierung'!$C$18</xm:f>
              </x14:cfvo>
              <x14:cfvo type="num">
                <xm:f>'Modell-Kalibrierung'!$C$20</xm:f>
              </x14:cfvo>
            </x14:iconSet>
          </x14:cfRule>
          <xm:sqref>K133</xm:sqref>
        </x14:conditionalFormatting>
        <x14:conditionalFormatting xmlns:xm="http://schemas.microsoft.com/office/excel/2006/main">
          <x14:cfRule type="cellIs" priority="242" operator="between" id="{9FD02CEE-9F76-4436-A67D-82B656E5368F}">
            <xm:f>'Modell-Kalibrierung'!$C$7+1%</xm:f>
            <xm:f>"0Kalibrierung!$E$8"</xm:f>
            <x14:dxf>
              <font>
                <color theme="0"/>
              </font>
              <fill>
                <patternFill>
                  <bgColor theme="5" tint="-0.499984740745262"/>
                </patternFill>
              </fill>
            </x14:dxf>
          </x14:cfRule>
          <x14:cfRule type="cellIs" priority="243" operator="between" id="{C431106E-CC47-4570-90A3-4F1125C5253A}">
            <xm:f>'Modell-Kalibrierung'!$C$6+1%</xm:f>
            <xm:f>"0Kalibrierung!$E$7"</xm:f>
            <x14:dxf>
              <fill>
                <patternFill>
                  <bgColor theme="5" tint="-0.24994659260841701"/>
                </patternFill>
              </fill>
            </x14:dxf>
          </x14:cfRule>
          <x14:cfRule type="cellIs" priority="244" operator="between" id="{EAEC7F36-94EB-4D22-9F2B-8350BF69522B}">
            <xm:f>'Modell-Kalibrierung'!$C$5+1%</xm:f>
            <xm:f>"0Kalibrierung!$E$6"</xm:f>
            <x14:dxf>
              <fill>
                <patternFill>
                  <bgColor theme="5" tint="0.39994506668294322"/>
                </patternFill>
              </fill>
            </x14:dxf>
          </x14:cfRule>
          <x14:cfRule type="cellIs" priority="245" operator="between" id="{E333CBD5-7E81-475B-9AF2-3ED43078A41B}">
            <xm:f>'Modell-Kalibrierung'!$C$4+1%</xm:f>
            <xm:f>"0Kalibrierung!$E$5"</xm:f>
            <x14:dxf>
              <fill>
                <patternFill>
                  <bgColor theme="5" tint="0.59996337778862885"/>
                </patternFill>
              </fill>
            </x14:dxf>
          </x14:cfRule>
          <x14:cfRule type="cellIs" priority="246" operator="between" id="{558529E1-23FA-4701-957D-A35A3D36DFDA}">
            <xm:f>'Modell-Kalibrierung'!$C$3+1%</xm:f>
            <xm:f>'Modell-Kalibrierung'!$C$4</xm:f>
            <x14:dxf>
              <fill>
                <patternFill>
                  <bgColor theme="5" tint="0.79998168889431442"/>
                </patternFill>
              </fill>
            </x14:dxf>
          </x14:cfRule>
          <x14:cfRule type="cellIs" priority="247" operator="equal" id="{7E7BE03C-E94F-4E82-958F-8C14813B29AB}">
            <xm:f>'Modell-Kalibrierung'!$C$3</xm:f>
            <x14:dxf>
              <fill>
                <patternFill>
                  <bgColor theme="0"/>
                </patternFill>
              </fill>
            </x14:dxf>
          </x14:cfRule>
          <xm:sqref>J133</xm:sqref>
        </x14:conditionalFormatting>
        <x14:conditionalFormatting xmlns:xm="http://schemas.microsoft.com/office/excel/2006/main">
          <x14:cfRule type="iconSet" priority="241" id="{04A38B44-947C-4DB3-9C5C-B73521D8234A}">
            <x14:iconSet iconSet="3TrafficLights2" reverse="1">
              <x14:cfvo type="percent">
                <xm:f>0</xm:f>
              </x14:cfvo>
              <x14:cfvo type="num" gte="0">
                <xm:f>'Modell-Kalibrierung'!$C$18</xm:f>
              </x14:cfvo>
              <x14:cfvo type="num">
                <xm:f>'Modell-Kalibrierung'!$C$20</xm:f>
              </x14:cfvo>
            </x14:iconSet>
          </x14:cfRule>
          <xm:sqref>K140</xm:sqref>
        </x14:conditionalFormatting>
        <x14:conditionalFormatting xmlns:xm="http://schemas.microsoft.com/office/excel/2006/main">
          <x14:cfRule type="cellIs" priority="235" operator="between" id="{F6665949-8C34-4125-B379-3A67E23B80E3}">
            <xm:f>'Modell-Kalibrierung'!$C$7+1%</xm:f>
            <xm:f>"0Kalibrierung!$E$8"</xm:f>
            <x14:dxf>
              <font>
                <color theme="0"/>
              </font>
              <fill>
                <patternFill>
                  <bgColor theme="5" tint="-0.499984740745262"/>
                </patternFill>
              </fill>
            </x14:dxf>
          </x14:cfRule>
          <x14:cfRule type="cellIs" priority="236" operator="between" id="{74109C40-06BD-40DC-BB2D-D5EF858A4B14}">
            <xm:f>'Modell-Kalibrierung'!$C$6+1%</xm:f>
            <xm:f>"0Kalibrierung!$E$7"</xm:f>
            <x14:dxf>
              <fill>
                <patternFill>
                  <bgColor theme="5" tint="-0.24994659260841701"/>
                </patternFill>
              </fill>
            </x14:dxf>
          </x14:cfRule>
          <x14:cfRule type="cellIs" priority="237" operator="between" id="{B812171F-9827-4385-9A32-43E92C03B763}">
            <xm:f>'Modell-Kalibrierung'!$C$5+1%</xm:f>
            <xm:f>"0Kalibrierung!$E$6"</xm:f>
            <x14:dxf>
              <fill>
                <patternFill>
                  <bgColor theme="5" tint="0.39994506668294322"/>
                </patternFill>
              </fill>
            </x14:dxf>
          </x14:cfRule>
          <x14:cfRule type="cellIs" priority="238" operator="between" id="{E0151793-C3FA-4D98-97A2-B170016B30AD}">
            <xm:f>'Modell-Kalibrierung'!$C$4+1%</xm:f>
            <xm:f>"0Kalibrierung!$E$5"</xm:f>
            <x14:dxf>
              <fill>
                <patternFill>
                  <bgColor theme="5" tint="0.59996337778862885"/>
                </patternFill>
              </fill>
            </x14:dxf>
          </x14:cfRule>
          <x14:cfRule type="cellIs" priority="239" operator="between" id="{D0EA0C0D-5B40-4E38-B503-75420E4075F4}">
            <xm:f>'Modell-Kalibrierung'!$C$3+1%</xm:f>
            <xm:f>'Modell-Kalibrierung'!$C$4</xm:f>
            <x14:dxf>
              <fill>
                <patternFill>
                  <bgColor theme="5" tint="0.79998168889431442"/>
                </patternFill>
              </fill>
            </x14:dxf>
          </x14:cfRule>
          <x14:cfRule type="cellIs" priority="240" operator="equal" id="{473AA4C0-CA81-4F47-B9DF-B546381285D7}">
            <xm:f>'Modell-Kalibrierung'!$C$3</xm:f>
            <x14:dxf>
              <fill>
                <patternFill>
                  <bgColor theme="0"/>
                </patternFill>
              </fill>
            </x14:dxf>
          </x14:cfRule>
          <xm:sqref>J140</xm:sqref>
        </x14:conditionalFormatting>
        <x14:conditionalFormatting xmlns:xm="http://schemas.microsoft.com/office/excel/2006/main">
          <x14:cfRule type="iconSet" priority="234" id="{EC18C51B-DEBB-4432-845F-7A220BF25C60}">
            <x14:iconSet iconSet="3TrafficLights2" reverse="1">
              <x14:cfvo type="percent">
                <xm:f>0</xm:f>
              </x14:cfvo>
              <x14:cfvo type="num" gte="0">
                <xm:f>'Modell-Kalibrierung'!$C$18</xm:f>
              </x14:cfvo>
              <x14:cfvo type="num">
                <xm:f>'Modell-Kalibrierung'!$C$20</xm:f>
              </x14:cfvo>
            </x14:iconSet>
          </x14:cfRule>
          <xm:sqref>K34</xm:sqref>
        </x14:conditionalFormatting>
        <x14:conditionalFormatting xmlns:xm="http://schemas.microsoft.com/office/excel/2006/main">
          <x14:cfRule type="iconSet" priority="233" id="{CF112BBF-01DF-4A28-93D9-351013268248}">
            <x14:iconSet iconSet="3TrafficLights2" reverse="1">
              <x14:cfvo type="percent">
                <xm:f>0</xm:f>
              </x14:cfvo>
              <x14:cfvo type="num" gte="0">
                <xm:f>'Modell-Kalibrierung'!$C$18</xm:f>
              </x14:cfvo>
              <x14:cfvo type="num">
                <xm:f>'Modell-Kalibrierung'!$C$20</xm:f>
              </x14:cfvo>
            </x14:iconSet>
          </x14:cfRule>
          <xm:sqref>K35</xm:sqref>
        </x14:conditionalFormatting>
        <x14:conditionalFormatting xmlns:xm="http://schemas.microsoft.com/office/excel/2006/main">
          <x14:cfRule type="iconSet" priority="232" id="{87F89EF3-6E0A-4990-B95B-0A6F4B20F313}">
            <x14:iconSet iconSet="3TrafficLights2" reverse="1">
              <x14:cfvo type="percent">
                <xm:f>0</xm:f>
              </x14:cfvo>
              <x14:cfvo type="num" gte="0">
                <xm:f>'Modell-Kalibrierung'!$C$18</xm:f>
              </x14:cfvo>
              <x14:cfvo type="num">
                <xm:f>'Modell-Kalibrierung'!$C$20</xm:f>
              </x14:cfvo>
            </x14:iconSet>
          </x14:cfRule>
          <xm:sqref>K36</xm:sqref>
        </x14:conditionalFormatting>
        <x14:conditionalFormatting xmlns:xm="http://schemas.microsoft.com/office/excel/2006/main">
          <x14:cfRule type="iconSet" priority="231" id="{DD9ED9DF-9140-4BAA-951F-630A66361A81}">
            <x14:iconSet iconSet="3TrafficLights2" reverse="1">
              <x14:cfvo type="percent">
                <xm:f>0</xm:f>
              </x14:cfvo>
              <x14:cfvo type="num" gte="0">
                <xm:f>'Modell-Kalibrierung'!$C$18</xm:f>
              </x14:cfvo>
              <x14:cfvo type="num">
                <xm:f>'Modell-Kalibrierung'!$C$20</xm:f>
              </x14:cfvo>
            </x14:iconSet>
          </x14:cfRule>
          <xm:sqref>K37</xm:sqref>
        </x14:conditionalFormatting>
        <x14:conditionalFormatting xmlns:xm="http://schemas.microsoft.com/office/excel/2006/main">
          <x14:cfRule type="iconSet" priority="230" id="{0839F7D0-4AD7-4ED0-AE4A-0945FB8D6EBF}">
            <x14:iconSet iconSet="3TrafficLights2" reverse="1">
              <x14:cfvo type="percent">
                <xm:f>0</xm:f>
              </x14:cfvo>
              <x14:cfvo type="num" gte="0">
                <xm:f>'Modell-Kalibrierung'!$C$18</xm:f>
              </x14:cfvo>
              <x14:cfvo type="num">
                <xm:f>'Modell-Kalibrierung'!$C$20</xm:f>
              </x14:cfvo>
            </x14:iconSet>
          </x14:cfRule>
          <xm:sqref>K39</xm:sqref>
        </x14:conditionalFormatting>
        <x14:conditionalFormatting xmlns:xm="http://schemas.microsoft.com/office/excel/2006/main">
          <x14:cfRule type="iconSet" priority="229" id="{8FA5D637-AD74-4CE5-8691-03E667B13B97}">
            <x14:iconSet iconSet="3TrafficLights2" reverse="1">
              <x14:cfvo type="percent">
                <xm:f>0</xm:f>
              </x14:cfvo>
              <x14:cfvo type="num" gte="0">
                <xm:f>'Modell-Kalibrierung'!$C$18</xm:f>
              </x14:cfvo>
              <x14:cfvo type="num">
                <xm:f>'Modell-Kalibrierung'!$C$20</xm:f>
              </x14:cfvo>
            </x14:iconSet>
          </x14:cfRule>
          <xm:sqref>K40</xm:sqref>
        </x14:conditionalFormatting>
        <x14:conditionalFormatting xmlns:xm="http://schemas.microsoft.com/office/excel/2006/main">
          <x14:cfRule type="iconSet" priority="228" id="{9FCD76F1-A909-4BE6-AB69-55277107FDC0}">
            <x14:iconSet iconSet="3TrafficLights2" reverse="1">
              <x14:cfvo type="percent">
                <xm:f>0</xm:f>
              </x14:cfvo>
              <x14:cfvo type="num" gte="0">
                <xm:f>'Modell-Kalibrierung'!$C$18</xm:f>
              </x14:cfvo>
              <x14:cfvo type="num">
                <xm:f>'Modell-Kalibrierung'!$C$20</xm:f>
              </x14:cfvo>
            </x14:iconSet>
          </x14:cfRule>
          <xm:sqref>K41</xm:sqref>
        </x14:conditionalFormatting>
        <x14:conditionalFormatting xmlns:xm="http://schemas.microsoft.com/office/excel/2006/main">
          <x14:cfRule type="iconSet" priority="227" id="{A801B80A-3163-417A-99D5-8ED044A7A28B}">
            <x14:iconSet iconSet="3TrafficLights2" reverse="1">
              <x14:cfvo type="percent">
                <xm:f>0</xm:f>
              </x14:cfvo>
              <x14:cfvo type="num" gte="0">
                <xm:f>'Modell-Kalibrierung'!$C$18</xm:f>
              </x14:cfvo>
              <x14:cfvo type="num">
                <xm:f>'Modell-Kalibrierung'!$C$20</xm:f>
              </x14:cfvo>
            </x14:iconSet>
          </x14:cfRule>
          <xm:sqref>K42</xm:sqref>
        </x14:conditionalFormatting>
        <x14:conditionalFormatting xmlns:xm="http://schemas.microsoft.com/office/excel/2006/main">
          <x14:cfRule type="iconSet" priority="226" id="{E5FF20B0-D6AA-4421-BE58-5D04987B8856}">
            <x14:iconSet iconSet="3TrafficLights2" reverse="1">
              <x14:cfvo type="percent">
                <xm:f>0</xm:f>
              </x14:cfvo>
              <x14:cfvo type="num" gte="0">
                <xm:f>'Modell-Kalibrierung'!$C$18</xm:f>
              </x14:cfvo>
              <x14:cfvo type="num">
                <xm:f>'Modell-Kalibrierung'!$C$20</xm:f>
              </x14:cfvo>
            </x14:iconSet>
          </x14:cfRule>
          <xm:sqref>K43</xm:sqref>
        </x14:conditionalFormatting>
        <x14:conditionalFormatting xmlns:xm="http://schemas.microsoft.com/office/excel/2006/main">
          <x14:cfRule type="iconSet" priority="225" id="{E929A805-5884-4A7A-B2D4-281ABB1095B2}">
            <x14:iconSet iconSet="3TrafficLights2" reverse="1">
              <x14:cfvo type="percent">
                <xm:f>0</xm:f>
              </x14:cfvo>
              <x14:cfvo type="num" gte="0">
                <xm:f>'Modell-Kalibrierung'!$C$18</xm:f>
              </x14:cfvo>
              <x14:cfvo type="num">
                <xm:f>'Modell-Kalibrierung'!$C$20</xm:f>
              </x14:cfvo>
            </x14:iconSet>
          </x14:cfRule>
          <xm:sqref>K45</xm:sqref>
        </x14:conditionalFormatting>
        <x14:conditionalFormatting xmlns:xm="http://schemas.microsoft.com/office/excel/2006/main">
          <x14:cfRule type="iconSet" priority="224" id="{92DC1F36-E0BF-4F26-88AE-24236601DE0D}">
            <x14:iconSet iconSet="3TrafficLights2" reverse="1">
              <x14:cfvo type="percent">
                <xm:f>0</xm:f>
              </x14:cfvo>
              <x14:cfvo type="num" gte="0">
                <xm:f>'Modell-Kalibrierung'!$C$18</xm:f>
              </x14:cfvo>
              <x14:cfvo type="num">
                <xm:f>'Modell-Kalibrierung'!$C$20</xm:f>
              </x14:cfvo>
            </x14:iconSet>
          </x14:cfRule>
          <xm:sqref>K46</xm:sqref>
        </x14:conditionalFormatting>
        <x14:conditionalFormatting xmlns:xm="http://schemas.microsoft.com/office/excel/2006/main">
          <x14:cfRule type="iconSet" priority="223" id="{DF81EA2E-5A3C-4700-852C-D59277C8CFD7}">
            <x14:iconSet iconSet="3TrafficLights2" reverse="1">
              <x14:cfvo type="percent">
                <xm:f>0</xm:f>
              </x14:cfvo>
              <x14:cfvo type="num" gte="0">
                <xm:f>'Modell-Kalibrierung'!$C$18</xm:f>
              </x14:cfvo>
              <x14:cfvo type="num">
                <xm:f>'Modell-Kalibrierung'!$C$20</xm:f>
              </x14:cfvo>
            </x14:iconSet>
          </x14:cfRule>
          <xm:sqref>K47</xm:sqref>
        </x14:conditionalFormatting>
        <x14:conditionalFormatting xmlns:xm="http://schemas.microsoft.com/office/excel/2006/main">
          <x14:cfRule type="iconSet" priority="222" id="{FAF7AB6A-B007-4F5F-8B77-A4B3A99285C6}">
            <x14:iconSet iconSet="3TrafficLights2" reverse="1">
              <x14:cfvo type="percent">
                <xm:f>0</xm:f>
              </x14:cfvo>
              <x14:cfvo type="num" gte="0">
                <xm:f>'Modell-Kalibrierung'!$C$18</xm:f>
              </x14:cfvo>
              <x14:cfvo type="num">
                <xm:f>'Modell-Kalibrierung'!$C$20</xm:f>
              </x14:cfvo>
            </x14:iconSet>
          </x14:cfRule>
          <xm:sqref>K48</xm:sqref>
        </x14:conditionalFormatting>
        <x14:conditionalFormatting xmlns:xm="http://schemas.microsoft.com/office/excel/2006/main">
          <x14:cfRule type="iconSet" priority="221" id="{A41468F9-EC26-49BE-9EFF-708EEC8365F0}">
            <x14:iconSet iconSet="3TrafficLights2" reverse="1">
              <x14:cfvo type="percent">
                <xm:f>0</xm:f>
              </x14:cfvo>
              <x14:cfvo type="num" gte="0">
                <xm:f>'Modell-Kalibrierung'!$C$18</xm:f>
              </x14:cfvo>
              <x14:cfvo type="num">
                <xm:f>'Modell-Kalibrierung'!$C$20</xm:f>
              </x14:cfvo>
            </x14:iconSet>
          </x14:cfRule>
          <xm:sqref>K49</xm:sqref>
        </x14:conditionalFormatting>
        <x14:conditionalFormatting xmlns:xm="http://schemas.microsoft.com/office/excel/2006/main">
          <x14:cfRule type="iconSet" priority="220" id="{698BD1EB-4FA9-4A92-B4A0-E6E02A7D121F}">
            <x14:iconSet iconSet="3TrafficLights2" reverse="1">
              <x14:cfvo type="percent">
                <xm:f>0</xm:f>
              </x14:cfvo>
              <x14:cfvo type="num" gte="0">
                <xm:f>'Modell-Kalibrierung'!$C$18</xm:f>
              </x14:cfvo>
              <x14:cfvo type="num">
                <xm:f>'Modell-Kalibrierung'!$C$20</xm:f>
              </x14:cfvo>
            </x14:iconSet>
          </x14:cfRule>
          <xm:sqref>K51</xm:sqref>
        </x14:conditionalFormatting>
        <x14:conditionalFormatting xmlns:xm="http://schemas.microsoft.com/office/excel/2006/main">
          <x14:cfRule type="iconSet" priority="219" id="{3A4C7A1A-3D9F-4F77-8F43-8173C8EAC013}">
            <x14:iconSet iconSet="3TrafficLights2" reverse="1">
              <x14:cfvo type="percent">
                <xm:f>0</xm:f>
              </x14:cfvo>
              <x14:cfvo type="num" gte="0">
                <xm:f>'Modell-Kalibrierung'!$C$18</xm:f>
              </x14:cfvo>
              <x14:cfvo type="num">
                <xm:f>'Modell-Kalibrierung'!$C$20</xm:f>
              </x14:cfvo>
            </x14:iconSet>
          </x14:cfRule>
          <xm:sqref>K52</xm:sqref>
        </x14:conditionalFormatting>
        <x14:conditionalFormatting xmlns:xm="http://schemas.microsoft.com/office/excel/2006/main">
          <x14:cfRule type="iconSet" priority="218" id="{F83A4A56-99CB-410E-A423-7B4F10DC7D57}">
            <x14:iconSet iconSet="3TrafficLights2" reverse="1">
              <x14:cfvo type="percent">
                <xm:f>0</xm:f>
              </x14:cfvo>
              <x14:cfvo type="num" gte="0">
                <xm:f>'Modell-Kalibrierung'!$C$18</xm:f>
              </x14:cfvo>
              <x14:cfvo type="num">
                <xm:f>'Modell-Kalibrierung'!$C$20</xm:f>
              </x14:cfvo>
            </x14:iconSet>
          </x14:cfRule>
          <xm:sqref>K53</xm:sqref>
        </x14:conditionalFormatting>
        <x14:conditionalFormatting xmlns:xm="http://schemas.microsoft.com/office/excel/2006/main">
          <x14:cfRule type="iconSet" priority="217" id="{0664638C-28E4-402E-98AE-67C474F5991B}">
            <x14:iconSet iconSet="3TrafficLights2" reverse="1">
              <x14:cfvo type="percent">
                <xm:f>0</xm:f>
              </x14:cfvo>
              <x14:cfvo type="num" gte="0">
                <xm:f>'Modell-Kalibrierung'!$C$18</xm:f>
              </x14:cfvo>
              <x14:cfvo type="num">
                <xm:f>'Modell-Kalibrierung'!$C$20</xm:f>
              </x14:cfvo>
            </x14:iconSet>
          </x14:cfRule>
          <xm:sqref>K54</xm:sqref>
        </x14:conditionalFormatting>
        <x14:conditionalFormatting xmlns:xm="http://schemas.microsoft.com/office/excel/2006/main">
          <x14:cfRule type="iconSet" priority="216" id="{29B1A608-8944-46B5-9BAB-24E7286A8D7B}">
            <x14:iconSet iconSet="3TrafficLights2" reverse="1">
              <x14:cfvo type="percent">
                <xm:f>0</xm:f>
              </x14:cfvo>
              <x14:cfvo type="num" gte="0">
                <xm:f>'Modell-Kalibrierung'!$C$18</xm:f>
              </x14:cfvo>
              <x14:cfvo type="num">
                <xm:f>'Modell-Kalibrierung'!$C$20</xm:f>
              </x14:cfvo>
            </x14:iconSet>
          </x14:cfRule>
          <xm:sqref>K55</xm:sqref>
        </x14:conditionalFormatting>
        <x14:conditionalFormatting xmlns:xm="http://schemas.microsoft.com/office/excel/2006/main">
          <x14:cfRule type="iconSet" priority="215" id="{2DD46157-4E9A-4F22-A116-CFDD69170401}">
            <x14:iconSet iconSet="3TrafficLights2" reverse="1">
              <x14:cfvo type="percent">
                <xm:f>0</xm:f>
              </x14:cfvo>
              <x14:cfvo type="num" gte="0">
                <xm:f>'Modell-Kalibrierung'!$C$18</xm:f>
              </x14:cfvo>
              <x14:cfvo type="num">
                <xm:f>'Modell-Kalibrierung'!$C$20</xm:f>
              </x14:cfvo>
            </x14:iconSet>
          </x14:cfRule>
          <xm:sqref>K57</xm:sqref>
        </x14:conditionalFormatting>
        <x14:conditionalFormatting xmlns:xm="http://schemas.microsoft.com/office/excel/2006/main">
          <x14:cfRule type="iconSet" priority="214" id="{ECC7B505-0347-4DC7-B691-C69421F0BF6A}">
            <x14:iconSet iconSet="3TrafficLights2" reverse="1">
              <x14:cfvo type="percent">
                <xm:f>0</xm:f>
              </x14:cfvo>
              <x14:cfvo type="num" gte="0">
                <xm:f>'Modell-Kalibrierung'!$C$18</xm:f>
              </x14:cfvo>
              <x14:cfvo type="num">
                <xm:f>'Modell-Kalibrierung'!$C$20</xm:f>
              </x14:cfvo>
            </x14:iconSet>
          </x14:cfRule>
          <xm:sqref>K58</xm:sqref>
        </x14:conditionalFormatting>
        <x14:conditionalFormatting xmlns:xm="http://schemas.microsoft.com/office/excel/2006/main">
          <x14:cfRule type="iconSet" priority="213" id="{CD3FCF47-0E17-4D19-A1BD-3759ABA307EE}">
            <x14:iconSet iconSet="3TrafficLights2" reverse="1">
              <x14:cfvo type="percent">
                <xm:f>0</xm:f>
              </x14:cfvo>
              <x14:cfvo type="num" gte="0">
                <xm:f>'Modell-Kalibrierung'!$C$18</xm:f>
              </x14:cfvo>
              <x14:cfvo type="num">
                <xm:f>'Modell-Kalibrierung'!$C$20</xm:f>
              </x14:cfvo>
            </x14:iconSet>
          </x14:cfRule>
          <xm:sqref>K59</xm:sqref>
        </x14:conditionalFormatting>
        <x14:conditionalFormatting xmlns:xm="http://schemas.microsoft.com/office/excel/2006/main">
          <x14:cfRule type="iconSet" priority="212" id="{25CCB3FC-0D29-4A1F-8F32-6186870C8BB6}">
            <x14:iconSet iconSet="3TrafficLights2" reverse="1">
              <x14:cfvo type="percent">
                <xm:f>0</xm:f>
              </x14:cfvo>
              <x14:cfvo type="num" gte="0">
                <xm:f>'Modell-Kalibrierung'!$C$18</xm:f>
              </x14:cfvo>
              <x14:cfvo type="num">
                <xm:f>'Modell-Kalibrierung'!$C$20</xm:f>
              </x14:cfvo>
            </x14:iconSet>
          </x14:cfRule>
          <xm:sqref>K60</xm:sqref>
        </x14:conditionalFormatting>
        <x14:conditionalFormatting xmlns:xm="http://schemas.microsoft.com/office/excel/2006/main">
          <x14:cfRule type="iconSet" priority="211" id="{7EA21DDF-784E-45A8-9B76-275883191DF8}">
            <x14:iconSet iconSet="3TrafficLights2" reverse="1">
              <x14:cfvo type="percent">
                <xm:f>0</xm:f>
              </x14:cfvo>
              <x14:cfvo type="num" gte="0">
                <xm:f>'Modell-Kalibrierung'!$C$18</xm:f>
              </x14:cfvo>
              <x14:cfvo type="num">
                <xm:f>'Modell-Kalibrierung'!$C$20</xm:f>
              </x14:cfvo>
            </x14:iconSet>
          </x14:cfRule>
          <xm:sqref>K61</xm:sqref>
        </x14:conditionalFormatting>
        <x14:conditionalFormatting xmlns:xm="http://schemas.microsoft.com/office/excel/2006/main">
          <x14:cfRule type="iconSet" priority="210" id="{318CCD19-2EBD-4828-8197-C17B093A330E}">
            <x14:iconSet iconSet="3TrafficLights2" reverse="1">
              <x14:cfvo type="percent">
                <xm:f>0</xm:f>
              </x14:cfvo>
              <x14:cfvo type="num" gte="0">
                <xm:f>'Modell-Kalibrierung'!$C$18</xm:f>
              </x14:cfvo>
              <x14:cfvo type="num">
                <xm:f>'Modell-Kalibrierung'!$C$20</xm:f>
              </x14:cfvo>
            </x14:iconSet>
          </x14:cfRule>
          <xm:sqref>K63</xm:sqref>
        </x14:conditionalFormatting>
        <x14:conditionalFormatting xmlns:xm="http://schemas.microsoft.com/office/excel/2006/main">
          <x14:cfRule type="iconSet" priority="209" id="{D80E84A0-D1DA-48B9-805D-DAB6C862F478}">
            <x14:iconSet iconSet="3TrafficLights2" reverse="1">
              <x14:cfvo type="percent">
                <xm:f>0</xm:f>
              </x14:cfvo>
              <x14:cfvo type="num" gte="0">
                <xm:f>'Modell-Kalibrierung'!$C$18</xm:f>
              </x14:cfvo>
              <x14:cfvo type="num">
                <xm:f>'Modell-Kalibrierung'!$C$20</xm:f>
              </x14:cfvo>
            </x14:iconSet>
          </x14:cfRule>
          <xm:sqref>K64</xm:sqref>
        </x14:conditionalFormatting>
        <x14:conditionalFormatting xmlns:xm="http://schemas.microsoft.com/office/excel/2006/main">
          <x14:cfRule type="iconSet" priority="208" id="{4903A036-4EEA-4CA0-A2D5-1525AF9A858B}">
            <x14:iconSet iconSet="3TrafficLights2" reverse="1">
              <x14:cfvo type="percent">
                <xm:f>0</xm:f>
              </x14:cfvo>
              <x14:cfvo type="num" gte="0">
                <xm:f>'Modell-Kalibrierung'!$C$18</xm:f>
              </x14:cfvo>
              <x14:cfvo type="num">
                <xm:f>'Modell-Kalibrierung'!$C$20</xm:f>
              </x14:cfvo>
            </x14:iconSet>
          </x14:cfRule>
          <xm:sqref>K65</xm:sqref>
        </x14:conditionalFormatting>
        <x14:conditionalFormatting xmlns:xm="http://schemas.microsoft.com/office/excel/2006/main">
          <x14:cfRule type="iconSet" priority="207" id="{0D577541-DC5A-49BF-8329-674054282CA8}">
            <x14:iconSet iconSet="3TrafficLights2" reverse="1">
              <x14:cfvo type="percent">
                <xm:f>0</xm:f>
              </x14:cfvo>
              <x14:cfvo type="num" gte="0">
                <xm:f>'Modell-Kalibrierung'!$C$18</xm:f>
              </x14:cfvo>
              <x14:cfvo type="num">
                <xm:f>'Modell-Kalibrierung'!$C$20</xm:f>
              </x14:cfvo>
            </x14:iconSet>
          </x14:cfRule>
          <xm:sqref>K66</xm:sqref>
        </x14:conditionalFormatting>
        <x14:conditionalFormatting xmlns:xm="http://schemas.microsoft.com/office/excel/2006/main">
          <x14:cfRule type="iconSet" priority="206" id="{7B2ECBE3-0A04-410F-9D9F-F7778637E137}">
            <x14:iconSet iconSet="3TrafficLights2" reverse="1">
              <x14:cfvo type="percent">
                <xm:f>0</xm:f>
              </x14:cfvo>
              <x14:cfvo type="num" gte="0">
                <xm:f>'Modell-Kalibrierung'!$C$18</xm:f>
              </x14:cfvo>
              <x14:cfvo type="num">
                <xm:f>'Modell-Kalibrierung'!$C$20</xm:f>
              </x14:cfvo>
            </x14:iconSet>
          </x14:cfRule>
          <xm:sqref>K67</xm:sqref>
        </x14:conditionalFormatting>
        <x14:conditionalFormatting xmlns:xm="http://schemas.microsoft.com/office/excel/2006/main">
          <x14:cfRule type="iconSet" priority="205" id="{7E309EDE-0035-4B71-BB3E-DDCBC5A3E03E}">
            <x14:iconSet iconSet="3TrafficLights2" reverse="1">
              <x14:cfvo type="percent">
                <xm:f>0</xm:f>
              </x14:cfvo>
              <x14:cfvo type="num" gte="0">
                <xm:f>'Modell-Kalibrierung'!$C$18</xm:f>
              </x14:cfvo>
              <x14:cfvo type="num">
                <xm:f>'Modell-Kalibrierung'!$C$20</xm:f>
              </x14:cfvo>
            </x14:iconSet>
          </x14:cfRule>
          <xm:sqref>K69</xm:sqref>
        </x14:conditionalFormatting>
        <x14:conditionalFormatting xmlns:xm="http://schemas.microsoft.com/office/excel/2006/main">
          <x14:cfRule type="iconSet" priority="204" id="{AF1FED09-B147-4C53-B975-32E8F6EF6647}">
            <x14:iconSet iconSet="3TrafficLights2" reverse="1">
              <x14:cfvo type="percent">
                <xm:f>0</xm:f>
              </x14:cfvo>
              <x14:cfvo type="num" gte="0">
                <xm:f>'Modell-Kalibrierung'!$C$18</xm:f>
              </x14:cfvo>
              <x14:cfvo type="num">
                <xm:f>'Modell-Kalibrierung'!$C$20</xm:f>
              </x14:cfvo>
            </x14:iconSet>
          </x14:cfRule>
          <xm:sqref>K70</xm:sqref>
        </x14:conditionalFormatting>
        <x14:conditionalFormatting xmlns:xm="http://schemas.microsoft.com/office/excel/2006/main">
          <x14:cfRule type="iconSet" priority="203" id="{89889C1D-ABD8-4914-806E-70C515A40CBE}">
            <x14:iconSet iconSet="3TrafficLights2" reverse="1">
              <x14:cfvo type="percent">
                <xm:f>0</xm:f>
              </x14:cfvo>
              <x14:cfvo type="num" gte="0">
                <xm:f>'Modell-Kalibrierung'!$C$18</xm:f>
              </x14:cfvo>
              <x14:cfvo type="num">
                <xm:f>'Modell-Kalibrierung'!$C$20</xm:f>
              </x14:cfvo>
            </x14:iconSet>
          </x14:cfRule>
          <xm:sqref>K71</xm:sqref>
        </x14:conditionalFormatting>
        <x14:conditionalFormatting xmlns:xm="http://schemas.microsoft.com/office/excel/2006/main">
          <x14:cfRule type="iconSet" priority="202" id="{2F4BF2E9-72E9-437F-8A89-5251E87E580C}">
            <x14:iconSet iconSet="3TrafficLights2" reverse="1">
              <x14:cfvo type="percent">
                <xm:f>0</xm:f>
              </x14:cfvo>
              <x14:cfvo type="num" gte="0">
                <xm:f>'Modell-Kalibrierung'!$C$18</xm:f>
              </x14:cfvo>
              <x14:cfvo type="num">
                <xm:f>'Modell-Kalibrierung'!$C$20</xm:f>
              </x14:cfvo>
            </x14:iconSet>
          </x14:cfRule>
          <xm:sqref>K72</xm:sqref>
        </x14:conditionalFormatting>
        <x14:conditionalFormatting xmlns:xm="http://schemas.microsoft.com/office/excel/2006/main">
          <x14:cfRule type="iconSet" priority="201" id="{0C2AB4F3-A90D-4CD8-9946-433F56A4B20D}">
            <x14:iconSet iconSet="3TrafficLights2" reverse="1">
              <x14:cfvo type="percent">
                <xm:f>0</xm:f>
              </x14:cfvo>
              <x14:cfvo type="num" gte="0">
                <xm:f>'Modell-Kalibrierung'!$C$18</xm:f>
              </x14:cfvo>
              <x14:cfvo type="num">
                <xm:f>'Modell-Kalibrierung'!$C$20</xm:f>
              </x14:cfvo>
            </x14:iconSet>
          </x14:cfRule>
          <xm:sqref>K73</xm:sqref>
        </x14:conditionalFormatting>
        <x14:conditionalFormatting xmlns:xm="http://schemas.microsoft.com/office/excel/2006/main">
          <x14:cfRule type="iconSet" priority="200" id="{DAA1A704-BF6E-40CF-B54E-2FFEDAF00530}">
            <x14:iconSet iconSet="3TrafficLights2" reverse="1">
              <x14:cfvo type="percent">
                <xm:f>0</xm:f>
              </x14:cfvo>
              <x14:cfvo type="num" gte="0">
                <xm:f>'Modell-Kalibrierung'!$C$18</xm:f>
              </x14:cfvo>
              <x14:cfvo type="num">
                <xm:f>'Modell-Kalibrierung'!$C$20</xm:f>
              </x14:cfvo>
            </x14:iconSet>
          </x14:cfRule>
          <xm:sqref>K75</xm:sqref>
        </x14:conditionalFormatting>
        <x14:conditionalFormatting xmlns:xm="http://schemas.microsoft.com/office/excel/2006/main">
          <x14:cfRule type="iconSet" priority="199" id="{F8B18298-CB30-4AD6-A3EA-0BAA677FEB1F}">
            <x14:iconSet iconSet="3TrafficLights2" reverse="1">
              <x14:cfvo type="percent">
                <xm:f>0</xm:f>
              </x14:cfvo>
              <x14:cfvo type="num" gte="0">
                <xm:f>'Modell-Kalibrierung'!$C$18</xm:f>
              </x14:cfvo>
              <x14:cfvo type="num">
                <xm:f>'Modell-Kalibrierung'!$C$20</xm:f>
              </x14:cfvo>
            </x14:iconSet>
          </x14:cfRule>
          <xm:sqref>K76</xm:sqref>
        </x14:conditionalFormatting>
        <x14:conditionalFormatting xmlns:xm="http://schemas.microsoft.com/office/excel/2006/main">
          <x14:cfRule type="iconSet" priority="198" id="{FC669458-5E63-4E5E-B7DC-F78CCD2BE747}">
            <x14:iconSet iconSet="3TrafficLights2" reverse="1">
              <x14:cfvo type="percent">
                <xm:f>0</xm:f>
              </x14:cfvo>
              <x14:cfvo type="num" gte="0">
                <xm:f>'Modell-Kalibrierung'!$C$18</xm:f>
              </x14:cfvo>
              <x14:cfvo type="num">
                <xm:f>'Modell-Kalibrierung'!$C$20</xm:f>
              </x14:cfvo>
            </x14:iconSet>
          </x14:cfRule>
          <xm:sqref>K77</xm:sqref>
        </x14:conditionalFormatting>
        <x14:conditionalFormatting xmlns:xm="http://schemas.microsoft.com/office/excel/2006/main">
          <x14:cfRule type="iconSet" priority="197" id="{51D425C5-B4BA-4716-87A5-E82EB1D561C6}">
            <x14:iconSet iconSet="3TrafficLights2" reverse="1">
              <x14:cfvo type="percent">
                <xm:f>0</xm:f>
              </x14:cfvo>
              <x14:cfvo type="num" gte="0">
                <xm:f>'Modell-Kalibrierung'!$C$18</xm:f>
              </x14:cfvo>
              <x14:cfvo type="num">
                <xm:f>'Modell-Kalibrierung'!$C$20</xm:f>
              </x14:cfvo>
            </x14:iconSet>
          </x14:cfRule>
          <xm:sqref>K78</xm:sqref>
        </x14:conditionalFormatting>
        <x14:conditionalFormatting xmlns:xm="http://schemas.microsoft.com/office/excel/2006/main">
          <x14:cfRule type="iconSet" priority="196" id="{ED249DA7-DAC1-4073-B769-66F8E7983984}">
            <x14:iconSet iconSet="3TrafficLights2" reverse="1">
              <x14:cfvo type="percent">
                <xm:f>0</xm:f>
              </x14:cfvo>
              <x14:cfvo type="num" gte="0">
                <xm:f>'Modell-Kalibrierung'!$C$18</xm:f>
              </x14:cfvo>
              <x14:cfvo type="num">
                <xm:f>'Modell-Kalibrierung'!$C$20</xm:f>
              </x14:cfvo>
            </x14:iconSet>
          </x14:cfRule>
          <xm:sqref>K79</xm:sqref>
        </x14:conditionalFormatting>
        <x14:conditionalFormatting xmlns:xm="http://schemas.microsoft.com/office/excel/2006/main">
          <x14:cfRule type="iconSet" priority="195" id="{3105A01A-281D-487D-B4EE-A8C950FD42D2}">
            <x14:iconSet iconSet="3TrafficLights2" reverse="1">
              <x14:cfvo type="percent">
                <xm:f>0</xm:f>
              </x14:cfvo>
              <x14:cfvo type="num" gte="0">
                <xm:f>'Modell-Kalibrierung'!$C$18</xm:f>
              </x14:cfvo>
              <x14:cfvo type="num">
                <xm:f>'Modell-Kalibrierung'!$C$20</xm:f>
              </x14:cfvo>
            </x14:iconSet>
          </x14:cfRule>
          <xm:sqref>K81</xm:sqref>
        </x14:conditionalFormatting>
        <x14:conditionalFormatting xmlns:xm="http://schemas.microsoft.com/office/excel/2006/main">
          <x14:cfRule type="iconSet" priority="194" id="{2FAC64A0-61BD-462C-808E-4D940E736D41}">
            <x14:iconSet iconSet="3TrafficLights2" reverse="1">
              <x14:cfvo type="percent">
                <xm:f>0</xm:f>
              </x14:cfvo>
              <x14:cfvo type="num" gte="0">
                <xm:f>'Modell-Kalibrierung'!$C$18</xm:f>
              </x14:cfvo>
              <x14:cfvo type="num">
                <xm:f>'Modell-Kalibrierung'!$C$20</xm:f>
              </x14:cfvo>
            </x14:iconSet>
          </x14:cfRule>
          <xm:sqref>K82</xm:sqref>
        </x14:conditionalFormatting>
        <x14:conditionalFormatting xmlns:xm="http://schemas.microsoft.com/office/excel/2006/main">
          <x14:cfRule type="iconSet" priority="193" id="{8AC91ADB-3147-4940-A28D-AD018F2A432D}">
            <x14:iconSet iconSet="3TrafficLights2" reverse="1">
              <x14:cfvo type="percent">
                <xm:f>0</xm:f>
              </x14:cfvo>
              <x14:cfvo type="num" gte="0">
                <xm:f>'Modell-Kalibrierung'!$C$18</xm:f>
              </x14:cfvo>
              <x14:cfvo type="num">
                <xm:f>'Modell-Kalibrierung'!$C$20</xm:f>
              </x14:cfvo>
            </x14:iconSet>
          </x14:cfRule>
          <xm:sqref>K83</xm:sqref>
        </x14:conditionalFormatting>
        <x14:conditionalFormatting xmlns:xm="http://schemas.microsoft.com/office/excel/2006/main">
          <x14:cfRule type="iconSet" priority="192" id="{0D2F2F9E-E2F1-497F-82BC-4E824E33D8FD}">
            <x14:iconSet iconSet="3TrafficLights2" reverse="1">
              <x14:cfvo type="percent">
                <xm:f>0</xm:f>
              </x14:cfvo>
              <x14:cfvo type="num" gte="0">
                <xm:f>'Modell-Kalibrierung'!$C$18</xm:f>
              </x14:cfvo>
              <x14:cfvo type="num">
                <xm:f>'Modell-Kalibrierung'!$C$20</xm:f>
              </x14:cfvo>
            </x14:iconSet>
          </x14:cfRule>
          <xm:sqref>K84</xm:sqref>
        </x14:conditionalFormatting>
        <x14:conditionalFormatting xmlns:xm="http://schemas.microsoft.com/office/excel/2006/main">
          <x14:cfRule type="iconSet" priority="191" id="{075931FF-A300-4756-A69A-23EE0F9FA584}">
            <x14:iconSet iconSet="3TrafficLights2" reverse="1">
              <x14:cfvo type="percent">
                <xm:f>0</xm:f>
              </x14:cfvo>
              <x14:cfvo type="num" gte="0">
                <xm:f>'Modell-Kalibrierung'!$C$18</xm:f>
              </x14:cfvo>
              <x14:cfvo type="num">
                <xm:f>'Modell-Kalibrierung'!$C$20</xm:f>
              </x14:cfvo>
            </x14:iconSet>
          </x14:cfRule>
          <xm:sqref>K85</xm:sqref>
        </x14:conditionalFormatting>
        <x14:conditionalFormatting xmlns:xm="http://schemas.microsoft.com/office/excel/2006/main">
          <x14:cfRule type="iconSet" priority="190" id="{4A766088-4A42-46E1-A392-F393C5CB2ECA}">
            <x14:iconSet iconSet="3TrafficLights2" reverse="1">
              <x14:cfvo type="percent">
                <xm:f>0</xm:f>
              </x14:cfvo>
              <x14:cfvo type="num" gte="0">
                <xm:f>'Modell-Kalibrierung'!$C$18</xm:f>
              </x14:cfvo>
              <x14:cfvo type="num">
                <xm:f>'Modell-Kalibrierung'!$C$20</xm:f>
              </x14:cfvo>
            </x14:iconSet>
          </x14:cfRule>
          <xm:sqref>K87</xm:sqref>
        </x14:conditionalFormatting>
        <x14:conditionalFormatting xmlns:xm="http://schemas.microsoft.com/office/excel/2006/main">
          <x14:cfRule type="iconSet" priority="189" id="{49AF7C30-FCEE-4441-939F-8D68023CF6D8}">
            <x14:iconSet iconSet="3TrafficLights2" reverse="1">
              <x14:cfvo type="percent">
                <xm:f>0</xm:f>
              </x14:cfvo>
              <x14:cfvo type="num" gte="0">
                <xm:f>'Modell-Kalibrierung'!$C$18</xm:f>
              </x14:cfvo>
              <x14:cfvo type="num">
                <xm:f>'Modell-Kalibrierung'!$C$20</xm:f>
              </x14:cfvo>
            </x14:iconSet>
          </x14:cfRule>
          <xm:sqref>K88</xm:sqref>
        </x14:conditionalFormatting>
        <x14:conditionalFormatting xmlns:xm="http://schemas.microsoft.com/office/excel/2006/main">
          <x14:cfRule type="iconSet" priority="188" id="{325AA00E-5BB7-4187-8A60-DF9F8CDE1568}">
            <x14:iconSet iconSet="3TrafficLights2" reverse="1">
              <x14:cfvo type="percent">
                <xm:f>0</xm:f>
              </x14:cfvo>
              <x14:cfvo type="num" gte="0">
                <xm:f>'Modell-Kalibrierung'!$C$18</xm:f>
              </x14:cfvo>
              <x14:cfvo type="num">
                <xm:f>'Modell-Kalibrierung'!$C$20</xm:f>
              </x14:cfvo>
            </x14:iconSet>
          </x14:cfRule>
          <xm:sqref>K89</xm:sqref>
        </x14:conditionalFormatting>
        <x14:conditionalFormatting xmlns:xm="http://schemas.microsoft.com/office/excel/2006/main">
          <x14:cfRule type="iconSet" priority="187" id="{A5264A01-6ACE-413A-92B1-E827C8F508E1}">
            <x14:iconSet iconSet="3TrafficLights2" reverse="1">
              <x14:cfvo type="percent">
                <xm:f>0</xm:f>
              </x14:cfvo>
              <x14:cfvo type="num" gte="0">
                <xm:f>'Modell-Kalibrierung'!$C$18</xm:f>
              </x14:cfvo>
              <x14:cfvo type="num">
                <xm:f>'Modell-Kalibrierung'!$C$20</xm:f>
              </x14:cfvo>
            </x14:iconSet>
          </x14:cfRule>
          <xm:sqref>K90</xm:sqref>
        </x14:conditionalFormatting>
        <x14:conditionalFormatting xmlns:xm="http://schemas.microsoft.com/office/excel/2006/main">
          <x14:cfRule type="iconSet" priority="186" id="{EBD29548-F09C-44B2-BD8A-320FF9BFB3BD}">
            <x14:iconSet iconSet="3TrafficLights2" reverse="1">
              <x14:cfvo type="percent">
                <xm:f>0</xm:f>
              </x14:cfvo>
              <x14:cfvo type="num" gte="0">
                <xm:f>'Modell-Kalibrierung'!$C$18</xm:f>
              </x14:cfvo>
              <x14:cfvo type="num">
                <xm:f>'Modell-Kalibrierung'!$C$20</xm:f>
              </x14:cfvo>
            </x14:iconSet>
          </x14:cfRule>
          <xm:sqref>K91</xm:sqref>
        </x14:conditionalFormatting>
        <x14:conditionalFormatting xmlns:xm="http://schemas.microsoft.com/office/excel/2006/main">
          <x14:cfRule type="iconSet" priority="185" id="{D4CFD142-61FB-4A78-95B1-13974CE0B206}">
            <x14:iconSet iconSet="3TrafficLights2" reverse="1">
              <x14:cfvo type="percent">
                <xm:f>0</xm:f>
              </x14:cfvo>
              <x14:cfvo type="num" gte="0">
                <xm:f>'Modell-Kalibrierung'!$C$18</xm:f>
              </x14:cfvo>
              <x14:cfvo type="num">
                <xm:f>'Modell-Kalibrierung'!$C$20</xm:f>
              </x14:cfvo>
            </x14:iconSet>
          </x14:cfRule>
          <xm:sqref>K93</xm:sqref>
        </x14:conditionalFormatting>
        <x14:conditionalFormatting xmlns:xm="http://schemas.microsoft.com/office/excel/2006/main">
          <x14:cfRule type="iconSet" priority="184" id="{DF460B00-BBD3-4F74-87B0-2ABD313E7C80}">
            <x14:iconSet iconSet="3TrafficLights2" reverse="1">
              <x14:cfvo type="percent">
                <xm:f>0</xm:f>
              </x14:cfvo>
              <x14:cfvo type="num" gte="0">
                <xm:f>'Modell-Kalibrierung'!$C$18</xm:f>
              </x14:cfvo>
              <x14:cfvo type="num">
                <xm:f>'Modell-Kalibrierung'!$C$20</xm:f>
              </x14:cfvo>
            </x14:iconSet>
          </x14:cfRule>
          <xm:sqref>K94</xm:sqref>
        </x14:conditionalFormatting>
        <x14:conditionalFormatting xmlns:xm="http://schemas.microsoft.com/office/excel/2006/main">
          <x14:cfRule type="iconSet" priority="183" id="{AEF580E8-53E8-4900-A6A8-F8375805578E}">
            <x14:iconSet iconSet="3TrafficLights2" reverse="1">
              <x14:cfvo type="percent">
                <xm:f>0</xm:f>
              </x14:cfvo>
              <x14:cfvo type="num" gte="0">
                <xm:f>'Modell-Kalibrierung'!$C$18</xm:f>
              </x14:cfvo>
              <x14:cfvo type="num">
                <xm:f>'Modell-Kalibrierung'!$C$20</xm:f>
              </x14:cfvo>
            </x14:iconSet>
          </x14:cfRule>
          <xm:sqref>K95</xm:sqref>
        </x14:conditionalFormatting>
        <x14:conditionalFormatting xmlns:xm="http://schemas.microsoft.com/office/excel/2006/main">
          <x14:cfRule type="iconSet" priority="182" id="{443AF3AE-BD4E-480E-B3E1-B9E2C4122D23}">
            <x14:iconSet iconSet="3TrafficLights2" reverse="1">
              <x14:cfvo type="percent">
                <xm:f>0</xm:f>
              </x14:cfvo>
              <x14:cfvo type="num" gte="0">
                <xm:f>'Modell-Kalibrierung'!$C$18</xm:f>
              </x14:cfvo>
              <x14:cfvo type="num">
                <xm:f>'Modell-Kalibrierung'!$C$20</xm:f>
              </x14:cfvo>
            </x14:iconSet>
          </x14:cfRule>
          <xm:sqref>K96</xm:sqref>
        </x14:conditionalFormatting>
        <x14:conditionalFormatting xmlns:xm="http://schemas.microsoft.com/office/excel/2006/main">
          <x14:cfRule type="iconSet" priority="181" id="{C0CC483A-CD8D-44A7-9AE6-31E5537912D3}">
            <x14:iconSet iconSet="3TrafficLights2" reverse="1">
              <x14:cfvo type="percent">
                <xm:f>0</xm:f>
              </x14:cfvo>
              <x14:cfvo type="num" gte="0">
                <xm:f>'Modell-Kalibrierung'!$C$18</xm:f>
              </x14:cfvo>
              <x14:cfvo type="num">
                <xm:f>'Modell-Kalibrierung'!$C$20</xm:f>
              </x14:cfvo>
            </x14:iconSet>
          </x14:cfRule>
          <xm:sqref>K97</xm:sqref>
        </x14:conditionalFormatting>
        <x14:conditionalFormatting xmlns:xm="http://schemas.microsoft.com/office/excel/2006/main">
          <x14:cfRule type="iconSet" priority="180" id="{8B275740-E038-4EBD-ABEE-21BCFB29D1AC}">
            <x14:iconSet iconSet="3TrafficLights2" reverse="1">
              <x14:cfvo type="percent">
                <xm:f>0</xm:f>
              </x14:cfvo>
              <x14:cfvo type="num" gte="0">
                <xm:f>'Modell-Kalibrierung'!$C$18</xm:f>
              </x14:cfvo>
              <x14:cfvo type="num">
                <xm:f>'Modell-Kalibrierung'!$C$20</xm:f>
              </x14:cfvo>
            </x14:iconSet>
          </x14:cfRule>
          <xm:sqref>K99</xm:sqref>
        </x14:conditionalFormatting>
        <x14:conditionalFormatting xmlns:xm="http://schemas.microsoft.com/office/excel/2006/main">
          <x14:cfRule type="iconSet" priority="179" id="{EB838553-CA96-4E35-BA06-A83B1F1A1142}">
            <x14:iconSet iconSet="3TrafficLights2" reverse="1">
              <x14:cfvo type="percent">
                <xm:f>0</xm:f>
              </x14:cfvo>
              <x14:cfvo type="num" gte="0">
                <xm:f>'Modell-Kalibrierung'!$C$18</xm:f>
              </x14:cfvo>
              <x14:cfvo type="num">
                <xm:f>'Modell-Kalibrierung'!$C$20</xm:f>
              </x14:cfvo>
            </x14:iconSet>
          </x14:cfRule>
          <xm:sqref>K100</xm:sqref>
        </x14:conditionalFormatting>
        <x14:conditionalFormatting xmlns:xm="http://schemas.microsoft.com/office/excel/2006/main">
          <x14:cfRule type="iconSet" priority="178" id="{2A9AF452-19E4-45EC-9ED8-CDEFE91FA873}">
            <x14:iconSet iconSet="3TrafficLights2" reverse="1">
              <x14:cfvo type="percent">
                <xm:f>0</xm:f>
              </x14:cfvo>
              <x14:cfvo type="num" gte="0">
                <xm:f>'Modell-Kalibrierung'!$C$18</xm:f>
              </x14:cfvo>
              <x14:cfvo type="num">
                <xm:f>'Modell-Kalibrierung'!$C$20</xm:f>
              </x14:cfvo>
            </x14:iconSet>
          </x14:cfRule>
          <xm:sqref>K101</xm:sqref>
        </x14:conditionalFormatting>
        <x14:conditionalFormatting xmlns:xm="http://schemas.microsoft.com/office/excel/2006/main">
          <x14:cfRule type="iconSet" priority="177" id="{D6280335-5945-44A2-BBBD-979C41D2D2B6}">
            <x14:iconSet iconSet="3TrafficLights2" reverse="1">
              <x14:cfvo type="percent">
                <xm:f>0</xm:f>
              </x14:cfvo>
              <x14:cfvo type="num" gte="0">
                <xm:f>'Modell-Kalibrierung'!$C$18</xm:f>
              </x14:cfvo>
              <x14:cfvo type="num">
                <xm:f>'Modell-Kalibrierung'!$C$20</xm:f>
              </x14:cfvo>
            </x14:iconSet>
          </x14:cfRule>
          <xm:sqref>K102</xm:sqref>
        </x14:conditionalFormatting>
        <x14:conditionalFormatting xmlns:xm="http://schemas.microsoft.com/office/excel/2006/main">
          <x14:cfRule type="iconSet" priority="176" id="{2B68ECE1-70D3-4F8E-8097-31678EA4F9E2}">
            <x14:iconSet iconSet="3TrafficLights2" reverse="1">
              <x14:cfvo type="percent">
                <xm:f>0</xm:f>
              </x14:cfvo>
              <x14:cfvo type="num" gte="0">
                <xm:f>'Modell-Kalibrierung'!$C$18</xm:f>
              </x14:cfvo>
              <x14:cfvo type="num">
                <xm:f>'Modell-Kalibrierung'!$C$20</xm:f>
              </x14:cfvo>
            </x14:iconSet>
          </x14:cfRule>
          <xm:sqref>K103</xm:sqref>
        </x14:conditionalFormatting>
        <x14:conditionalFormatting xmlns:xm="http://schemas.microsoft.com/office/excel/2006/main">
          <x14:cfRule type="iconSet" priority="175" id="{C94E71F1-380E-4B37-AC36-BF84E55DE910}">
            <x14:iconSet iconSet="3TrafficLights2" reverse="1">
              <x14:cfvo type="percent">
                <xm:f>0</xm:f>
              </x14:cfvo>
              <x14:cfvo type="num" gte="0">
                <xm:f>'Modell-Kalibrierung'!$C$18</xm:f>
              </x14:cfvo>
              <x14:cfvo type="num">
                <xm:f>'Modell-Kalibrierung'!$C$20</xm:f>
              </x14:cfvo>
            </x14:iconSet>
          </x14:cfRule>
          <xm:sqref>K105</xm:sqref>
        </x14:conditionalFormatting>
        <x14:conditionalFormatting xmlns:xm="http://schemas.microsoft.com/office/excel/2006/main">
          <x14:cfRule type="iconSet" priority="174" id="{55224F30-8EC9-4BD5-AD75-74C404E0CD7C}">
            <x14:iconSet iconSet="3TrafficLights2" reverse="1">
              <x14:cfvo type="percent">
                <xm:f>0</xm:f>
              </x14:cfvo>
              <x14:cfvo type="num" gte="0">
                <xm:f>'Modell-Kalibrierung'!$C$18</xm:f>
              </x14:cfvo>
              <x14:cfvo type="num">
                <xm:f>'Modell-Kalibrierung'!$C$20</xm:f>
              </x14:cfvo>
            </x14:iconSet>
          </x14:cfRule>
          <xm:sqref>K106</xm:sqref>
        </x14:conditionalFormatting>
        <x14:conditionalFormatting xmlns:xm="http://schemas.microsoft.com/office/excel/2006/main">
          <x14:cfRule type="iconSet" priority="173" id="{FC11DA67-47FC-4749-9C68-96E01C3DEA12}">
            <x14:iconSet iconSet="3TrafficLights2" reverse="1">
              <x14:cfvo type="percent">
                <xm:f>0</xm:f>
              </x14:cfvo>
              <x14:cfvo type="num" gte="0">
                <xm:f>'Modell-Kalibrierung'!$C$18</xm:f>
              </x14:cfvo>
              <x14:cfvo type="num">
                <xm:f>'Modell-Kalibrierung'!$C$20</xm:f>
              </x14:cfvo>
            </x14:iconSet>
          </x14:cfRule>
          <xm:sqref>K107</xm:sqref>
        </x14:conditionalFormatting>
        <x14:conditionalFormatting xmlns:xm="http://schemas.microsoft.com/office/excel/2006/main">
          <x14:cfRule type="iconSet" priority="172" id="{07DC6FAD-1FC9-42B9-8D9C-96551DE32721}">
            <x14:iconSet iconSet="3TrafficLights2" reverse="1">
              <x14:cfvo type="percent">
                <xm:f>0</xm:f>
              </x14:cfvo>
              <x14:cfvo type="num" gte="0">
                <xm:f>'Modell-Kalibrierung'!$C$18</xm:f>
              </x14:cfvo>
              <x14:cfvo type="num">
                <xm:f>'Modell-Kalibrierung'!$C$20</xm:f>
              </x14:cfvo>
            </x14:iconSet>
          </x14:cfRule>
          <xm:sqref>K108</xm:sqref>
        </x14:conditionalFormatting>
        <x14:conditionalFormatting xmlns:xm="http://schemas.microsoft.com/office/excel/2006/main">
          <x14:cfRule type="iconSet" priority="171" id="{F8DF37A7-D9D7-4593-992E-A154913E313B}">
            <x14:iconSet iconSet="3TrafficLights2" reverse="1">
              <x14:cfvo type="percent">
                <xm:f>0</xm:f>
              </x14:cfvo>
              <x14:cfvo type="num" gte="0">
                <xm:f>'Modell-Kalibrierung'!$C$18</xm:f>
              </x14:cfvo>
              <x14:cfvo type="num">
                <xm:f>'Modell-Kalibrierung'!$C$20</xm:f>
              </x14:cfvo>
            </x14:iconSet>
          </x14:cfRule>
          <xm:sqref>K109</xm:sqref>
        </x14:conditionalFormatting>
        <x14:conditionalFormatting xmlns:xm="http://schemas.microsoft.com/office/excel/2006/main">
          <x14:cfRule type="iconSet" priority="170" id="{CA2E1D8B-9E11-49AA-8D85-3BD7D3C3B845}">
            <x14:iconSet iconSet="3TrafficLights2" reverse="1">
              <x14:cfvo type="percent">
                <xm:f>0</xm:f>
              </x14:cfvo>
              <x14:cfvo type="num" gte="0">
                <xm:f>'Modell-Kalibrierung'!$C$18</xm:f>
              </x14:cfvo>
              <x14:cfvo type="num">
                <xm:f>'Modell-Kalibrierung'!$C$20</xm:f>
              </x14:cfvo>
            </x14:iconSet>
          </x14:cfRule>
          <xm:sqref>K111</xm:sqref>
        </x14:conditionalFormatting>
        <x14:conditionalFormatting xmlns:xm="http://schemas.microsoft.com/office/excel/2006/main">
          <x14:cfRule type="iconSet" priority="169" id="{35008ED8-0B05-42A2-A13E-1CFB366DA617}">
            <x14:iconSet iconSet="3TrafficLights2" reverse="1">
              <x14:cfvo type="percent">
                <xm:f>0</xm:f>
              </x14:cfvo>
              <x14:cfvo type="num" gte="0">
                <xm:f>'Modell-Kalibrierung'!$C$18</xm:f>
              </x14:cfvo>
              <x14:cfvo type="num">
                <xm:f>'Modell-Kalibrierung'!$C$20</xm:f>
              </x14:cfvo>
            </x14:iconSet>
          </x14:cfRule>
          <xm:sqref>K112</xm:sqref>
        </x14:conditionalFormatting>
        <x14:conditionalFormatting xmlns:xm="http://schemas.microsoft.com/office/excel/2006/main">
          <x14:cfRule type="iconSet" priority="168" id="{83FD393B-BF07-4152-BABA-5E3BDBD917F3}">
            <x14:iconSet iconSet="3TrafficLights2" reverse="1">
              <x14:cfvo type="percent">
                <xm:f>0</xm:f>
              </x14:cfvo>
              <x14:cfvo type="num" gte="0">
                <xm:f>'Modell-Kalibrierung'!$C$18</xm:f>
              </x14:cfvo>
              <x14:cfvo type="num">
                <xm:f>'Modell-Kalibrierung'!$C$20</xm:f>
              </x14:cfvo>
            </x14:iconSet>
          </x14:cfRule>
          <xm:sqref>K113</xm:sqref>
        </x14:conditionalFormatting>
        <x14:conditionalFormatting xmlns:xm="http://schemas.microsoft.com/office/excel/2006/main">
          <x14:cfRule type="iconSet" priority="167" id="{7237F7EC-5420-4234-8661-9CE3A1E10CCD}">
            <x14:iconSet iconSet="3TrafficLights2" reverse="1">
              <x14:cfvo type="percent">
                <xm:f>0</xm:f>
              </x14:cfvo>
              <x14:cfvo type="num" gte="0">
                <xm:f>'Modell-Kalibrierung'!$C$18</xm:f>
              </x14:cfvo>
              <x14:cfvo type="num">
                <xm:f>'Modell-Kalibrierung'!$C$20</xm:f>
              </x14:cfvo>
            </x14:iconSet>
          </x14:cfRule>
          <xm:sqref>K114</xm:sqref>
        </x14:conditionalFormatting>
        <x14:conditionalFormatting xmlns:xm="http://schemas.microsoft.com/office/excel/2006/main">
          <x14:cfRule type="iconSet" priority="166" id="{22423BDF-6B1D-4342-B6F9-A5734B80F356}">
            <x14:iconSet iconSet="3TrafficLights2" reverse="1">
              <x14:cfvo type="percent">
                <xm:f>0</xm:f>
              </x14:cfvo>
              <x14:cfvo type="num" gte="0">
                <xm:f>'Modell-Kalibrierung'!$C$18</xm:f>
              </x14:cfvo>
              <x14:cfvo type="num">
                <xm:f>'Modell-Kalibrierung'!$C$20</xm:f>
              </x14:cfvo>
            </x14:iconSet>
          </x14:cfRule>
          <xm:sqref>K115</xm:sqref>
        </x14:conditionalFormatting>
        <x14:conditionalFormatting xmlns:xm="http://schemas.microsoft.com/office/excel/2006/main">
          <x14:cfRule type="iconSet" priority="165" id="{86ED7F65-D15F-4779-94D0-1EF7CA0094DC}">
            <x14:iconSet iconSet="3TrafficLights2" reverse="1">
              <x14:cfvo type="percent">
                <xm:f>0</xm:f>
              </x14:cfvo>
              <x14:cfvo type="num" gte="0">
                <xm:f>'Modell-Kalibrierung'!$C$18</xm:f>
              </x14:cfvo>
              <x14:cfvo type="num">
                <xm:f>'Modell-Kalibrierung'!$C$20</xm:f>
              </x14:cfvo>
            </x14:iconSet>
          </x14:cfRule>
          <xm:sqref>K117</xm:sqref>
        </x14:conditionalFormatting>
        <x14:conditionalFormatting xmlns:xm="http://schemas.microsoft.com/office/excel/2006/main">
          <x14:cfRule type="iconSet" priority="164" id="{B24930AC-B5D0-4827-AF04-9A0D813A6BB4}">
            <x14:iconSet iconSet="3TrafficLights2" reverse="1">
              <x14:cfvo type="percent">
                <xm:f>0</xm:f>
              </x14:cfvo>
              <x14:cfvo type="num" gte="0">
                <xm:f>'Modell-Kalibrierung'!$C$18</xm:f>
              </x14:cfvo>
              <x14:cfvo type="num">
                <xm:f>'Modell-Kalibrierung'!$C$20</xm:f>
              </x14:cfvo>
            </x14:iconSet>
          </x14:cfRule>
          <xm:sqref>K118</xm:sqref>
        </x14:conditionalFormatting>
        <x14:conditionalFormatting xmlns:xm="http://schemas.microsoft.com/office/excel/2006/main">
          <x14:cfRule type="iconSet" priority="163" id="{C52263D2-DAFF-4BE9-9439-94BD6C27C90F}">
            <x14:iconSet iconSet="3TrafficLights2" reverse="1">
              <x14:cfvo type="percent">
                <xm:f>0</xm:f>
              </x14:cfvo>
              <x14:cfvo type="num" gte="0">
                <xm:f>'Modell-Kalibrierung'!$C$18</xm:f>
              </x14:cfvo>
              <x14:cfvo type="num">
                <xm:f>'Modell-Kalibrierung'!$C$20</xm:f>
              </x14:cfvo>
            </x14:iconSet>
          </x14:cfRule>
          <xm:sqref>K119</xm:sqref>
        </x14:conditionalFormatting>
        <x14:conditionalFormatting xmlns:xm="http://schemas.microsoft.com/office/excel/2006/main">
          <x14:cfRule type="iconSet" priority="162" id="{F1040F54-40FA-4861-8B9D-4D736B4293CB}">
            <x14:iconSet iconSet="3TrafficLights2" reverse="1">
              <x14:cfvo type="percent">
                <xm:f>0</xm:f>
              </x14:cfvo>
              <x14:cfvo type="num" gte="0">
                <xm:f>'Modell-Kalibrierung'!$C$18</xm:f>
              </x14:cfvo>
              <x14:cfvo type="num">
                <xm:f>'Modell-Kalibrierung'!$C$20</xm:f>
              </x14:cfvo>
            </x14:iconSet>
          </x14:cfRule>
          <xm:sqref>K120</xm:sqref>
        </x14:conditionalFormatting>
        <x14:conditionalFormatting xmlns:xm="http://schemas.microsoft.com/office/excel/2006/main">
          <x14:cfRule type="iconSet" priority="161" id="{8CD0EF66-F45E-47A7-BDF1-498C7F18C0A2}">
            <x14:iconSet iconSet="3TrafficLights2" reverse="1">
              <x14:cfvo type="percent">
                <xm:f>0</xm:f>
              </x14:cfvo>
              <x14:cfvo type="num" gte="0">
                <xm:f>'Modell-Kalibrierung'!$C$18</xm:f>
              </x14:cfvo>
              <x14:cfvo type="num">
                <xm:f>'Modell-Kalibrierung'!$C$20</xm:f>
              </x14:cfvo>
            </x14:iconSet>
          </x14:cfRule>
          <xm:sqref>K121</xm:sqref>
        </x14:conditionalFormatting>
        <x14:conditionalFormatting xmlns:xm="http://schemas.microsoft.com/office/excel/2006/main">
          <x14:cfRule type="cellIs" priority="148" operator="equal" id="{04899FB9-B05B-49BD-B2AA-FF1A0AAD7F00}">
            <xm:f>'Modell-Kalibrierung'!$B$16</xm:f>
            <x14:dxf>
              <fill>
                <patternFill>
                  <bgColor theme="0"/>
                </patternFill>
              </fill>
            </x14:dxf>
          </x14:cfRule>
          <xm:sqref>I48:I49</xm:sqref>
        </x14:conditionalFormatting>
        <x14:conditionalFormatting xmlns:xm="http://schemas.microsoft.com/office/excel/2006/main">
          <x14:cfRule type="cellIs" priority="141" operator="equal" id="{D8340DA0-4D69-491B-8A65-4156E5F12509}">
            <xm:f>'Modell-Kalibrierung'!$B$16</xm:f>
            <x14:dxf>
              <fill>
                <patternFill>
                  <bgColor theme="0"/>
                </patternFill>
              </fill>
            </x14:dxf>
          </x14:cfRule>
          <xm:sqref>G48:G49</xm:sqref>
        </x14:conditionalFormatting>
        <x14:conditionalFormatting xmlns:xm="http://schemas.microsoft.com/office/excel/2006/main">
          <x14:cfRule type="cellIs" priority="128" operator="equal" id="{74C66D1B-8844-415F-A2B8-7132BA782F21}">
            <xm:f>'Modell-Kalibrierung'!$B$16</xm:f>
            <x14:dxf>
              <fill>
                <patternFill>
                  <bgColor theme="0"/>
                </patternFill>
              </fill>
            </x14:dxf>
          </x14:cfRule>
          <xm:sqref>I45:I47</xm:sqref>
        </x14:conditionalFormatting>
        <x14:conditionalFormatting xmlns:xm="http://schemas.microsoft.com/office/excel/2006/main">
          <x14:cfRule type="cellIs" priority="121" operator="equal" id="{832B8469-2D77-41AB-A9B0-184BD279F69B}">
            <xm:f>'Modell-Kalibrierung'!$B$16</xm:f>
            <x14:dxf>
              <fill>
                <patternFill>
                  <bgColor theme="0"/>
                </patternFill>
              </fill>
            </x14:dxf>
          </x14:cfRule>
          <xm:sqref>G45:G47</xm:sqref>
        </x14:conditionalFormatting>
        <x14:conditionalFormatting xmlns:xm="http://schemas.microsoft.com/office/excel/2006/main">
          <x14:cfRule type="cellIs" priority="108" operator="equal" id="{D0A6DB27-B179-447E-8901-6A236072403F}">
            <xm:f>'Modell-Kalibrierung'!$B$16</xm:f>
            <x14:dxf>
              <fill>
                <patternFill>
                  <bgColor theme="0"/>
                </patternFill>
              </fill>
            </x14:dxf>
          </x14:cfRule>
          <xm:sqref>I54:I55</xm:sqref>
        </x14:conditionalFormatting>
        <x14:conditionalFormatting xmlns:xm="http://schemas.microsoft.com/office/excel/2006/main">
          <x14:cfRule type="cellIs" priority="101" operator="equal" id="{70D06433-3601-43D7-A894-DBCF711B7A1B}">
            <xm:f>'Modell-Kalibrierung'!$B$16</xm:f>
            <x14:dxf>
              <fill>
                <patternFill>
                  <bgColor theme="0"/>
                </patternFill>
              </fill>
            </x14:dxf>
          </x14:cfRule>
          <xm:sqref>G54:G55</xm:sqref>
        </x14:conditionalFormatting>
        <x14:conditionalFormatting xmlns:xm="http://schemas.microsoft.com/office/excel/2006/main">
          <x14:cfRule type="cellIs" priority="88" operator="equal" id="{A15CCB27-7A0D-4F62-8966-92D666DEFEC2}">
            <xm:f>'Modell-Kalibrierung'!$B$16</xm:f>
            <x14:dxf>
              <fill>
                <patternFill>
                  <bgColor theme="0"/>
                </patternFill>
              </fill>
            </x14:dxf>
          </x14:cfRule>
          <xm:sqref>I51:I53</xm:sqref>
        </x14:conditionalFormatting>
        <x14:conditionalFormatting xmlns:xm="http://schemas.microsoft.com/office/excel/2006/main">
          <x14:cfRule type="cellIs" priority="81" operator="equal" id="{90167E93-070C-4CEC-9EAD-55A08371A507}">
            <xm:f>'Modell-Kalibrierung'!$B$16</xm:f>
            <x14:dxf>
              <fill>
                <patternFill>
                  <bgColor theme="0"/>
                </patternFill>
              </fill>
            </x14:dxf>
          </x14:cfRule>
          <xm:sqref>G51:G53</xm:sqref>
        </x14:conditionalFormatting>
        <x14:conditionalFormatting xmlns:xm="http://schemas.microsoft.com/office/excel/2006/main">
          <x14:cfRule type="cellIs" priority="68" operator="equal" id="{05E2CC00-541E-458C-B297-BD710FF94DA6}">
            <xm:f>'Modell-Kalibrierung'!$B$16</xm:f>
            <x14:dxf>
              <fill>
                <patternFill>
                  <bgColor theme="0"/>
                </patternFill>
              </fill>
            </x14:dxf>
          </x14:cfRule>
          <xm:sqref>I60:I61</xm:sqref>
        </x14:conditionalFormatting>
        <x14:conditionalFormatting xmlns:xm="http://schemas.microsoft.com/office/excel/2006/main">
          <x14:cfRule type="cellIs" priority="61" operator="equal" id="{D0C7F6F9-6373-4252-95B9-4F3442EA29A0}">
            <xm:f>'Modell-Kalibrierung'!$B$16</xm:f>
            <x14:dxf>
              <fill>
                <patternFill>
                  <bgColor theme="0"/>
                </patternFill>
              </fill>
            </x14:dxf>
          </x14:cfRule>
          <xm:sqref>G60:G61</xm:sqref>
        </x14:conditionalFormatting>
        <x14:conditionalFormatting xmlns:xm="http://schemas.microsoft.com/office/excel/2006/main">
          <x14:cfRule type="cellIs" priority="48" operator="equal" id="{B0BD075B-51D9-42CA-AE1D-002BAB6B9AD8}">
            <xm:f>'Modell-Kalibrierung'!$B$16</xm:f>
            <x14:dxf>
              <fill>
                <patternFill>
                  <bgColor theme="0"/>
                </patternFill>
              </fill>
            </x14:dxf>
          </x14:cfRule>
          <xm:sqref>I57:I59</xm:sqref>
        </x14:conditionalFormatting>
        <x14:conditionalFormatting xmlns:xm="http://schemas.microsoft.com/office/excel/2006/main">
          <x14:cfRule type="cellIs" priority="41" operator="equal" id="{027F8D92-1CB0-400C-9373-3D002A806564}">
            <xm:f>'Modell-Kalibrierung'!$B$16</xm:f>
            <x14:dxf>
              <fill>
                <patternFill>
                  <bgColor theme="0"/>
                </patternFill>
              </fill>
            </x14:dxf>
          </x14:cfRule>
          <xm:sqref>G57:G59</xm:sqref>
        </x14:conditionalFormatting>
        <x14:conditionalFormatting xmlns:xm="http://schemas.microsoft.com/office/excel/2006/main">
          <x14:cfRule type="cellIs" priority="28" operator="equal" id="{C1485760-3E38-4E48-9B00-CC76BD3C4DC4}">
            <xm:f>'Modell-Kalibrierung'!$B$16</xm:f>
            <x14:dxf>
              <fill>
                <patternFill>
                  <bgColor theme="0"/>
                </patternFill>
              </fill>
            </x14:dxf>
          </x14:cfRule>
          <xm:sqref>I36:I37</xm:sqref>
        </x14:conditionalFormatting>
        <x14:conditionalFormatting xmlns:xm="http://schemas.microsoft.com/office/excel/2006/main">
          <x14:cfRule type="cellIs" priority="21" operator="equal" id="{0A35CCB5-D88E-484E-A2C0-A524EDDBA5DA}">
            <xm:f>'Modell-Kalibrierung'!$B$16</xm:f>
            <x14:dxf>
              <fill>
                <patternFill>
                  <bgColor theme="0"/>
                </patternFill>
              </fill>
            </x14:dxf>
          </x14:cfRule>
          <xm:sqref>G36:G37</xm:sqref>
        </x14:conditionalFormatting>
        <x14:conditionalFormatting xmlns:xm="http://schemas.microsoft.com/office/excel/2006/main">
          <x14:cfRule type="cellIs" priority="8" operator="equal" id="{C05159BF-9A7B-4728-BD49-005DF4958547}">
            <xm:f>'Modell-Kalibrierung'!$B$16</xm:f>
            <x14:dxf>
              <fill>
                <patternFill>
                  <bgColor theme="0"/>
                </patternFill>
              </fill>
            </x14:dxf>
          </x14:cfRule>
          <xm:sqref>I33:I35</xm:sqref>
        </x14:conditionalFormatting>
        <x14:conditionalFormatting xmlns:xm="http://schemas.microsoft.com/office/excel/2006/main">
          <x14:cfRule type="cellIs" priority="1" operator="equal" id="{5FC6D988-5FEC-484E-93D2-10ECF1A8D81C}">
            <xm:f>'Modell-Kalibrierung'!$B$16</xm:f>
            <x14:dxf>
              <fill>
                <patternFill>
                  <bgColor theme="0"/>
                </patternFill>
              </fill>
            </x14:dxf>
          </x14:cfRule>
          <xm:sqref>G33:G35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'Modell-Kalibrierung'!$B$16:$B$22</xm:f>
          </x14:formula1>
          <xm:sqref>G117:G121 I117:I121 G39:G43 I39:I43 I57:I61 G57:G61 I45:I49 G45:G49 I51:I55 G51:G55 I63:I67 G63:G67 G69:G73 I69:I73 I87:I91 G87:G91 G81:G85 I81:I85 I75:I79 G75:G79 I99:I103 G99:G103 G93:G97 I93:I97 I111:I115 G111:G115 G105:G109 I105:I109 I33:I37 G33:G37</xm:sqref>
        </x14:dataValidation>
        <x14:dataValidation type="list" allowBlank="1" showInputMessage="1" showErrorMessage="1">
          <x14:formula1>
            <xm:f>'Modell-Kalibrierung'!$B$3:$B$8</xm:f>
          </x14:formula1>
          <xm:sqref>H117:H121 H39:H43 H57:H61 H45:H49 H51:H55 H63:H67 H69:H73 H87:H91 H81:H85 H75:H79 H99:H103 H93:H97 H111:H115 H105:H109 H33:H37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tabColor rgb="FF92D050"/>
    <pageSetUpPr fitToPage="1"/>
  </sheetPr>
  <dimension ref="A1:H249"/>
  <sheetViews>
    <sheetView view="pageBreakPreview" zoomScale="75" zoomScaleNormal="100" zoomScaleSheetLayoutView="75" workbookViewId="0">
      <selection activeCell="D24" sqref="D24"/>
    </sheetView>
  </sheetViews>
  <sheetFormatPr baseColWidth="10" defaultRowHeight="14.25" x14ac:dyDescent="0.2"/>
  <cols>
    <col min="1" max="1" width="1.875" customWidth="1"/>
    <col min="2" max="2" width="50.625" bestFit="1" customWidth="1"/>
    <col min="3" max="3" width="35.125" customWidth="1"/>
    <col min="4" max="4" width="13" customWidth="1"/>
    <col min="5" max="5" width="47.375" style="18" customWidth="1"/>
    <col min="6" max="6" width="2.125" bestFit="1" customWidth="1"/>
    <col min="8" max="8" width="19.125" customWidth="1"/>
  </cols>
  <sheetData>
    <row r="1" spans="1:8" ht="52.5" customHeight="1" x14ac:dyDescent="0.2">
      <c r="A1" s="56"/>
      <c r="B1" s="122" t="s">
        <v>79</v>
      </c>
      <c r="C1" s="122"/>
      <c r="D1" s="122"/>
      <c r="E1" s="122"/>
      <c r="F1" s="122"/>
      <c r="G1" s="122"/>
      <c r="H1" s="122"/>
    </row>
    <row r="2" spans="1:8" ht="54" customHeight="1" x14ac:dyDescent="0.2">
      <c r="A2" s="36"/>
      <c r="B2" s="52" t="s">
        <v>61</v>
      </c>
      <c r="C2" s="40">
        <f>F6</f>
        <v>0</v>
      </c>
      <c r="D2" s="36"/>
      <c r="E2" s="54"/>
      <c r="F2" s="36"/>
      <c r="G2" s="36"/>
      <c r="H2" s="36"/>
    </row>
    <row r="3" spans="1:8" ht="42.75" customHeight="1" x14ac:dyDescent="0.2">
      <c r="A3" s="36"/>
      <c r="B3" s="53" t="s">
        <v>63</v>
      </c>
      <c r="C3" s="55"/>
      <c r="D3" s="36"/>
      <c r="E3" s="54"/>
      <c r="F3" s="36"/>
      <c r="G3" s="36"/>
      <c r="H3" s="36"/>
    </row>
    <row r="4" spans="1:8" x14ac:dyDescent="0.2">
      <c r="A4" s="36"/>
      <c r="B4" s="36"/>
      <c r="C4" s="36"/>
      <c r="D4" s="36"/>
      <c r="E4" s="54"/>
      <c r="F4" s="36"/>
      <c r="G4" s="36"/>
      <c r="H4" s="36"/>
    </row>
    <row r="5" spans="1:8" ht="15" thickBot="1" x14ac:dyDescent="0.25">
      <c r="A5" s="36"/>
      <c r="B5" s="36"/>
      <c r="C5" s="36"/>
      <c r="D5" s="36"/>
      <c r="E5" s="54"/>
      <c r="F5" s="36"/>
      <c r="G5" s="36"/>
      <c r="H5" s="36"/>
    </row>
    <row r="6" spans="1:8" ht="15.75" thickBot="1" x14ac:dyDescent="0.3">
      <c r="A6" s="36"/>
      <c r="B6" s="41" t="s">
        <v>56</v>
      </c>
      <c r="C6" s="19" t="s">
        <v>48</v>
      </c>
      <c r="D6" s="22" t="s">
        <v>57</v>
      </c>
      <c r="E6" s="19" t="s">
        <v>66</v>
      </c>
      <c r="F6" s="54">
        <f>SUM(F7:F102)</f>
        <v>0</v>
      </c>
      <c r="G6" s="123" t="s">
        <v>67</v>
      </c>
      <c r="H6" s="124"/>
    </row>
    <row r="7" spans="1:8" ht="15.75" thickBot="1" x14ac:dyDescent="0.3">
      <c r="A7" s="36"/>
      <c r="B7" s="57" t="str">
        <f>IF('Modell-Kalibrierung'!B29=0," ",'Modell-Kalibrierung'!B29)</f>
        <v>Strategische Bedeutung/ Beitrag zur Unternehmensstrategie</v>
      </c>
      <c r="C7" s="21" t="str">
        <f>IF('Modell-Kalibrierung'!C29=0," ",'Modell-Kalibrierung'!C29)</f>
        <v>sehr wichtig</v>
      </c>
      <c r="D7" s="58"/>
      <c r="E7" s="117"/>
      <c r="F7" s="54">
        <f>IF(C7=" "," ",(VLOOKUP(C7,'Modell-Kalibrierung'!$H$28:$I$32,2,FALSE))*D7)</f>
        <v>0</v>
      </c>
      <c r="G7" s="26" t="s">
        <v>50</v>
      </c>
      <c r="H7" s="27" t="s">
        <v>58</v>
      </c>
    </row>
    <row r="8" spans="1:8" x14ac:dyDescent="0.2">
      <c r="A8" s="36"/>
      <c r="B8" s="57" t="str">
        <f>IF('Modell-Kalibrierung'!B30=0," ",'Modell-Kalibrierung'!B30)</f>
        <v>Wirtschaftlichkeit Kosten/Nutzenrelation)</v>
      </c>
      <c r="C8" s="21" t="str">
        <f>IF('Modell-Kalibrierung'!C30=0," ",'Modell-Kalibrierung'!C30)</f>
        <v>wichtig</v>
      </c>
      <c r="D8" s="58"/>
      <c r="E8" s="117"/>
      <c r="F8" s="54">
        <f>IF(C8=" "," ",(VLOOKUP(C8,'Modell-Kalibrierung'!$H$28:$I$32,2,FALSE))*D8)</f>
        <v>0</v>
      </c>
      <c r="G8" s="28">
        <f>'Modell-Kalibrierung'!E29</f>
        <v>1</v>
      </c>
      <c r="H8" s="29" t="str">
        <f>IF('Modell-Kalibrierung'!F29=0," ",'Modell-Kalibrierung'!F29)</f>
        <v>sehr gering/ schlecht</v>
      </c>
    </row>
    <row r="9" spans="1:8" x14ac:dyDescent="0.2">
      <c r="A9" s="36"/>
      <c r="B9" s="57" t="str">
        <f>IF('Modell-Kalibrierung'!B31=0," ",'Modell-Kalibrierung'!B31)</f>
        <v>Operative Dringlichkeit</v>
      </c>
      <c r="C9" s="21" t="str">
        <f>IF('Modell-Kalibrierung'!C31=0," ",'Modell-Kalibrierung'!C31)</f>
        <v>weniger wichtig</v>
      </c>
      <c r="D9" s="58"/>
      <c r="E9" s="117"/>
      <c r="F9" s="54">
        <f>IF(C9=" "," ",(VLOOKUP(C9,'Modell-Kalibrierung'!$H$28:$I$32,2,FALSE))*D9)</f>
        <v>0</v>
      </c>
      <c r="G9" s="30">
        <f>'Modell-Kalibrierung'!E30</f>
        <v>2</v>
      </c>
      <c r="H9" s="31" t="str">
        <f>IF('Modell-Kalibrierung'!F30=0," ",'Modell-Kalibrierung'!F30)</f>
        <v xml:space="preserve"> </v>
      </c>
    </row>
    <row r="10" spans="1:8" x14ac:dyDescent="0.2">
      <c r="A10" s="36"/>
      <c r="B10" s="57" t="str">
        <f>IF('Modell-Kalibrierung'!B32=0," ",'Modell-Kalibrierung'!B32)</f>
        <v>Wichtigkeit des Kunden</v>
      </c>
      <c r="C10" s="21" t="str">
        <f>IF('Modell-Kalibrierung'!C32=0," ",'Modell-Kalibrierung'!C32)</f>
        <v>sehr wichtig</v>
      </c>
      <c r="D10" s="58"/>
      <c r="E10" s="117"/>
      <c r="F10" s="54">
        <f>IF(C10=" "," ",(VLOOKUP(C10,'Modell-Kalibrierung'!$H$28:$I$32,2,FALSE))*D10)</f>
        <v>0</v>
      </c>
      <c r="G10" s="30">
        <f>'Modell-Kalibrierung'!E31</f>
        <v>3</v>
      </c>
      <c r="H10" s="31" t="str">
        <f>IF('Modell-Kalibrierung'!F31=0," ",'Modell-Kalibrierung'!F31)</f>
        <v xml:space="preserve"> </v>
      </c>
    </row>
    <row r="11" spans="1:8" x14ac:dyDescent="0.2">
      <c r="A11" s="36"/>
      <c r="B11" s="57" t="str">
        <f>IF('Modell-Kalibrierung'!B33=0," ",'Modell-Kalibrierung'!B33)</f>
        <v>Markt/ Wettbewerbssituation</v>
      </c>
      <c r="C11" s="21" t="str">
        <f>IF('Modell-Kalibrierung'!C33=0," ",'Modell-Kalibrierung'!C33)</f>
        <v>kann vernachlässigt werden</v>
      </c>
      <c r="D11" s="58"/>
      <c r="E11" s="117"/>
      <c r="F11" s="54">
        <f>IF(C11=" "," ",(VLOOKUP(C11,'Modell-Kalibrierung'!$H$28:$I$32,2,FALSE))*D11)</f>
        <v>0</v>
      </c>
      <c r="G11" s="30">
        <f>'Modell-Kalibrierung'!E32</f>
        <v>4</v>
      </c>
      <c r="H11" s="31" t="str">
        <f>IF('Modell-Kalibrierung'!F32=0," ",'Modell-Kalibrierung'!F32)</f>
        <v xml:space="preserve"> </v>
      </c>
    </row>
    <row r="12" spans="1:8" x14ac:dyDescent="0.2">
      <c r="A12" s="36"/>
      <c r="B12" s="57" t="str">
        <f>IF('Modell-Kalibrierung'!B34=0," ",'Modell-Kalibrierung'!B34)</f>
        <v>Reputation</v>
      </c>
      <c r="C12" s="21" t="str">
        <f>IF('Modell-Kalibrierung'!C34=0," ",'Modell-Kalibrierung'!C34)</f>
        <v>wichtig</v>
      </c>
      <c r="D12" s="58"/>
      <c r="E12" s="117"/>
      <c r="F12" s="54">
        <f>IF(C12=" "," ",(VLOOKUP(C12,'Modell-Kalibrierung'!$H$28:$I$32,2,FALSE))*D12)</f>
        <v>0</v>
      </c>
      <c r="G12" s="30">
        <f>'Modell-Kalibrierung'!E33</f>
        <v>5</v>
      </c>
      <c r="H12" s="31" t="str">
        <f>IF('Modell-Kalibrierung'!F33=0," ",'Modell-Kalibrierung'!F33)</f>
        <v xml:space="preserve"> </v>
      </c>
    </row>
    <row r="13" spans="1:8" x14ac:dyDescent="0.2">
      <c r="A13" s="36"/>
      <c r="B13" s="57" t="str">
        <f>IF('Modell-Kalibrierung'!B35=0," ",'Modell-Kalibrierung'!B35)</f>
        <v xml:space="preserve"> </v>
      </c>
      <c r="C13" s="21" t="str">
        <f>IF('Modell-Kalibrierung'!C35=0," ",'Modell-Kalibrierung'!C35)</f>
        <v xml:space="preserve"> </v>
      </c>
      <c r="D13" s="58"/>
      <c r="E13" s="117"/>
      <c r="F13" s="54" t="str">
        <f>IF(C13=" "," ",(VLOOKUP(C13,'Modell-Kalibrierung'!$H$28:$I$32,2,FALSE))*D13)</f>
        <v xml:space="preserve"> </v>
      </c>
      <c r="G13" s="30">
        <f>'Modell-Kalibrierung'!E34</f>
        <v>6</v>
      </c>
      <c r="H13" s="31" t="str">
        <f>IF('Modell-Kalibrierung'!F34=0," ",'Modell-Kalibrierung'!F34)</f>
        <v xml:space="preserve"> </v>
      </c>
    </row>
    <row r="14" spans="1:8" x14ac:dyDescent="0.2">
      <c r="A14" s="36"/>
      <c r="B14" s="57" t="str">
        <f>IF('Modell-Kalibrierung'!B36=0," ",'Modell-Kalibrierung'!B36)</f>
        <v xml:space="preserve"> </v>
      </c>
      <c r="C14" s="21" t="str">
        <f>IF('Modell-Kalibrierung'!C36=0," ",'Modell-Kalibrierung'!C36)</f>
        <v xml:space="preserve"> </v>
      </c>
      <c r="D14" s="58"/>
      <c r="E14" s="117"/>
      <c r="F14" s="54" t="str">
        <f>IF(C14=" "," ",(VLOOKUP(C14,'Modell-Kalibrierung'!$H$28:$I$32,2,FALSE))*D14)</f>
        <v xml:space="preserve"> </v>
      </c>
      <c r="G14" s="30">
        <f>'Modell-Kalibrierung'!E35</f>
        <v>7</v>
      </c>
      <c r="H14" s="31" t="str">
        <f>IF('Modell-Kalibrierung'!F35=0," ",'Modell-Kalibrierung'!F35)</f>
        <v xml:space="preserve"> </v>
      </c>
    </row>
    <row r="15" spans="1:8" ht="15" thickBot="1" x14ac:dyDescent="0.25">
      <c r="A15" s="36"/>
      <c r="B15" s="57" t="str">
        <f>IF('Modell-Kalibrierung'!B37=0," ",'Modell-Kalibrierung'!B37)</f>
        <v xml:space="preserve"> </v>
      </c>
      <c r="C15" s="21" t="str">
        <f>IF('Modell-Kalibrierung'!C37=0," ",'Modell-Kalibrierung'!C37)</f>
        <v xml:space="preserve"> </v>
      </c>
      <c r="D15" s="58"/>
      <c r="E15" s="117"/>
      <c r="F15" s="54" t="str">
        <f>IF(C15=" "," ",(VLOOKUP(C15,'Modell-Kalibrierung'!$H$28:$I$32,2,FALSE))*D15)</f>
        <v xml:space="preserve"> </v>
      </c>
      <c r="G15" s="32">
        <f>'Modell-Kalibrierung'!E36</f>
        <v>8</v>
      </c>
      <c r="H15" s="33" t="str">
        <f>IF('Modell-Kalibrierung'!F36=0," ",'Modell-Kalibrierung'!F36)</f>
        <v>sehr hoch/ gut</v>
      </c>
    </row>
    <row r="16" spans="1:8" x14ac:dyDescent="0.2">
      <c r="A16" s="36"/>
      <c r="B16" s="57" t="str">
        <f>IF('Modell-Kalibrierung'!B38=0," ",'Modell-Kalibrierung'!B38)</f>
        <v xml:space="preserve"> </v>
      </c>
      <c r="C16" s="21" t="str">
        <f>IF('Modell-Kalibrierung'!C38=0," ",'Modell-Kalibrierung'!C38)</f>
        <v xml:space="preserve"> </v>
      </c>
      <c r="D16" s="58"/>
      <c r="E16" s="117"/>
      <c r="F16" s="54" t="str">
        <f>IF(C16=" "," ",(VLOOKUP(C16,'Modell-Kalibrierung'!$H$28:$I$32,2,FALSE))*D16)</f>
        <v xml:space="preserve"> </v>
      </c>
      <c r="G16" s="36"/>
      <c r="H16" s="36"/>
    </row>
    <row r="17" spans="1:8" x14ac:dyDescent="0.2">
      <c r="A17" s="36"/>
      <c r="B17" s="57" t="str">
        <f>IF('Modell-Kalibrierung'!B39=0," ",'Modell-Kalibrierung'!B39)</f>
        <v xml:space="preserve"> </v>
      </c>
      <c r="C17" s="21" t="str">
        <f>IF('Modell-Kalibrierung'!C39=0," ",'Modell-Kalibrierung'!C39)</f>
        <v xml:space="preserve"> </v>
      </c>
      <c r="D17" s="58"/>
      <c r="E17" s="117"/>
      <c r="F17" s="54" t="str">
        <f>IF(C17=" "," ",(VLOOKUP(C17,'Modell-Kalibrierung'!$H$28:$I$32,2,FALSE))*D17)</f>
        <v xml:space="preserve"> </v>
      </c>
      <c r="G17" s="36"/>
      <c r="H17" s="36"/>
    </row>
    <row r="18" spans="1:8" x14ac:dyDescent="0.2">
      <c r="A18" s="36"/>
      <c r="B18" s="57" t="str">
        <f>IF('Modell-Kalibrierung'!B40=0," ",'Modell-Kalibrierung'!B40)</f>
        <v xml:space="preserve"> </v>
      </c>
      <c r="C18" s="21" t="str">
        <f>IF('Modell-Kalibrierung'!C40=0," ",'Modell-Kalibrierung'!C40)</f>
        <v xml:space="preserve"> </v>
      </c>
      <c r="D18" s="58"/>
      <c r="E18" s="117"/>
      <c r="F18" s="54" t="str">
        <f>IF(C18=" "," ",(VLOOKUP(C18,'Modell-Kalibrierung'!$H$28:$I$32,2,FALSE))*D18)</f>
        <v xml:space="preserve"> </v>
      </c>
      <c r="G18" s="36"/>
      <c r="H18" s="36"/>
    </row>
    <row r="19" spans="1:8" x14ac:dyDescent="0.2">
      <c r="A19" s="36"/>
      <c r="B19" s="57" t="str">
        <f>IF('Modell-Kalibrierung'!B41=0," ",'Modell-Kalibrierung'!B41)</f>
        <v xml:space="preserve"> </v>
      </c>
      <c r="C19" s="21" t="str">
        <f>IF('Modell-Kalibrierung'!C41=0," ",'Modell-Kalibrierung'!C41)</f>
        <v xml:space="preserve"> </v>
      </c>
      <c r="D19" s="58"/>
      <c r="E19" s="117"/>
      <c r="F19" s="54" t="str">
        <f>IF(C19=" "," ",(VLOOKUP(C19,'Modell-Kalibrierung'!$H$28:$I$32,2,FALSE))*D19)</f>
        <v xml:space="preserve"> </v>
      </c>
      <c r="G19" s="36"/>
      <c r="H19" s="36"/>
    </row>
    <row r="20" spans="1:8" x14ac:dyDescent="0.2">
      <c r="A20" s="36"/>
      <c r="B20" s="57" t="str">
        <f>IF('Modell-Kalibrierung'!B42=0," ",'Modell-Kalibrierung'!B42)</f>
        <v xml:space="preserve"> </v>
      </c>
      <c r="C20" s="21" t="str">
        <f>IF('Modell-Kalibrierung'!C42=0," ",'Modell-Kalibrierung'!C42)</f>
        <v xml:space="preserve"> </v>
      </c>
      <c r="D20" s="58"/>
      <c r="E20" s="117"/>
      <c r="F20" s="54" t="str">
        <f>IF(C20=" "," ",(VLOOKUP(C20,'Modell-Kalibrierung'!$H$28:$I$32,2,FALSE))*D20)</f>
        <v xml:space="preserve"> </v>
      </c>
      <c r="G20" s="36"/>
      <c r="H20" s="36"/>
    </row>
    <row r="21" spans="1:8" x14ac:dyDescent="0.2">
      <c r="A21" s="36"/>
      <c r="B21" s="57" t="str">
        <f>IF('Modell-Kalibrierung'!B43=0," ",'Modell-Kalibrierung'!B43)</f>
        <v xml:space="preserve"> </v>
      </c>
      <c r="C21" s="21" t="str">
        <f>IF('Modell-Kalibrierung'!C43=0," ",'Modell-Kalibrierung'!C43)</f>
        <v xml:space="preserve"> </v>
      </c>
      <c r="D21" s="58"/>
      <c r="E21" s="117"/>
      <c r="F21" s="54" t="str">
        <f>IF(C21=" "," ",(VLOOKUP(C21,'Modell-Kalibrierung'!$H$28:$I$32,2,FALSE))*D21)</f>
        <v xml:space="preserve"> </v>
      </c>
      <c r="G21" s="36"/>
      <c r="H21" s="36"/>
    </row>
    <row r="22" spans="1:8" x14ac:dyDescent="0.2">
      <c r="A22" s="36"/>
      <c r="B22" s="57" t="str">
        <f>IF('Modell-Kalibrierung'!B44=0," ",'Modell-Kalibrierung'!B44)</f>
        <v xml:space="preserve"> </v>
      </c>
      <c r="C22" s="21" t="str">
        <f>IF('Modell-Kalibrierung'!C44=0," ",'Modell-Kalibrierung'!C44)</f>
        <v xml:space="preserve"> </v>
      </c>
      <c r="D22" s="58"/>
      <c r="E22" s="117"/>
      <c r="F22" s="54" t="str">
        <f>IF(C22=" "," ",(VLOOKUP(C22,'Modell-Kalibrierung'!$H$28:$I$32,2,FALSE))*D22)</f>
        <v xml:space="preserve"> </v>
      </c>
      <c r="G22" s="36"/>
      <c r="H22" s="36"/>
    </row>
    <row r="23" spans="1:8" x14ac:dyDescent="0.2">
      <c r="A23" s="36"/>
      <c r="B23" s="57" t="str">
        <f>IF('Modell-Kalibrierung'!B45=0," ",'Modell-Kalibrierung'!B45)</f>
        <v xml:space="preserve"> </v>
      </c>
      <c r="C23" s="21" t="str">
        <f>IF('Modell-Kalibrierung'!C45=0," ",'Modell-Kalibrierung'!C45)</f>
        <v xml:space="preserve"> </v>
      </c>
      <c r="D23" s="58"/>
      <c r="E23" s="117"/>
      <c r="F23" s="54" t="str">
        <f>IF(C23=" "," ",(VLOOKUP(C23,'Modell-Kalibrierung'!$H$28:$I$32,2,FALSE))*D23)</f>
        <v xml:space="preserve"> </v>
      </c>
      <c r="G23" s="36"/>
      <c r="H23" s="36"/>
    </row>
    <row r="24" spans="1:8" x14ac:dyDescent="0.2">
      <c r="A24" s="36"/>
      <c r="B24" s="57" t="str">
        <f>IF('Modell-Kalibrierung'!B46=0," ",'Modell-Kalibrierung'!B46)</f>
        <v xml:space="preserve"> </v>
      </c>
      <c r="C24" s="21" t="str">
        <f>IF('Modell-Kalibrierung'!C46=0," ",'Modell-Kalibrierung'!C46)</f>
        <v xml:space="preserve"> </v>
      </c>
      <c r="D24" s="58"/>
      <c r="E24" s="117"/>
      <c r="F24" s="54" t="str">
        <f>IF(C24=" "," ",(VLOOKUP(C24,'Modell-Kalibrierung'!$H$28:$I$32,2,FALSE))*D24)</f>
        <v xml:space="preserve"> </v>
      </c>
      <c r="G24" s="36"/>
      <c r="H24" s="36"/>
    </row>
    <row r="25" spans="1:8" x14ac:dyDescent="0.2">
      <c r="A25" s="36"/>
      <c r="B25" s="57" t="str">
        <f>IF('Modell-Kalibrierung'!B47=0," ",'Modell-Kalibrierung'!B47)</f>
        <v xml:space="preserve"> </v>
      </c>
      <c r="C25" s="21" t="str">
        <f>IF('Modell-Kalibrierung'!C47=0," ",'Modell-Kalibrierung'!C47)</f>
        <v xml:space="preserve"> </v>
      </c>
      <c r="D25" s="58"/>
      <c r="E25" s="117"/>
      <c r="F25" s="54" t="str">
        <f>IF(C25=" "," ",(VLOOKUP(C25,'Modell-Kalibrierung'!$H$28:$I$32,2,FALSE))*D25)</f>
        <v xml:space="preserve"> </v>
      </c>
      <c r="G25" s="36"/>
      <c r="H25" s="36"/>
    </row>
    <row r="26" spans="1:8" x14ac:dyDescent="0.2">
      <c r="A26" s="36"/>
      <c r="B26" s="57" t="str">
        <f>IF('Modell-Kalibrierung'!B48=0," ",'Modell-Kalibrierung'!B48)</f>
        <v xml:space="preserve"> </v>
      </c>
      <c r="C26" s="21" t="str">
        <f>IF('Modell-Kalibrierung'!C48=0," ",'Modell-Kalibrierung'!C48)</f>
        <v xml:space="preserve"> </v>
      </c>
      <c r="D26" s="58"/>
      <c r="E26" s="117"/>
      <c r="F26" s="54" t="str">
        <f>IF(C26=" "," ",(VLOOKUP(C26,'Modell-Kalibrierung'!$H$28:$I$32,2,FALSE))*D26)</f>
        <v xml:space="preserve"> </v>
      </c>
      <c r="G26" s="36"/>
      <c r="H26" s="36"/>
    </row>
    <row r="27" spans="1:8" x14ac:dyDescent="0.2">
      <c r="A27" s="36"/>
      <c r="B27" s="57" t="str">
        <f>IF('Modell-Kalibrierung'!B49=0," ",'Modell-Kalibrierung'!B49)</f>
        <v xml:space="preserve"> </v>
      </c>
      <c r="C27" s="21" t="str">
        <f>IF('Modell-Kalibrierung'!C49=0," ",'Modell-Kalibrierung'!C49)</f>
        <v xml:space="preserve"> </v>
      </c>
      <c r="D27" s="58"/>
      <c r="E27" s="117"/>
      <c r="F27" s="54" t="str">
        <f>IF(C27=" "," ",(VLOOKUP(C27,'Modell-Kalibrierung'!$H$28:$I$32,2,FALSE))*D27)</f>
        <v xml:space="preserve"> </v>
      </c>
      <c r="G27" s="36"/>
      <c r="H27" s="36"/>
    </row>
    <row r="28" spans="1:8" x14ac:dyDescent="0.2">
      <c r="A28" s="36"/>
      <c r="B28" s="57" t="str">
        <f>IF('Modell-Kalibrierung'!B50=0," ",'Modell-Kalibrierung'!B50)</f>
        <v xml:space="preserve"> </v>
      </c>
      <c r="C28" s="21" t="str">
        <f>IF('Modell-Kalibrierung'!C50=0," ",'Modell-Kalibrierung'!C50)</f>
        <v xml:space="preserve"> </v>
      </c>
      <c r="D28" s="58"/>
      <c r="E28" s="117"/>
      <c r="F28" s="54" t="str">
        <f>IF(C28=" "," ",(VLOOKUP(C28,'Modell-Kalibrierung'!$H$28:$I$32,2,FALSE))*D28)</f>
        <v xml:space="preserve"> </v>
      </c>
      <c r="G28" s="36"/>
      <c r="H28" s="36"/>
    </row>
    <row r="29" spans="1:8" x14ac:dyDescent="0.2">
      <c r="A29" s="36"/>
      <c r="B29" s="57" t="str">
        <f>IF('Modell-Kalibrierung'!B51=0," ",'Modell-Kalibrierung'!B51)</f>
        <v xml:space="preserve"> </v>
      </c>
      <c r="C29" s="21" t="str">
        <f>IF('Modell-Kalibrierung'!C51=0," ",'Modell-Kalibrierung'!C51)</f>
        <v xml:space="preserve"> </v>
      </c>
      <c r="D29" s="58"/>
      <c r="E29" s="117"/>
      <c r="F29" s="54" t="str">
        <f>IF(C29=" "," ",(VLOOKUP(C29,'Modell-Kalibrierung'!$H$28:$I$32,2,FALSE))*D29)</f>
        <v xml:space="preserve"> </v>
      </c>
      <c r="G29" s="36"/>
      <c r="H29" s="36"/>
    </row>
    <row r="30" spans="1:8" x14ac:dyDescent="0.2">
      <c r="A30" s="36"/>
      <c r="B30" s="57" t="str">
        <f>IF('Modell-Kalibrierung'!B52=0," ",'Modell-Kalibrierung'!B52)</f>
        <v xml:space="preserve"> </v>
      </c>
      <c r="C30" s="21" t="str">
        <f>IF('Modell-Kalibrierung'!C52=0," ",'Modell-Kalibrierung'!C52)</f>
        <v xml:space="preserve"> </v>
      </c>
      <c r="D30" s="58"/>
      <c r="E30" s="117"/>
      <c r="F30" s="54" t="str">
        <f>IF(C30=" "," ",(VLOOKUP(C30,'Modell-Kalibrierung'!$H$28:$I$32,2,FALSE))*D30)</f>
        <v xml:space="preserve"> </v>
      </c>
      <c r="G30" s="36"/>
      <c r="H30" s="36"/>
    </row>
    <row r="31" spans="1:8" x14ac:dyDescent="0.2">
      <c r="A31" s="36"/>
      <c r="B31" s="57" t="str">
        <f>IF('Modell-Kalibrierung'!B53=0," ",'Modell-Kalibrierung'!B53)</f>
        <v xml:space="preserve"> </v>
      </c>
      <c r="C31" s="21" t="str">
        <f>IF('Modell-Kalibrierung'!C53=0," ",'Modell-Kalibrierung'!C53)</f>
        <v xml:space="preserve"> </v>
      </c>
      <c r="D31" s="58"/>
      <c r="E31" s="117"/>
      <c r="F31" s="54" t="str">
        <f>IF(C31=" "," ",(VLOOKUP(C31,'Modell-Kalibrierung'!$H$28:$I$32,2,FALSE))*D31)</f>
        <v xml:space="preserve"> </v>
      </c>
      <c r="G31" s="36"/>
      <c r="H31" s="36"/>
    </row>
    <row r="32" spans="1:8" x14ac:dyDescent="0.2">
      <c r="A32" s="36"/>
      <c r="B32" s="57" t="str">
        <f>IF('Modell-Kalibrierung'!B54=0," ",'Modell-Kalibrierung'!B54)</f>
        <v xml:space="preserve"> </v>
      </c>
      <c r="C32" s="21" t="str">
        <f>IF('Modell-Kalibrierung'!C54=0," ",'Modell-Kalibrierung'!C54)</f>
        <v xml:space="preserve"> </v>
      </c>
      <c r="D32" s="58"/>
      <c r="E32" s="117"/>
      <c r="F32" s="54" t="str">
        <f>IF(C32=" "," ",(VLOOKUP(C32,'Modell-Kalibrierung'!$H$28:$I$32,2,FALSE))*D32)</f>
        <v xml:space="preserve"> </v>
      </c>
      <c r="G32" s="36"/>
      <c r="H32" s="36"/>
    </row>
    <row r="33" spans="1:8" x14ac:dyDescent="0.2">
      <c r="A33" s="36"/>
      <c r="B33" s="57" t="str">
        <f>IF('Modell-Kalibrierung'!B55=0," ",'Modell-Kalibrierung'!B55)</f>
        <v xml:space="preserve"> </v>
      </c>
      <c r="C33" s="21" t="str">
        <f>IF('Modell-Kalibrierung'!C55=0," ",'Modell-Kalibrierung'!C55)</f>
        <v xml:space="preserve"> </v>
      </c>
      <c r="D33" s="58"/>
      <c r="E33" s="117"/>
      <c r="F33" s="54" t="str">
        <f>IF(C33=" "," ",(VLOOKUP(C33,'Modell-Kalibrierung'!$H$28:$I$32,2,FALSE))*D33)</f>
        <v xml:space="preserve"> </v>
      </c>
      <c r="G33" s="36"/>
      <c r="H33" s="36"/>
    </row>
    <row r="34" spans="1:8" x14ac:dyDescent="0.2">
      <c r="A34" s="36"/>
      <c r="B34" s="57" t="str">
        <f>IF('Modell-Kalibrierung'!B56=0," ",'Modell-Kalibrierung'!B56)</f>
        <v xml:space="preserve"> </v>
      </c>
      <c r="C34" s="21" t="str">
        <f>IF('Modell-Kalibrierung'!C56=0," ",'Modell-Kalibrierung'!C56)</f>
        <v xml:space="preserve"> </v>
      </c>
      <c r="D34" s="58"/>
      <c r="E34" s="117"/>
      <c r="F34" s="54" t="str">
        <f>IF(C34=" "," ",(VLOOKUP(C34,'Modell-Kalibrierung'!$H$28:$I$32,2,FALSE))*D34)</f>
        <v xml:space="preserve"> </v>
      </c>
      <c r="G34" s="36"/>
      <c r="H34" s="36"/>
    </row>
    <row r="35" spans="1:8" x14ac:dyDescent="0.2">
      <c r="A35" s="36"/>
      <c r="B35" s="57" t="str">
        <f>IF('Modell-Kalibrierung'!B57=0," ",'Modell-Kalibrierung'!B57)</f>
        <v xml:space="preserve"> </v>
      </c>
      <c r="C35" s="21" t="str">
        <f>IF('Modell-Kalibrierung'!C57=0," ",'Modell-Kalibrierung'!C57)</f>
        <v xml:space="preserve"> </v>
      </c>
      <c r="D35" s="58"/>
      <c r="E35" s="117"/>
      <c r="F35" s="54" t="str">
        <f>IF(C35=" "," ",(VLOOKUP(C35,'Modell-Kalibrierung'!$H$28:$I$32,2,FALSE))*D35)</f>
        <v xml:space="preserve"> </v>
      </c>
      <c r="G35" s="36"/>
      <c r="H35" s="36"/>
    </row>
    <row r="36" spans="1:8" x14ac:dyDescent="0.2">
      <c r="A36" s="36"/>
      <c r="B36" s="57" t="str">
        <f>IF('Modell-Kalibrierung'!B58=0," ",'Modell-Kalibrierung'!B58)</f>
        <v xml:space="preserve"> </v>
      </c>
      <c r="C36" s="21" t="str">
        <f>IF('Modell-Kalibrierung'!C58=0," ",'Modell-Kalibrierung'!C58)</f>
        <v xml:space="preserve"> </v>
      </c>
      <c r="D36" s="58"/>
      <c r="E36" s="117"/>
      <c r="F36" s="54" t="str">
        <f>IF(C36=" "," ",(VLOOKUP(C36,'Modell-Kalibrierung'!$H$28:$I$32,2,FALSE))*D36)</f>
        <v xml:space="preserve"> </v>
      </c>
      <c r="G36" s="36"/>
      <c r="H36" s="36"/>
    </row>
    <row r="37" spans="1:8" x14ac:dyDescent="0.2">
      <c r="A37" s="36"/>
      <c r="B37" s="57" t="str">
        <f>IF('Modell-Kalibrierung'!B59=0," ",'Modell-Kalibrierung'!B59)</f>
        <v xml:space="preserve"> </v>
      </c>
      <c r="C37" s="21" t="str">
        <f>IF('Modell-Kalibrierung'!C59=0," ",'Modell-Kalibrierung'!C59)</f>
        <v xml:space="preserve"> </v>
      </c>
      <c r="D37" s="58"/>
      <c r="E37" s="117"/>
      <c r="F37" s="54" t="str">
        <f>IF(C37=" "," ",(VLOOKUP(C37,'Modell-Kalibrierung'!$H$28:$I$32,2,FALSE))*D37)</f>
        <v xml:space="preserve"> </v>
      </c>
      <c r="G37" s="36"/>
      <c r="H37" s="36"/>
    </row>
    <row r="38" spans="1:8" x14ac:dyDescent="0.2">
      <c r="A38" s="36"/>
      <c r="B38" s="57" t="str">
        <f>IF('Modell-Kalibrierung'!B60=0," ",'Modell-Kalibrierung'!B60)</f>
        <v xml:space="preserve"> </v>
      </c>
      <c r="C38" s="21" t="str">
        <f>IF('Modell-Kalibrierung'!C60=0," ",'Modell-Kalibrierung'!C60)</f>
        <v xml:space="preserve"> </v>
      </c>
      <c r="D38" s="58"/>
      <c r="E38" s="117"/>
      <c r="F38" s="54" t="str">
        <f>IF(C38=" "," ",(VLOOKUP(C38,'Modell-Kalibrierung'!$H$28:$I$32,2,FALSE))*D38)</f>
        <v xml:space="preserve"> </v>
      </c>
      <c r="G38" s="36"/>
      <c r="H38" s="36"/>
    </row>
    <row r="39" spans="1:8" x14ac:dyDescent="0.2">
      <c r="A39" s="36"/>
      <c r="B39" s="57" t="str">
        <f>IF('Modell-Kalibrierung'!B61=0," ",'Modell-Kalibrierung'!B61)</f>
        <v xml:space="preserve"> </v>
      </c>
      <c r="C39" s="21" t="str">
        <f>IF('Modell-Kalibrierung'!C61=0," ",'Modell-Kalibrierung'!C61)</f>
        <v xml:space="preserve"> </v>
      </c>
      <c r="D39" s="58"/>
      <c r="E39" s="117"/>
      <c r="F39" s="54" t="str">
        <f>IF(C39=" "," ",(VLOOKUP(C39,'Modell-Kalibrierung'!$H$28:$I$32,2,FALSE))*D39)</f>
        <v xml:space="preserve"> </v>
      </c>
      <c r="G39" s="36"/>
      <c r="H39" s="36"/>
    </row>
    <row r="40" spans="1:8" x14ac:dyDescent="0.2">
      <c r="A40" s="36"/>
      <c r="B40" s="57" t="str">
        <f>IF('Modell-Kalibrierung'!B62=0," ",'Modell-Kalibrierung'!B62)</f>
        <v xml:space="preserve"> </v>
      </c>
      <c r="C40" s="21" t="str">
        <f>IF('Modell-Kalibrierung'!C62=0," ",'Modell-Kalibrierung'!C62)</f>
        <v xml:space="preserve"> </v>
      </c>
      <c r="D40" s="58"/>
      <c r="E40" s="117"/>
      <c r="F40" s="54" t="str">
        <f>IF(C40=" "," ",(VLOOKUP(C40,'Modell-Kalibrierung'!$H$28:$I$32,2,FALSE))*D40)</f>
        <v xml:space="preserve"> </v>
      </c>
      <c r="G40" s="36"/>
      <c r="H40" s="36"/>
    </row>
    <row r="41" spans="1:8" x14ac:dyDescent="0.2">
      <c r="A41" s="36"/>
      <c r="B41" s="57" t="str">
        <f>IF('Modell-Kalibrierung'!B63=0," ",'Modell-Kalibrierung'!B63)</f>
        <v xml:space="preserve"> </v>
      </c>
      <c r="C41" s="21" t="str">
        <f>IF('Modell-Kalibrierung'!C63=0," ",'Modell-Kalibrierung'!C63)</f>
        <v xml:space="preserve"> </v>
      </c>
      <c r="D41" s="58"/>
      <c r="E41" s="117"/>
      <c r="F41" s="54" t="str">
        <f>IF(C41=" "," ",(VLOOKUP(C41,'Modell-Kalibrierung'!$H$28:$I$32,2,FALSE))*D41)</f>
        <v xml:space="preserve"> </v>
      </c>
      <c r="G41" s="36"/>
      <c r="H41" s="36"/>
    </row>
    <row r="42" spans="1:8" x14ac:dyDescent="0.2">
      <c r="A42" s="36"/>
      <c r="B42" s="57" t="str">
        <f>IF('Modell-Kalibrierung'!B64=0," ",'Modell-Kalibrierung'!B64)</f>
        <v xml:space="preserve"> </v>
      </c>
      <c r="C42" s="21" t="str">
        <f>IF('Modell-Kalibrierung'!C64=0," ",'Modell-Kalibrierung'!C64)</f>
        <v xml:space="preserve"> </v>
      </c>
      <c r="D42" s="58"/>
      <c r="E42" s="117"/>
      <c r="F42" s="54" t="str">
        <f>IF(C42=" "," ",(VLOOKUP(C42,'Modell-Kalibrierung'!$H$28:$I$32,2,FALSE))*D42)</f>
        <v xml:space="preserve"> </v>
      </c>
      <c r="G42" s="36"/>
      <c r="H42" s="36"/>
    </row>
    <row r="43" spans="1:8" x14ac:dyDescent="0.2">
      <c r="A43" s="36"/>
      <c r="B43" s="57" t="str">
        <f>IF('Modell-Kalibrierung'!B65=0," ",'Modell-Kalibrierung'!B65)</f>
        <v xml:space="preserve"> </v>
      </c>
      <c r="C43" s="21" t="str">
        <f>IF('Modell-Kalibrierung'!C65=0," ",'Modell-Kalibrierung'!C65)</f>
        <v xml:space="preserve"> </v>
      </c>
      <c r="D43" s="58"/>
      <c r="E43" s="117"/>
      <c r="F43" s="54" t="str">
        <f>IF(C43=" "," ",(VLOOKUP(C43,'Modell-Kalibrierung'!$H$28:$I$32,2,FALSE))*D43)</f>
        <v xml:space="preserve"> </v>
      </c>
      <c r="G43" s="36"/>
      <c r="H43" s="36"/>
    </row>
    <row r="44" spans="1:8" x14ac:dyDescent="0.2">
      <c r="A44" s="36"/>
      <c r="B44" s="57" t="str">
        <f>IF('Modell-Kalibrierung'!B66=0," ",'Modell-Kalibrierung'!B66)</f>
        <v xml:space="preserve"> </v>
      </c>
      <c r="C44" s="21" t="str">
        <f>IF('Modell-Kalibrierung'!C66=0," ",'Modell-Kalibrierung'!C66)</f>
        <v xml:space="preserve"> </v>
      </c>
      <c r="D44" s="58"/>
      <c r="E44" s="117"/>
      <c r="F44" s="54" t="str">
        <f>IF(C44=" "," ",(VLOOKUP(C44,'Modell-Kalibrierung'!$H$28:$I$32,2,FALSE))*D44)</f>
        <v xml:space="preserve"> </v>
      </c>
      <c r="G44" s="36"/>
      <c r="H44" s="36"/>
    </row>
    <row r="45" spans="1:8" x14ac:dyDescent="0.2">
      <c r="A45" s="36"/>
      <c r="B45" s="57" t="str">
        <f>IF('Modell-Kalibrierung'!B67=0," ",'Modell-Kalibrierung'!B67)</f>
        <v xml:space="preserve"> </v>
      </c>
      <c r="C45" s="21" t="str">
        <f>IF('Modell-Kalibrierung'!C67=0," ",'Modell-Kalibrierung'!C67)</f>
        <v xml:space="preserve"> </v>
      </c>
      <c r="D45" s="58"/>
      <c r="E45" s="117"/>
      <c r="F45" s="54" t="str">
        <f>IF(C45=" "," ",(VLOOKUP(C45,'Modell-Kalibrierung'!$H$28:$I$32,2,FALSE))*D45)</f>
        <v xml:space="preserve"> </v>
      </c>
      <c r="G45" s="36"/>
      <c r="H45" s="36"/>
    </row>
    <row r="46" spans="1:8" x14ac:dyDescent="0.2">
      <c r="A46" s="36"/>
      <c r="B46" s="57" t="str">
        <f>IF('Modell-Kalibrierung'!B68=0," ",'Modell-Kalibrierung'!B68)</f>
        <v xml:space="preserve"> </v>
      </c>
      <c r="C46" s="21" t="str">
        <f>IF('Modell-Kalibrierung'!C68=0," ",'Modell-Kalibrierung'!C68)</f>
        <v xml:space="preserve"> </v>
      </c>
      <c r="D46" s="58"/>
      <c r="E46" s="117"/>
      <c r="F46" s="54" t="str">
        <f>IF(C46=" "," ",(VLOOKUP(C46,'Modell-Kalibrierung'!$H$28:$I$32,2,FALSE))*D46)</f>
        <v xml:space="preserve"> </v>
      </c>
      <c r="G46" s="36"/>
      <c r="H46" s="36"/>
    </row>
    <row r="47" spans="1:8" x14ac:dyDescent="0.2">
      <c r="A47" s="36"/>
      <c r="B47" s="57" t="str">
        <f>IF('Modell-Kalibrierung'!B69=0," ",'Modell-Kalibrierung'!B69)</f>
        <v xml:space="preserve"> </v>
      </c>
      <c r="C47" s="21" t="str">
        <f>IF('Modell-Kalibrierung'!C69=0," ",'Modell-Kalibrierung'!C69)</f>
        <v xml:space="preserve"> </v>
      </c>
      <c r="D47" s="58"/>
      <c r="E47" s="117"/>
      <c r="F47" s="54" t="str">
        <f>IF(C47=" "," ",(VLOOKUP(C47,'Modell-Kalibrierung'!$H$28:$I$32,2,FALSE))*D47)</f>
        <v xml:space="preserve"> </v>
      </c>
      <c r="G47" s="36"/>
      <c r="H47" s="36"/>
    </row>
    <row r="48" spans="1:8" x14ac:dyDescent="0.2">
      <c r="A48" s="36"/>
      <c r="B48" s="57" t="str">
        <f>IF('Modell-Kalibrierung'!B70=0," ",'Modell-Kalibrierung'!B70)</f>
        <v xml:space="preserve"> </v>
      </c>
      <c r="C48" s="21" t="str">
        <f>IF('Modell-Kalibrierung'!C70=0," ",'Modell-Kalibrierung'!C70)</f>
        <v xml:space="preserve"> </v>
      </c>
      <c r="D48" s="58"/>
      <c r="E48" s="117"/>
      <c r="F48" s="54" t="str">
        <f>IF(C48=" "," ",(VLOOKUP(C48,'Modell-Kalibrierung'!$H$28:$I$32,2,FALSE))*D48)</f>
        <v xml:space="preserve"> </v>
      </c>
      <c r="G48" s="36"/>
      <c r="H48" s="36"/>
    </row>
    <row r="49" spans="1:8" x14ac:dyDescent="0.2">
      <c r="A49" s="36"/>
      <c r="B49" s="57" t="str">
        <f>IF('Modell-Kalibrierung'!B71=0," ",'Modell-Kalibrierung'!B71)</f>
        <v xml:space="preserve"> </v>
      </c>
      <c r="C49" s="21" t="str">
        <f>IF('Modell-Kalibrierung'!C71=0," ",'Modell-Kalibrierung'!C71)</f>
        <v xml:space="preserve"> </v>
      </c>
      <c r="D49" s="58"/>
      <c r="E49" s="117"/>
      <c r="F49" s="54" t="str">
        <f>IF(C49=" "," ",(VLOOKUP(C49,'Modell-Kalibrierung'!$H$28:$I$32,2,FALSE))*D49)</f>
        <v xml:space="preserve"> </v>
      </c>
      <c r="G49" s="36"/>
      <c r="H49" s="36"/>
    </row>
    <row r="50" spans="1:8" x14ac:dyDescent="0.2">
      <c r="A50" s="36"/>
      <c r="B50" s="57" t="str">
        <f>IF('Modell-Kalibrierung'!B72=0," ",'Modell-Kalibrierung'!B72)</f>
        <v xml:space="preserve"> </v>
      </c>
      <c r="C50" s="21" t="str">
        <f>IF('Modell-Kalibrierung'!C72=0," ",'Modell-Kalibrierung'!C72)</f>
        <v xml:space="preserve"> </v>
      </c>
      <c r="D50" s="58"/>
      <c r="E50" s="117"/>
      <c r="F50" s="54" t="str">
        <f>IF(C50=" "," ",(VLOOKUP(C50,'Modell-Kalibrierung'!$H$28:$I$32,2,FALSE))*D50)</f>
        <v xml:space="preserve"> </v>
      </c>
      <c r="G50" s="36"/>
      <c r="H50" s="36"/>
    </row>
    <row r="51" spans="1:8" x14ac:dyDescent="0.2">
      <c r="A51" s="36"/>
      <c r="B51" s="57" t="str">
        <f>IF('Modell-Kalibrierung'!B73=0," ",'Modell-Kalibrierung'!B73)</f>
        <v xml:space="preserve"> </v>
      </c>
      <c r="C51" s="21" t="str">
        <f>IF('Modell-Kalibrierung'!C73=0," ",'Modell-Kalibrierung'!C73)</f>
        <v xml:space="preserve"> </v>
      </c>
      <c r="D51" s="58"/>
      <c r="E51" s="117"/>
      <c r="F51" s="54" t="str">
        <f>IF(C51=" "," ",(VLOOKUP(C51,'Modell-Kalibrierung'!$H$28:$I$32,2,FALSE))*D51)</f>
        <v xml:space="preserve"> </v>
      </c>
      <c r="G51" s="36"/>
      <c r="H51" s="36"/>
    </row>
    <row r="52" spans="1:8" x14ac:dyDescent="0.2">
      <c r="A52" s="36"/>
      <c r="B52" s="57" t="str">
        <f>IF('Modell-Kalibrierung'!B74=0," ",'Modell-Kalibrierung'!B74)</f>
        <v xml:space="preserve"> </v>
      </c>
      <c r="C52" s="21" t="str">
        <f>IF('Modell-Kalibrierung'!C74=0," ",'Modell-Kalibrierung'!C74)</f>
        <v xml:space="preserve"> </v>
      </c>
      <c r="D52" s="58"/>
      <c r="E52" s="117"/>
      <c r="F52" s="54" t="str">
        <f>IF(C52=" "," ",(VLOOKUP(C52,'Modell-Kalibrierung'!$H$28:$I$32,2,FALSE))*D52)</f>
        <v xml:space="preserve"> </v>
      </c>
      <c r="G52" s="36"/>
      <c r="H52" s="36"/>
    </row>
    <row r="53" spans="1:8" x14ac:dyDescent="0.2">
      <c r="A53" s="36"/>
      <c r="B53" s="57" t="str">
        <f>IF('Modell-Kalibrierung'!B75=0," ",'Modell-Kalibrierung'!B75)</f>
        <v xml:space="preserve"> </v>
      </c>
      <c r="C53" s="21" t="str">
        <f>IF('Modell-Kalibrierung'!C75=0," ",'Modell-Kalibrierung'!C75)</f>
        <v xml:space="preserve"> </v>
      </c>
      <c r="D53" s="59"/>
      <c r="E53" s="117"/>
      <c r="F53" s="54" t="str">
        <f>IF(C53=" "," ",(VLOOKUP(C53,'Modell-Kalibrierung'!$H$28:$I$32,2,FALSE))*D53)</f>
        <v xml:space="preserve"> </v>
      </c>
      <c r="G53" s="36"/>
      <c r="H53" s="36"/>
    </row>
    <row r="54" spans="1:8" x14ac:dyDescent="0.2">
      <c r="A54" s="36"/>
      <c r="B54" s="57" t="str">
        <f>IF('Modell-Kalibrierung'!B76=0," ",'Modell-Kalibrierung'!B76)</f>
        <v xml:space="preserve"> </v>
      </c>
      <c r="C54" s="21" t="str">
        <f>IF('Modell-Kalibrierung'!C76=0," ",'Modell-Kalibrierung'!C76)</f>
        <v xml:space="preserve"> </v>
      </c>
      <c r="D54" s="59"/>
      <c r="E54" s="117"/>
      <c r="F54" s="54" t="str">
        <f>IF(C54=" "," ",(VLOOKUP(C54,'Modell-Kalibrierung'!$H$28:$I$32,2,FALSE))*D54)</f>
        <v xml:space="preserve"> </v>
      </c>
      <c r="G54" s="36"/>
      <c r="H54" s="36"/>
    </row>
    <row r="55" spans="1:8" x14ac:dyDescent="0.2">
      <c r="A55" s="36"/>
      <c r="B55" s="57" t="str">
        <f>IF('Modell-Kalibrierung'!B77=0," ",'Modell-Kalibrierung'!B77)</f>
        <v xml:space="preserve"> </v>
      </c>
      <c r="C55" s="21" t="str">
        <f>IF('Modell-Kalibrierung'!C77=0," ",'Modell-Kalibrierung'!C77)</f>
        <v xml:space="preserve"> </v>
      </c>
      <c r="D55" s="59"/>
      <c r="E55" s="117"/>
      <c r="F55" s="54" t="str">
        <f>IF(C55=" "," ",(VLOOKUP(C55,'Modell-Kalibrierung'!$H$28:$I$32,2,FALSE))*D55)</f>
        <v xml:space="preserve"> </v>
      </c>
      <c r="G55" s="36"/>
      <c r="H55" s="36"/>
    </row>
    <row r="56" spans="1:8" x14ac:dyDescent="0.2">
      <c r="A56" s="36"/>
      <c r="B56" s="57" t="str">
        <f>IF('Modell-Kalibrierung'!B78=0," ",'Modell-Kalibrierung'!B78)</f>
        <v xml:space="preserve"> </v>
      </c>
      <c r="C56" s="21" t="str">
        <f>IF('Modell-Kalibrierung'!C78=0," ",'Modell-Kalibrierung'!C78)</f>
        <v xml:space="preserve"> </v>
      </c>
      <c r="D56" s="59"/>
      <c r="E56" s="117"/>
      <c r="F56" s="54" t="str">
        <f>IF(C56=" "," ",(VLOOKUP(C56,'Modell-Kalibrierung'!$H$28:$I$32,2,FALSE))*D56)</f>
        <v xml:space="preserve"> </v>
      </c>
      <c r="G56" s="36"/>
      <c r="H56" s="36"/>
    </row>
    <row r="57" spans="1:8" x14ac:dyDescent="0.2">
      <c r="A57" s="36"/>
      <c r="B57" s="57" t="str">
        <f>IF('Modell-Kalibrierung'!B79=0," ",'Modell-Kalibrierung'!B79)</f>
        <v xml:space="preserve"> </v>
      </c>
      <c r="C57" s="21" t="str">
        <f>IF('Modell-Kalibrierung'!C79=0," ",'Modell-Kalibrierung'!C79)</f>
        <v xml:space="preserve"> </v>
      </c>
      <c r="D57" s="59"/>
      <c r="E57" s="117"/>
      <c r="F57" s="54" t="str">
        <f>IF(C57=" "," ",(VLOOKUP(C57,'Modell-Kalibrierung'!$H$28:$I$32,2,FALSE))*D57)</f>
        <v xml:space="preserve"> </v>
      </c>
      <c r="G57" s="36"/>
      <c r="H57" s="36"/>
    </row>
    <row r="58" spans="1:8" x14ac:dyDescent="0.2">
      <c r="A58" s="36"/>
      <c r="B58" s="57" t="str">
        <f>IF('Modell-Kalibrierung'!B80=0," ",'Modell-Kalibrierung'!B80)</f>
        <v xml:space="preserve"> </v>
      </c>
      <c r="C58" s="21" t="str">
        <f>IF('Modell-Kalibrierung'!C80=0," ",'Modell-Kalibrierung'!C80)</f>
        <v xml:space="preserve"> </v>
      </c>
      <c r="D58" s="59"/>
      <c r="E58" s="117"/>
      <c r="F58" s="54" t="str">
        <f>IF(C58=" "," ",(VLOOKUP(C58,'Modell-Kalibrierung'!$H$28:$I$32,2,FALSE))*D58)</f>
        <v xml:space="preserve"> </v>
      </c>
      <c r="G58" s="36"/>
      <c r="H58" s="36"/>
    </row>
    <row r="59" spans="1:8" x14ac:dyDescent="0.2">
      <c r="A59" s="36"/>
      <c r="B59" s="57" t="str">
        <f>IF('Modell-Kalibrierung'!B81=0," ",'Modell-Kalibrierung'!B81)</f>
        <v xml:space="preserve"> </v>
      </c>
      <c r="C59" s="21" t="str">
        <f>IF('Modell-Kalibrierung'!C81=0," ",'Modell-Kalibrierung'!C81)</f>
        <v xml:space="preserve"> </v>
      </c>
      <c r="D59" s="59"/>
      <c r="E59" s="117"/>
      <c r="F59" s="54" t="str">
        <f>IF(C59=" "," ",(VLOOKUP(C59,'Modell-Kalibrierung'!$H$28:$I$32,2,FALSE))*D59)</f>
        <v xml:space="preserve"> </v>
      </c>
      <c r="G59" s="36"/>
      <c r="H59" s="36"/>
    </row>
    <row r="60" spans="1:8" x14ac:dyDescent="0.2">
      <c r="A60" s="36"/>
      <c r="B60" s="57" t="str">
        <f>IF('Modell-Kalibrierung'!B82=0," ",'Modell-Kalibrierung'!B82)</f>
        <v xml:space="preserve"> </v>
      </c>
      <c r="C60" s="21" t="str">
        <f>IF('Modell-Kalibrierung'!C82=0," ",'Modell-Kalibrierung'!C82)</f>
        <v xml:space="preserve"> </v>
      </c>
      <c r="D60" s="59"/>
      <c r="E60" s="117"/>
      <c r="F60" s="54" t="str">
        <f>IF(C60=" "," ",(VLOOKUP(C60,'Modell-Kalibrierung'!$H$28:$I$32,2,FALSE))*D60)</f>
        <v xml:space="preserve"> </v>
      </c>
      <c r="G60" s="36"/>
      <c r="H60" s="36"/>
    </row>
    <row r="61" spans="1:8" x14ac:dyDescent="0.2">
      <c r="A61" s="36"/>
      <c r="B61" s="57" t="str">
        <f>IF('Modell-Kalibrierung'!B83=0," ",'Modell-Kalibrierung'!B83)</f>
        <v xml:space="preserve"> </v>
      </c>
      <c r="C61" s="21" t="str">
        <f>IF('Modell-Kalibrierung'!C83=0," ",'Modell-Kalibrierung'!C83)</f>
        <v xml:space="preserve"> </v>
      </c>
      <c r="D61" s="59"/>
      <c r="E61" s="117"/>
      <c r="F61" s="54" t="str">
        <f>IF(C61=" "," ",(VLOOKUP(C61,'Modell-Kalibrierung'!$H$28:$I$32,2,FALSE))*D61)</f>
        <v xml:space="preserve"> </v>
      </c>
      <c r="G61" s="36"/>
      <c r="H61" s="36"/>
    </row>
    <row r="62" spans="1:8" x14ac:dyDescent="0.2">
      <c r="A62" s="36"/>
      <c r="B62" s="57" t="str">
        <f>IF('Modell-Kalibrierung'!B84=0," ",'Modell-Kalibrierung'!B84)</f>
        <v xml:space="preserve"> </v>
      </c>
      <c r="C62" s="21" t="str">
        <f>IF('Modell-Kalibrierung'!C84=0," ",'Modell-Kalibrierung'!C84)</f>
        <v xml:space="preserve"> </v>
      </c>
      <c r="D62" s="59"/>
      <c r="E62" s="117"/>
      <c r="F62" s="54" t="str">
        <f>IF(C62=" "," ",(VLOOKUP(C62,'Modell-Kalibrierung'!$H$28:$I$32,2,FALSE))*D62)</f>
        <v xml:space="preserve"> </v>
      </c>
      <c r="G62" s="36"/>
      <c r="H62" s="36"/>
    </row>
    <row r="63" spans="1:8" x14ac:dyDescent="0.2">
      <c r="A63" s="36"/>
      <c r="B63" s="57" t="str">
        <f>IF('Modell-Kalibrierung'!B85=0," ",'Modell-Kalibrierung'!B85)</f>
        <v xml:space="preserve"> </v>
      </c>
      <c r="C63" s="21" t="str">
        <f>IF('Modell-Kalibrierung'!C85=0," ",'Modell-Kalibrierung'!C85)</f>
        <v xml:space="preserve"> </v>
      </c>
      <c r="D63" s="59"/>
      <c r="E63" s="117"/>
      <c r="F63" s="54" t="str">
        <f>IF(C63=" "," ",(VLOOKUP(C63,'Modell-Kalibrierung'!$H$28:$I$32,2,FALSE))*D63)</f>
        <v xml:space="preserve"> </v>
      </c>
      <c r="G63" s="36"/>
      <c r="H63" s="36"/>
    </row>
    <row r="64" spans="1:8" x14ac:dyDescent="0.2">
      <c r="A64" s="36"/>
      <c r="B64" s="57" t="str">
        <f>IF('Modell-Kalibrierung'!B86=0," ",'Modell-Kalibrierung'!B86)</f>
        <v xml:space="preserve"> </v>
      </c>
      <c r="C64" s="21" t="str">
        <f>IF('Modell-Kalibrierung'!C86=0," ",'Modell-Kalibrierung'!C86)</f>
        <v xml:space="preserve"> </v>
      </c>
      <c r="D64" s="59"/>
      <c r="E64" s="117"/>
      <c r="F64" s="54" t="str">
        <f>IF(C64=" "," ",(VLOOKUP(C64,'Modell-Kalibrierung'!$H$28:$I$32,2,FALSE))*D64)</f>
        <v xml:space="preserve"> </v>
      </c>
      <c r="G64" s="36"/>
      <c r="H64" s="36"/>
    </row>
    <row r="65" spans="1:8" x14ac:dyDescent="0.2">
      <c r="A65" s="36"/>
      <c r="B65" s="57" t="str">
        <f>IF('Modell-Kalibrierung'!B87=0," ",'Modell-Kalibrierung'!B87)</f>
        <v xml:space="preserve"> </v>
      </c>
      <c r="C65" s="21" t="str">
        <f>IF('Modell-Kalibrierung'!C87=0," ",'Modell-Kalibrierung'!C87)</f>
        <v xml:space="preserve"> </v>
      </c>
      <c r="D65" s="59"/>
      <c r="E65" s="117"/>
      <c r="F65" s="54" t="str">
        <f>IF(C65=" "," ",(VLOOKUP(C65,'Modell-Kalibrierung'!$H$28:$I$32,2,FALSE))*D65)</f>
        <v xml:space="preserve"> </v>
      </c>
      <c r="G65" s="36"/>
      <c r="H65" s="36"/>
    </row>
    <row r="66" spans="1:8" x14ac:dyDescent="0.2">
      <c r="A66" s="36"/>
      <c r="B66" s="57" t="str">
        <f>IF('Modell-Kalibrierung'!B88=0," ",'Modell-Kalibrierung'!B88)</f>
        <v xml:space="preserve"> </v>
      </c>
      <c r="C66" s="21" t="str">
        <f>IF('Modell-Kalibrierung'!C88=0," ",'Modell-Kalibrierung'!C88)</f>
        <v xml:space="preserve"> </v>
      </c>
      <c r="D66" s="59"/>
      <c r="E66" s="117"/>
      <c r="F66" s="54" t="str">
        <f>IF(C66=" "," ",(VLOOKUP(C66,'Modell-Kalibrierung'!$H$28:$I$32,2,FALSE))*D66)</f>
        <v xml:space="preserve"> </v>
      </c>
      <c r="G66" s="36"/>
      <c r="H66" s="36"/>
    </row>
    <row r="67" spans="1:8" x14ac:dyDescent="0.2">
      <c r="A67" s="36"/>
      <c r="B67" s="57" t="str">
        <f>IF('Modell-Kalibrierung'!B89=0," ",'Modell-Kalibrierung'!B89)</f>
        <v xml:space="preserve"> </v>
      </c>
      <c r="C67" s="21" t="str">
        <f>IF('Modell-Kalibrierung'!C89=0," ",'Modell-Kalibrierung'!C89)</f>
        <v xml:space="preserve"> </v>
      </c>
      <c r="D67" s="59"/>
      <c r="E67" s="117"/>
      <c r="F67" s="54" t="str">
        <f>IF(C67=" "," ",(VLOOKUP(C67,'Modell-Kalibrierung'!$H$28:$I$32,2,FALSE))*D67)</f>
        <v xml:space="preserve"> </v>
      </c>
      <c r="G67" s="36"/>
      <c r="H67" s="36"/>
    </row>
    <row r="68" spans="1:8" x14ac:dyDescent="0.2">
      <c r="A68" s="36"/>
      <c r="B68" s="57" t="str">
        <f>IF('Modell-Kalibrierung'!B90=0," ",'Modell-Kalibrierung'!B90)</f>
        <v xml:space="preserve"> </v>
      </c>
      <c r="C68" s="21" t="str">
        <f>IF('Modell-Kalibrierung'!C90=0," ",'Modell-Kalibrierung'!C90)</f>
        <v xml:space="preserve"> </v>
      </c>
      <c r="D68" s="59"/>
      <c r="E68" s="117"/>
      <c r="F68" s="54" t="str">
        <f>IF(C68=" "," ",(VLOOKUP(C68,'Modell-Kalibrierung'!$H$28:$I$32,2,FALSE))*D68)</f>
        <v xml:space="preserve"> </v>
      </c>
      <c r="G68" s="36"/>
      <c r="H68" s="36"/>
    </row>
    <row r="69" spans="1:8" x14ac:dyDescent="0.2">
      <c r="A69" s="36"/>
      <c r="B69" s="57" t="str">
        <f>IF('Modell-Kalibrierung'!B91=0," ",'Modell-Kalibrierung'!B91)</f>
        <v xml:space="preserve"> </v>
      </c>
      <c r="C69" s="21" t="str">
        <f>IF('Modell-Kalibrierung'!C91=0," ",'Modell-Kalibrierung'!C91)</f>
        <v xml:space="preserve"> </v>
      </c>
      <c r="D69" s="59"/>
      <c r="E69" s="117"/>
      <c r="F69" s="54" t="str">
        <f>IF(C69=" "," ",(VLOOKUP(C69,'Modell-Kalibrierung'!$H$28:$I$32,2,FALSE))*D69)</f>
        <v xml:space="preserve"> </v>
      </c>
      <c r="G69" s="36"/>
      <c r="H69" s="36"/>
    </row>
    <row r="70" spans="1:8" x14ac:dyDescent="0.2">
      <c r="A70" s="36"/>
      <c r="B70" s="57" t="str">
        <f>IF('Modell-Kalibrierung'!B92=0," ",'Modell-Kalibrierung'!B92)</f>
        <v xml:space="preserve"> </v>
      </c>
      <c r="C70" s="21" t="str">
        <f>IF('Modell-Kalibrierung'!C92=0," ",'Modell-Kalibrierung'!C92)</f>
        <v xml:space="preserve"> </v>
      </c>
      <c r="D70" s="59"/>
      <c r="E70" s="117"/>
      <c r="F70" s="54" t="str">
        <f>IF(C70=" "," ",(VLOOKUP(C70,'Modell-Kalibrierung'!$H$28:$I$32,2,FALSE))*D70)</f>
        <v xml:space="preserve"> </v>
      </c>
      <c r="G70" s="36"/>
      <c r="H70" s="36"/>
    </row>
    <row r="71" spans="1:8" x14ac:dyDescent="0.2">
      <c r="A71" s="36"/>
      <c r="B71" s="57" t="str">
        <f>IF('Modell-Kalibrierung'!B93=0," ",'Modell-Kalibrierung'!B93)</f>
        <v xml:space="preserve"> </v>
      </c>
      <c r="C71" s="21" t="str">
        <f>IF('Modell-Kalibrierung'!C93=0," ",'Modell-Kalibrierung'!C93)</f>
        <v xml:space="preserve"> </v>
      </c>
      <c r="D71" s="59"/>
      <c r="E71" s="117"/>
      <c r="F71" s="54" t="str">
        <f>IF(C71=" "," ",(VLOOKUP(C71,'Modell-Kalibrierung'!$H$28:$I$32,2,FALSE))*D71)</f>
        <v xml:space="preserve"> </v>
      </c>
      <c r="G71" s="36"/>
      <c r="H71" s="36"/>
    </row>
    <row r="72" spans="1:8" x14ac:dyDescent="0.2">
      <c r="A72" s="36"/>
      <c r="B72" s="57" t="str">
        <f>IF('Modell-Kalibrierung'!B94=0," ",'Modell-Kalibrierung'!B94)</f>
        <v xml:space="preserve"> </v>
      </c>
      <c r="C72" s="21" t="str">
        <f>IF('Modell-Kalibrierung'!C94=0," ",'Modell-Kalibrierung'!C94)</f>
        <v xml:space="preserve"> </v>
      </c>
      <c r="D72" s="59"/>
      <c r="E72" s="117"/>
      <c r="F72" s="54" t="str">
        <f>IF(C72=" "," ",(VLOOKUP(C72,'Modell-Kalibrierung'!$H$28:$I$32,2,FALSE))*D72)</f>
        <v xml:space="preserve"> </v>
      </c>
      <c r="G72" s="36"/>
      <c r="H72" s="36"/>
    </row>
    <row r="73" spans="1:8" x14ac:dyDescent="0.2">
      <c r="A73" s="36"/>
      <c r="B73" s="57" t="str">
        <f>IF('Modell-Kalibrierung'!B95=0," ",'Modell-Kalibrierung'!B95)</f>
        <v xml:space="preserve"> </v>
      </c>
      <c r="C73" s="21" t="str">
        <f>IF('Modell-Kalibrierung'!C95=0," ",'Modell-Kalibrierung'!C95)</f>
        <v xml:space="preserve"> </v>
      </c>
      <c r="D73" s="59"/>
      <c r="E73" s="117"/>
      <c r="F73" s="54" t="str">
        <f>IF(C73=" "," ",(VLOOKUP(C73,'Modell-Kalibrierung'!$H$28:$I$32,2,FALSE))*D73)</f>
        <v xml:space="preserve"> </v>
      </c>
      <c r="G73" s="36"/>
      <c r="H73" s="36"/>
    </row>
    <row r="74" spans="1:8" x14ac:dyDescent="0.2">
      <c r="A74" s="36"/>
      <c r="B74" s="57" t="str">
        <f>IF('Modell-Kalibrierung'!B96=0," ",'Modell-Kalibrierung'!B96)</f>
        <v xml:space="preserve"> </v>
      </c>
      <c r="C74" s="21" t="str">
        <f>IF('Modell-Kalibrierung'!C96=0," ",'Modell-Kalibrierung'!C96)</f>
        <v xml:space="preserve"> </v>
      </c>
      <c r="D74" s="59"/>
      <c r="E74" s="117"/>
      <c r="F74" s="54" t="str">
        <f>IF(C74=" "," ",(VLOOKUP(C74,'Modell-Kalibrierung'!$H$28:$I$32,2,FALSE))*D74)</f>
        <v xml:space="preserve"> </v>
      </c>
      <c r="G74" s="36"/>
      <c r="H74" s="36"/>
    </row>
    <row r="75" spans="1:8" x14ac:dyDescent="0.2">
      <c r="A75" s="36"/>
      <c r="B75" s="57" t="str">
        <f>IF('Modell-Kalibrierung'!B97=0," ",'Modell-Kalibrierung'!B97)</f>
        <v xml:space="preserve"> </v>
      </c>
      <c r="C75" s="21" t="str">
        <f>IF('Modell-Kalibrierung'!C97=0," ",'Modell-Kalibrierung'!C97)</f>
        <v xml:space="preserve"> </v>
      </c>
      <c r="D75" s="59"/>
      <c r="E75" s="117"/>
      <c r="F75" s="54" t="str">
        <f>IF(C75=" "," ",(VLOOKUP(C75,'Modell-Kalibrierung'!$H$28:$I$32,2,FALSE))*D75)</f>
        <v xml:space="preserve"> </v>
      </c>
      <c r="G75" s="36"/>
      <c r="H75" s="36"/>
    </row>
    <row r="76" spans="1:8" x14ac:dyDescent="0.2">
      <c r="A76" s="36"/>
      <c r="B76" s="57" t="str">
        <f>IF('Modell-Kalibrierung'!B98=0," ",'Modell-Kalibrierung'!B98)</f>
        <v xml:space="preserve"> </v>
      </c>
      <c r="C76" s="21" t="str">
        <f>IF('Modell-Kalibrierung'!C98=0," ",'Modell-Kalibrierung'!C98)</f>
        <v xml:space="preserve"> </v>
      </c>
      <c r="D76" s="59"/>
      <c r="E76" s="117"/>
      <c r="F76" s="54" t="str">
        <f>IF(C76=" "," ",(VLOOKUP(C76,'Modell-Kalibrierung'!$H$28:$I$32,2,FALSE))*D76)</f>
        <v xml:space="preserve"> </v>
      </c>
      <c r="G76" s="36"/>
      <c r="H76" s="36"/>
    </row>
    <row r="77" spans="1:8" x14ac:dyDescent="0.2">
      <c r="A77" s="36"/>
      <c r="B77" s="57" t="str">
        <f>IF('Modell-Kalibrierung'!B99=0," ",'Modell-Kalibrierung'!B99)</f>
        <v xml:space="preserve"> </v>
      </c>
      <c r="C77" s="21" t="str">
        <f>IF('Modell-Kalibrierung'!C99=0," ",'Modell-Kalibrierung'!C99)</f>
        <v xml:space="preserve"> </v>
      </c>
      <c r="D77" s="59"/>
      <c r="E77" s="117"/>
      <c r="F77" s="54" t="str">
        <f>IF(C77=" "," ",(VLOOKUP(C77,'Modell-Kalibrierung'!$H$28:$I$32,2,FALSE))*D77)</f>
        <v xml:space="preserve"> </v>
      </c>
      <c r="G77" s="36"/>
      <c r="H77" s="36"/>
    </row>
    <row r="78" spans="1:8" x14ac:dyDescent="0.2">
      <c r="A78" s="36"/>
      <c r="B78" s="57" t="str">
        <f>IF('Modell-Kalibrierung'!B100=0," ",'Modell-Kalibrierung'!B100)</f>
        <v xml:space="preserve"> </v>
      </c>
      <c r="C78" s="21" t="str">
        <f>IF('Modell-Kalibrierung'!C100=0," ",'Modell-Kalibrierung'!C100)</f>
        <v xml:space="preserve"> </v>
      </c>
      <c r="D78" s="59"/>
      <c r="E78" s="117"/>
      <c r="F78" s="54" t="str">
        <f>IF(C78=" "," ",(VLOOKUP(C78,'Modell-Kalibrierung'!$H$28:$I$32,2,FALSE))*D78)</f>
        <v xml:space="preserve"> </v>
      </c>
      <c r="G78" s="36"/>
      <c r="H78" s="36"/>
    </row>
    <row r="79" spans="1:8" x14ac:dyDescent="0.2">
      <c r="A79" s="36"/>
      <c r="B79" s="57" t="str">
        <f>IF('Modell-Kalibrierung'!B101=0," ",'Modell-Kalibrierung'!B101)</f>
        <v xml:space="preserve"> </v>
      </c>
      <c r="C79" s="21" t="str">
        <f>IF('Modell-Kalibrierung'!C101=0," ",'Modell-Kalibrierung'!C101)</f>
        <v xml:space="preserve"> </v>
      </c>
      <c r="D79" s="59"/>
      <c r="E79" s="117"/>
      <c r="F79" s="54" t="str">
        <f>IF(C79=" "," ",(VLOOKUP(C79,'Modell-Kalibrierung'!$H$28:$I$32,2,FALSE))*D79)</f>
        <v xml:space="preserve"> </v>
      </c>
      <c r="G79" s="36"/>
      <c r="H79" s="36"/>
    </row>
    <row r="80" spans="1:8" x14ac:dyDescent="0.2">
      <c r="A80" s="36"/>
      <c r="B80" s="57" t="str">
        <f>IF('Modell-Kalibrierung'!B102=0," ",'Modell-Kalibrierung'!B102)</f>
        <v xml:space="preserve"> </v>
      </c>
      <c r="C80" s="21" t="str">
        <f>IF('Modell-Kalibrierung'!C102=0," ",'Modell-Kalibrierung'!C102)</f>
        <v xml:space="preserve"> </v>
      </c>
      <c r="D80" s="59"/>
      <c r="E80" s="117"/>
      <c r="F80" s="54" t="str">
        <f>IF(C80=" "," ",(VLOOKUP(C80,'Modell-Kalibrierung'!$H$28:$I$32,2,FALSE))*D80)</f>
        <v xml:space="preserve"> </v>
      </c>
      <c r="G80" s="36"/>
      <c r="H80" s="36"/>
    </row>
    <row r="81" spans="1:8" x14ac:dyDescent="0.2">
      <c r="A81" s="36"/>
      <c r="B81" s="57" t="str">
        <f>IF('Modell-Kalibrierung'!B103=0," ",'Modell-Kalibrierung'!B103)</f>
        <v xml:space="preserve"> </v>
      </c>
      <c r="C81" s="21" t="str">
        <f>IF('Modell-Kalibrierung'!C103=0," ",'Modell-Kalibrierung'!C103)</f>
        <v xml:space="preserve"> </v>
      </c>
      <c r="D81" s="59"/>
      <c r="E81" s="117"/>
      <c r="F81" s="54" t="str">
        <f>IF(C81=" "," ",(VLOOKUP(C81,'Modell-Kalibrierung'!$H$28:$I$32,2,FALSE))*D81)</f>
        <v xml:space="preserve"> </v>
      </c>
      <c r="G81" s="36"/>
      <c r="H81" s="36"/>
    </row>
    <row r="82" spans="1:8" x14ac:dyDescent="0.2">
      <c r="A82" s="36"/>
      <c r="B82" s="57" t="str">
        <f>IF('Modell-Kalibrierung'!B104=0," ",'Modell-Kalibrierung'!B104)</f>
        <v xml:space="preserve"> </v>
      </c>
      <c r="C82" s="21" t="str">
        <f>IF('Modell-Kalibrierung'!C104=0," ",'Modell-Kalibrierung'!C104)</f>
        <v xml:space="preserve"> </v>
      </c>
      <c r="D82" s="59"/>
      <c r="E82" s="117"/>
      <c r="F82" s="54" t="str">
        <f>IF(C82=" "," ",(VLOOKUP(C82,'Modell-Kalibrierung'!$H$28:$I$32,2,FALSE))*D82)</f>
        <v xml:space="preserve"> </v>
      </c>
      <c r="G82" s="36"/>
      <c r="H82" s="36"/>
    </row>
    <row r="83" spans="1:8" x14ac:dyDescent="0.2">
      <c r="A83" s="36"/>
      <c r="B83" s="57" t="str">
        <f>IF('Modell-Kalibrierung'!B105=0," ",'Modell-Kalibrierung'!B105)</f>
        <v xml:space="preserve"> </v>
      </c>
      <c r="C83" s="21" t="str">
        <f>IF('Modell-Kalibrierung'!C105=0," ",'Modell-Kalibrierung'!C105)</f>
        <v xml:space="preserve"> </v>
      </c>
      <c r="D83" s="59"/>
      <c r="E83" s="117"/>
      <c r="F83" s="54" t="str">
        <f>IF(C83=" "," ",(VLOOKUP(C83,'Modell-Kalibrierung'!$H$28:$I$32,2,FALSE))*D83)</f>
        <v xml:space="preserve"> </v>
      </c>
      <c r="G83" s="36"/>
      <c r="H83" s="36"/>
    </row>
    <row r="84" spans="1:8" x14ac:dyDescent="0.2">
      <c r="A84" s="36"/>
      <c r="B84" s="57" t="str">
        <f>IF('Modell-Kalibrierung'!B106=0," ",'Modell-Kalibrierung'!B106)</f>
        <v xml:space="preserve"> </v>
      </c>
      <c r="C84" s="21" t="str">
        <f>IF('Modell-Kalibrierung'!C106=0," ",'Modell-Kalibrierung'!C106)</f>
        <v xml:space="preserve"> </v>
      </c>
      <c r="D84" s="59"/>
      <c r="E84" s="117"/>
      <c r="F84" s="54" t="str">
        <f>IF(C84=" "," ",(VLOOKUP(C84,'Modell-Kalibrierung'!$H$28:$I$32,2,FALSE))*D84)</f>
        <v xml:space="preserve"> </v>
      </c>
      <c r="G84" s="36"/>
      <c r="H84" s="36"/>
    </row>
    <row r="85" spans="1:8" x14ac:dyDescent="0.2">
      <c r="A85" s="36"/>
      <c r="B85" s="57" t="str">
        <f>IF('Modell-Kalibrierung'!B107=0," ",'Modell-Kalibrierung'!B107)</f>
        <v xml:space="preserve"> </v>
      </c>
      <c r="C85" s="21" t="str">
        <f>IF('Modell-Kalibrierung'!C107=0," ",'Modell-Kalibrierung'!C107)</f>
        <v xml:space="preserve"> </v>
      </c>
      <c r="D85" s="59"/>
      <c r="E85" s="117"/>
      <c r="F85" s="54" t="str">
        <f>IF(C85=" "," ",(VLOOKUP(C85,'Modell-Kalibrierung'!$H$28:$I$32,2,FALSE))*D85)</f>
        <v xml:space="preserve"> </v>
      </c>
      <c r="G85" s="36"/>
      <c r="H85" s="36"/>
    </row>
    <row r="86" spans="1:8" x14ac:dyDescent="0.2">
      <c r="A86" s="36"/>
      <c r="B86" s="57" t="str">
        <f>IF('Modell-Kalibrierung'!B108=0," ",'Modell-Kalibrierung'!B108)</f>
        <v xml:space="preserve"> </v>
      </c>
      <c r="C86" s="21" t="str">
        <f>IF('Modell-Kalibrierung'!C108=0," ",'Modell-Kalibrierung'!C108)</f>
        <v xml:space="preserve"> </v>
      </c>
      <c r="D86" s="59"/>
      <c r="E86" s="117"/>
      <c r="F86" s="54" t="str">
        <f>IF(C86=" "," ",(VLOOKUP(C86,'Modell-Kalibrierung'!$H$28:$I$32,2,FALSE))*D86)</f>
        <v xml:space="preserve"> </v>
      </c>
      <c r="G86" s="36"/>
      <c r="H86" s="36"/>
    </row>
    <row r="87" spans="1:8" x14ac:dyDescent="0.2">
      <c r="A87" s="36"/>
      <c r="B87" s="57" t="str">
        <f>IF('Modell-Kalibrierung'!B109=0," ",'Modell-Kalibrierung'!B109)</f>
        <v xml:space="preserve"> </v>
      </c>
      <c r="C87" s="21" t="str">
        <f>IF('Modell-Kalibrierung'!C109=0," ",'Modell-Kalibrierung'!C109)</f>
        <v xml:space="preserve"> </v>
      </c>
      <c r="D87" s="59"/>
      <c r="E87" s="117"/>
      <c r="F87" s="54" t="str">
        <f>IF(C87=" "," ",(VLOOKUP(C87,'Modell-Kalibrierung'!$H$28:$I$32,2,FALSE))*D87)</f>
        <v xml:space="preserve"> </v>
      </c>
      <c r="G87" s="36"/>
      <c r="H87" s="36"/>
    </row>
    <row r="88" spans="1:8" x14ac:dyDescent="0.2">
      <c r="A88" s="36"/>
      <c r="B88" s="57" t="str">
        <f>IF('Modell-Kalibrierung'!B110=0," ",'Modell-Kalibrierung'!B110)</f>
        <v xml:space="preserve"> </v>
      </c>
      <c r="C88" s="21" t="str">
        <f>IF('Modell-Kalibrierung'!C110=0," ",'Modell-Kalibrierung'!C110)</f>
        <v xml:space="preserve"> </v>
      </c>
      <c r="D88" s="59"/>
      <c r="E88" s="117"/>
      <c r="F88" s="54" t="str">
        <f>IF(C88=" "," ",(VLOOKUP(C88,'Modell-Kalibrierung'!$H$28:$I$32,2,FALSE))*D88)</f>
        <v xml:space="preserve"> </v>
      </c>
      <c r="G88" s="36"/>
      <c r="H88" s="36"/>
    </row>
    <row r="89" spans="1:8" x14ac:dyDescent="0.2">
      <c r="A89" s="36"/>
      <c r="B89" s="57" t="str">
        <f>IF('Modell-Kalibrierung'!B111=0," ",'Modell-Kalibrierung'!B111)</f>
        <v xml:space="preserve"> </v>
      </c>
      <c r="C89" s="21" t="str">
        <f>IF('Modell-Kalibrierung'!C111=0," ",'Modell-Kalibrierung'!C111)</f>
        <v xml:space="preserve"> </v>
      </c>
      <c r="D89" s="59"/>
      <c r="E89" s="117"/>
      <c r="F89" s="54" t="str">
        <f>IF(C89=" "," ",(VLOOKUP(C89,'Modell-Kalibrierung'!$H$28:$I$32,2,FALSE))*D89)</f>
        <v xml:space="preserve"> </v>
      </c>
      <c r="G89" s="36"/>
      <c r="H89" s="36"/>
    </row>
    <row r="90" spans="1:8" x14ac:dyDescent="0.2">
      <c r="A90" s="36"/>
      <c r="B90" s="57" t="str">
        <f>IF('Modell-Kalibrierung'!B112=0," ",'Modell-Kalibrierung'!B112)</f>
        <v xml:space="preserve"> </v>
      </c>
      <c r="C90" s="21" t="str">
        <f>IF('Modell-Kalibrierung'!C112=0," ",'Modell-Kalibrierung'!C112)</f>
        <v xml:space="preserve"> </v>
      </c>
      <c r="D90" s="59"/>
      <c r="E90" s="117"/>
      <c r="F90" s="54" t="str">
        <f>IF(C90=" "," ",(VLOOKUP(C90,'Modell-Kalibrierung'!$H$28:$I$32,2,FALSE))*D90)</f>
        <v xml:space="preserve"> </v>
      </c>
      <c r="G90" s="36"/>
      <c r="H90" s="36"/>
    </row>
    <row r="91" spans="1:8" x14ac:dyDescent="0.2">
      <c r="A91" s="36"/>
      <c r="B91" s="57" t="str">
        <f>IF('Modell-Kalibrierung'!B113=0," ",'Modell-Kalibrierung'!B113)</f>
        <v xml:space="preserve"> </v>
      </c>
      <c r="C91" s="21" t="str">
        <f>IF('Modell-Kalibrierung'!C113=0," ",'Modell-Kalibrierung'!C113)</f>
        <v xml:space="preserve"> </v>
      </c>
      <c r="D91" s="59"/>
      <c r="E91" s="117"/>
      <c r="F91" s="54" t="str">
        <f>IF(C91=" "," ",(VLOOKUP(C91,'Modell-Kalibrierung'!$H$28:$I$32,2,FALSE))*D91)</f>
        <v xml:space="preserve"> </v>
      </c>
      <c r="G91" s="36"/>
      <c r="H91" s="36"/>
    </row>
    <row r="92" spans="1:8" x14ac:dyDescent="0.2">
      <c r="A92" s="36"/>
      <c r="B92" s="57" t="str">
        <f>IF('Modell-Kalibrierung'!B114=0," ",'Modell-Kalibrierung'!B114)</f>
        <v xml:space="preserve"> </v>
      </c>
      <c r="C92" s="21" t="str">
        <f>IF('Modell-Kalibrierung'!C114=0," ",'Modell-Kalibrierung'!C114)</f>
        <v xml:space="preserve"> </v>
      </c>
      <c r="D92" s="59"/>
      <c r="E92" s="117"/>
      <c r="F92" s="54" t="str">
        <f>IF(C92=" "," ",(VLOOKUP(C92,'Modell-Kalibrierung'!$H$28:$I$32,2,FALSE))*D92)</f>
        <v xml:space="preserve"> </v>
      </c>
      <c r="G92" s="36"/>
      <c r="H92" s="36"/>
    </row>
    <row r="93" spans="1:8" x14ac:dyDescent="0.2">
      <c r="A93" s="36"/>
      <c r="B93" s="57" t="str">
        <f>IF('Modell-Kalibrierung'!B115=0," ",'Modell-Kalibrierung'!B115)</f>
        <v xml:space="preserve"> </v>
      </c>
      <c r="C93" s="21" t="str">
        <f>IF('Modell-Kalibrierung'!C115=0," ",'Modell-Kalibrierung'!C115)</f>
        <v xml:space="preserve"> </v>
      </c>
      <c r="D93" s="59"/>
      <c r="E93" s="117"/>
      <c r="F93" s="54" t="str">
        <f>IF(C93=" "," ",(VLOOKUP(C93,'Modell-Kalibrierung'!$H$28:$I$32,2,FALSE))*D93)</f>
        <v xml:space="preserve"> </v>
      </c>
      <c r="G93" s="36"/>
      <c r="H93" s="36"/>
    </row>
    <row r="94" spans="1:8" x14ac:dyDescent="0.2">
      <c r="A94" s="36"/>
      <c r="B94" s="57" t="str">
        <f>IF('Modell-Kalibrierung'!B116=0," ",'Modell-Kalibrierung'!B116)</f>
        <v xml:space="preserve"> </v>
      </c>
      <c r="C94" s="21" t="str">
        <f>IF('Modell-Kalibrierung'!C116=0," ",'Modell-Kalibrierung'!C116)</f>
        <v xml:space="preserve"> </v>
      </c>
      <c r="D94" s="59"/>
      <c r="E94" s="117"/>
      <c r="F94" s="54" t="str">
        <f>IF(C94=" "," ",(VLOOKUP(C94,'Modell-Kalibrierung'!$H$28:$I$32,2,FALSE))*D94)</f>
        <v xml:space="preserve"> </v>
      </c>
      <c r="G94" s="36"/>
      <c r="H94" s="36"/>
    </row>
    <row r="95" spans="1:8" x14ac:dyDescent="0.2">
      <c r="A95" s="36"/>
      <c r="B95" s="57" t="str">
        <f>IF('Modell-Kalibrierung'!B117=0," ",'Modell-Kalibrierung'!B117)</f>
        <v xml:space="preserve"> </v>
      </c>
      <c r="C95" s="21" t="str">
        <f>IF('Modell-Kalibrierung'!C117=0," ",'Modell-Kalibrierung'!C117)</f>
        <v xml:space="preserve"> </v>
      </c>
      <c r="D95" s="59"/>
      <c r="E95" s="117"/>
      <c r="F95" s="54" t="str">
        <f>IF(C95=" "," ",(VLOOKUP(C95,'Modell-Kalibrierung'!$H$28:$I$32,2,FALSE))*D95)</f>
        <v xml:space="preserve"> </v>
      </c>
      <c r="G95" s="36"/>
      <c r="H95" s="36"/>
    </row>
    <row r="96" spans="1:8" x14ac:dyDescent="0.2">
      <c r="A96" s="36"/>
      <c r="B96" s="57" t="str">
        <f>IF('Modell-Kalibrierung'!B118=0," ",'Modell-Kalibrierung'!B118)</f>
        <v xml:space="preserve"> </v>
      </c>
      <c r="C96" s="21" t="str">
        <f>IF('Modell-Kalibrierung'!C118=0," ",'Modell-Kalibrierung'!C118)</f>
        <v xml:space="preserve"> </v>
      </c>
      <c r="D96" s="59"/>
      <c r="E96" s="117"/>
      <c r="F96" s="54" t="str">
        <f>IF(C96=" "," ",(VLOOKUP(C96,'Modell-Kalibrierung'!$H$28:$I$32,2,FALSE))*D96)</f>
        <v xml:space="preserve"> </v>
      </c>
      <c r="G96" s="36"/>
      <c r="H96" s="36"/>
    </row>
    <row r="97" spans="1:8" x14ac:dyDescent="0.2">
      <c r="A97" s="36"/>
      <c r="B97" s="57" t="str">
        <f>IF('Modell-Kalibrierung'!B119=0," ",'Modell-Kalibrierung'!B119)</f>
        <v xml:space="preserve"> </v>
      </c>
      <c r="C97" s="21" t="str">
        <f>IF('Modell-Kalibrierung'!C119=0," ",'Modell-Kalibrierung'!C119)</f>
        <v xml:space="preserve"> </v>
      </c>
      <c r="D97" s="59"/>
      <c r="E97" s="117"/>
      <c r="F97" s="54" t="str">
        <f>IF(C97=" "," ",(VLOOKUP(C97,'Modell-Kalibrierung'!$H$28:$I$32,2,FALSE))*D97)</f>
        <v xml:space="preserve"> </v>
      </c>
      <c r="G97" s="36"/>
      <c r="H97" s="36"/>
    </row>
    <row r="98" spans="1:8" x14ac:dyDescent="0.2">
      <c r="A98" s="36"/>
      <c r="B98" s="57" t="str">
        <f>IF('Modell-Kalibrierung'!B120=0," ",'Modell-Kalibrierung'!B120)</f>
        <v xml:space="preserve"> </v>
      </c>
      <c r="C98" s="21" t="str">
        <f>IF('Modell-Kalibrierung'!C120=0," ",'Modell-Kalibrierung'!C120)</f>
        <v xml:space="preserve"> </v>
      </c>
      <c r="D98" s="59"/>
      <c r="E98" s="117"/>
      <c r="F98" s="54" t="str">
        <f>IF(C98=" "," ",(VLOOKUP(C98,'Modell-Kalibrierung'!$H$28:$I$32,2,FALSE))*D98)</f>
        <v xml:space="preserve"> </v>
      </c>
      <c r="G98" s="36"/>
      <c r="H98" s="36"/>
    </row>
    <row r="99" spans="1:8" x14ac:dyDescent="0.2">
      <c r="A99" s="36"/>
      <c r="B99" s="57" t="str">
        <f>IF('Modell-Kalibrierung'!B121=0," ",'Modell-Kalibrierung'!B121)</f>
        <v xml:space="preserve"> </v>
      </c>
      <c r="C99" s="21" t="str">
        <f>IF('Modell-Kalibrierung'!C121=0," ",'Modell-Kalibrierung'!C121)</f>
        <v xml:space="preserve"> </v>
      </c>
      <c r="D99" s="59"/>
      <c r="E99" s="117"/>
      <c r="F99" s="54" t="str">
        <f>IF(C99=" "," ",(VLOOKUP(C99,'Modell-Kalibrierung'!$H$28:$I$32,2,FALSE))*D99)</f>
        <v xml:space="preserve"> </v>
      </c>
      <c r="G99" s="36"/>
      <c r="H99" s="36"/>
    </row>
    <row r="100" spans="1:8" x14ac:dyDescent="0.2">
      <c r="A100" s="36"/>
      <c r="B100" s="57" t="str">
        <f>IF('Modell-Kalibrierung'!B122=0," ",'Modell-Kalibrierung'!B122)</f>
        <v xml:space="preserve"> </v>
      </c>
      <c r="C100" s="21" t="str">
        <f>IF('Modell-Kalibrierung'!C122=0," ",'Modell-Kalibrierung'!C122)</f>
        <v xml:space="preserve"> </v>
      </c>
      <c r="D100" s="59"/>
      <c r="E100" s="117"/>
      <c r="F100" s="54" t="str">
        <f>IF(C100=" "," ",(VLOOKUP(C100,'Modell-Kalibrierung'!$H$28:$I$32,2,FALSE))*D100)</f>
        <v xml:space="preserve"> </v>
      </c>
      <c r="G100" s="36"/>
      <c r="H100" s="36"/>
    </row>
    <row r="101" spans="1:8" x14ac:dyDescent="0.2">
      <c r="A101" s="36"/>
      <c r="B101" s="57" t="str">
        <f>IF('Modell-Kalibrierung'!B123=0," ",'Modell-Kalibrierung'!B123)</f>
        <v xml:space="preserve"> </v>
      </c>
      <c r="C101" s="21" t="str">
        <f>IF('Modell-Kalibrierung'!C123=0," ",'Modell-Kalibrierung'!C123)</f>
        <v xml:space="preserve"> </v>
      </c>
      <c r="D101" s="59"/>
      <c r="E101" s="117"/>
      <c r="F101" s="54" t="str">
        <f>IF(C101=" "," ",(VLOOKUP(C101,'Modell-Kalibrierung'!$H$28:$I$32,2,FALSE))*D101)</f>
        <v xml:space="preserve"> </v>
      </c>
      <c r="G101" s="36"/>
      <c r="H101" s="36"/>
    </row>
    <row r="102" spans="1:8" x14ac:dyDescent="0.2">
      <c r="A102" s="36"/>
      <c r="B102" s="57" t="str">
        <f>IF('Modell-Kalibrierung'!B124=0," ",'Modell-Kalibrierung'!B124)</f>
        <v xml:space="preserve"> </v>
      </c>
      <c r="C102" s="21" t="str">
        <f>IF('Modell-Kalibrierung'!C124=0," ",'Modell-Kalibrierung'!C124)</f>
        <v xml:space="preserve"> </v>
      </c>
      <c r="D102" s="59"/>
      <c r="E102" s="117"/>
      <c r="F102" s="54" t="str">
        <f>IF(C102=" "," ",(VLOOKUP(C102,'Modell-Kalibrierung'!$H$28:$I$32,2,FALSE))*D102)</f>
        <v xml:space="preserve"> </v>
      </c>
      <c r="G102" s="36"/>
      <c r="H102" s="36"/>
    </row>
    <row r="103" spans="1:8" x14ac:dyDescent="0.2">
      <c r="A103" s="36"/>
      <c r="B103" s="57" t="str">
        <f>IF('Modell-Kalibrierung'!B125=0," ",'Modell-Kalibrierung'!B125)</f>
        <v xml:space="preserve"> </v>
      </c>
      <c r="C103" s="21" t="str">
        <f>IF('Modell-Kalibrierung'!C125=0," ",'Modell-Kalibrierung'!C125)</f>
        <v xml:space="preserve"> </v>
      </c>
      <c r="D103" s="59"/>
      <c r="E103" s="117"/>
      <c r="F103" s="54" t="str">
        <f>IF(C103=" "," ",(VLOOKUP(C103,'Modell-Kalibrierung'!$H$28:$I$32,2,FALSE))*D103)</f>
        <v xml:space="preserve"> </v>
      </c>
      <c r="G103" s="36"/>
      <c r="H103" s="36"/>
    </row>
    <row r="104" spans="1:8" x14ac:dyDescent="0.2">
      <c r="A104" s="36"/>
      <c r="B104" s="57" t="str">
        <f>IF('Modell-Kalibrierung'!B126=0," ",'Modell-Kalibrierung'!B126)</f>
        <v xml:space="preserve"> </v>
      </c>
      <c r="C104" s="21" t="str">
        <f>IF('Modell-Kalibrierung'!C126=0," ",'Modell-Kalibrierung'!C126)</f>
        <v xml:space="preserve"> </v>
      </c>
      <c r="D104" s="59"/>
      <c r="E104" s="117"/>
      <c r="F104" s="54" t="str">
        <f>IF(C104=" "," ",(VLOOKUP(C104,'Modell-Kalibrierung'!$H$28:$I$32,2,FALSE))*D104)</f>
        <v xml:space="preserve"> </v>
      </c>
      <c r="G104" s="36"/>
      <c r="H104" s="36"/>
    </row>
    <row r="105" spans="1:8" x14ac:dyDescent="0.2">
      <c r="A105" s="36"/>
      <c r="B105" s="57" t="str">
        <f>IF('Modell-Kalibrierung'!B127=0," ",'Modell-Kalibrierung'!B127)</f>
        <v xml:space="preserve"> </v>
      </c>
      <c r="C105" s="21" t="str">
        <f>IF('Modell-Kalibrierung'!C127=0," ",'Modell-Kalibrierung'!C127)</f>
        <v xml:space="preserve"> </v>
      </c>
      <c r="D105" s="59"/>
      <c r="E105" s="117"/>
      <c r="F105" s="54" t="str">
        <f>IF(C105=" "," ",(VLOOKUP(C105,'Modell-Kalibrierung'!$H$28:$I$32,2,FALSE))*D105)</f>
        <v xml:space="preserve"> </v>
      </c>
      <c r="G105" s="36"/>
      <c r="H105" s="36"/>
    </row>
    <row r="106" spans="1:8" x14ac:dyDescent="0.2">
      <c r="A106" s="36"/>
      <c r="B106" s="57" t="str">
        <f>IF('Modell-Kalibrierung'!B128=0," ",'Modell-Kalibrierung'!B128)</f>
        <v xml:space="preserve"> </v>
      </c>
      <c r="C106" s="21" t="str">
        <f>IF('Modell-Kalibrierung'!C128=0," ",'Modell-Kalibrierung'!C128)</f>
        <v xml:space="preserve"> </v>
      </c>
      <c r="D106" s="59"/>
      <c r="E106" s="117"/>
      <c r="F106" s="54" t="str">
        <f>IF(C106=" "," ",(VLOOKUP(C106,'Modell-Kalibrierung'!$H$28:$I$32,2,FALSE))*D106)</f>
        <v xml:space="preserve"> </v>
      </c>
      <c r="G106" s="36"/>
      <c r="H106" s="36"/>
    </row>
    <row r="107" spans="1:8" x14ac:dyDescent="0.2">
      <c r="A107" s="36"/>
      <c r="B107" s="57" t="str">
        <f>IF('Modell-Kalibrierung'!B129=0," ",'Modell-Kalibrierung'!B129)</f>
        <v xml:space="preserve"> </v>
      </c>
      <c r="C107" s="21" t="str">
        <f>IF('Modell-Kalibrierung'!C129=0," ",'Modell-Kalibrierung'!C129)</f>
        <v xml:space="preserve"> </v>
      </c>
      <c r="D107" s="59"/>
      <c r="E107" s="117"/>
      <c r="F107" s="54" t="str">
        <f>IF(C107=" "," ",(VLOOKUP(C107,'Modell-Kalibrierung'!$H$28:$I$32,2,FALSE))*D107)</f>
        <v xml:space="preserve"> </v>
      </c>
      <c r="G107" s="36"/>
      <c r="H107" s="36"/>
    </row>
    <row r="108" spans="1:8" x14ac:dyDescent="0.2">
      <c r="A108" s="36"/>
      <c r="B108" s="57" t="str">
        <f>IF('Modell-Kalibrierung'!B130=0," ",'Modell-Kalibrierung'!B130)</f>
        <v xml:space="preserve"> </v>
      </c>
      <c r="C108" s="21" t="str">
        <f>IF('Modell-Kalibrierung'!C130=0," ",'Modell-Kalibrierung'!C130)</f>
        <v xml:space="preserve"> </v>
      </c>
      <c r="D108" s="59"/>
      <c r="E108" s="117"/>
      <c r="F108" s="54" t="str">
        <f>IF(C108=" "," ",(VLOOKUP(C108,'Modell-Kalibrierung'!$H$28:$I$32,2,FALSE))*D108)</f>
        <v xml:space="preserve"> </v>
      </c>
      <c r="G108" s="36"/>
      <c r="H108" s="36"/>
    </row>
    <row r="109" spans="1:8" x14ac:dyDescent="0.2">
      <c r="A109" s="36"/>
      <c r="B109" s="57" t="str">
        <f>IF('Modell-Kalibrierung'!B131=0," ",'Modell-Kalibrierung'!B131)</f>
        <v xml:space="preserve"> </v>
      </c>
      <c r="C109" s="21" t="str">
        <f>IF('Modell-Kalibrierung'!C131=0," ",'Modell-Kalibrierung'!C131)</f>
        <v xml:space="preserve"> </v>
      </c>
      <c r="D109" s="59"/>
      <c r="E109" s="117"/>
      <c r="F109" s="54" t="str">
        <f>IF(C109=" "," ",(VLOOKUP(C109,'Modell-Kalibrierung'!$H$28:$I$32,2,FALSE))*D109)</f>
        <v xml:space="preserve"> </v>
      </c>
      <c r="G109" s="36"/>
      <c r="H109" s="36"/>
    </row>
    <row r="110" spans="1:8" x14ac:dyDescent="0.2">
      <c r="A110" s="36"/>
      <c r="B110" s="57" t="str">
        <f>IF('Modell-Kalibrierung'!B132=0," ",'Modell-Kalibrierung'!B132)</f>
        <v xml:space="preserve"> </v>
      </c>
      <c r="C110" s="21" t="str">
        <f>IF('Modell-Kalibrierung'!C132=0," ",'Modell-Kalibrierung'!C132)</f>
        <v xml:space="preserve"> </v>
      </c>
      <c r="D110" s="59"/>
      <c r="E110" s="117"/>
      <c r="F110" s="54" t="str">
        <f>IF(C110=" "," ",(VLOOKUP(C110,'Modell-Kalibrierung'!$H$28:$I$32,2,FALSE))*D110)</f>
        <v xml:space="preserve"> </v>
      </c>
      <c r="G110" s="36"/>
      <c r="H110" s="36"/>
    </row>
    <row r="111" spans="1:8" x14ac:dyDescent="0.2">
      <c r="A111" s="36"/>
      <c r="B111" s="57" t="str">
        <f>IF('Modell-Kalibrierung'!B133=0," ",'Modell-Kalibrierung'!B133)</f>
        <v xml:space="preserve"> </v>
      </c>
      <c r="C111" s="21" t="str">
        <f>IF('Modell-Kalibrierung'!C133=0," ",'Modell-Kalibrierung'!C133)</f>
        <v xml:space="preserve"> </v>
      </c>
      <c r="D111" s="59"/>
      <c r="E111" s="117"/>
      <c r="F111" s="54" t="str">
        <f>IF(C111=" "," ",(VLOOKUP(C111,'Modell-Kalibrierung'!$H$28:$I$32,2,FALSE))*D111)</f>
        <v xml:space="preserve"> </v>
      </c>
      <c r="G111" s="36"/>
      <c r="H111" s="36"/>
    </row>
    <row r="112" spans="1:8" x14ac:dyDescent="0.2">
      <c r="A112" s="36"/>
      <c r="B112" s="57" t="str">
        <f>IF('Modell-Kalibrierung'!B134=0," ",'Modell-Kalibrierung'!B134)</f>
        <v xml:space="preserve"> </v>
      </c>
      <c r="C112" s="21" t="str">
        <f>IF('Modell-Kalibrierung'!C134=0," ",'Modell-Kalibrierung'!C134)</f>
        <v xml:space="preserve"> </v>
      </c>
      <c r="D112" s="59"/>
      <c r="E112" s="117"/>
      <c r="F112" s="54" t="str">
        <f>IF(C112=" "," ",(VLOOKUP(C112,'Modell-Kalibrierung'!$H$28:$I$32,2,FALSE))*D112)</f>
        <v xml:space="preserve"> </v>
      </c>
      <c r="G112" s="36"/>
      <c r="H112" s="36"/>
    </row>
    <row r="113" spans="1:8" x14ac:dyDescent="0.2">
      <c r="A113" s="36"/>
      <c r="B113" s="57" t="str">
        <f>IF('Modell-Kalibrierung'!B135=0," ",'Modell-Kalibrierung'!B135)</f>
        <v xml:space="preserve"> </v>
      </c>
      <c r="C113" s="21" t="str">
        <f>IF('Modell-Kalibrierung'!C135=0," ",'Modell-Kalibrierung'!C135)</f>
        <v xml:space="preserve"> </v>
      </c>
      <c r="D113" s="59"/>
      <c r="E113" s="117"/>
      <c r="F113" s="54" t="str">
        <f>IF(C113=" "," ",(VLOOKUP(C113,'Modell-Kalibrierung'!$H$28:$I$32,2,FALSE))*D113)</f>
        <v xml:space="preserve"> </v>
      </c>
      <c r="G113" s="36"/>
      <c r="H113" s="36"/>
    </row>
    <row r="114" spans="1:8" x14ac:dyDescent="0.2">
      <c r="A114" s="36"/>
      <c r="B114" s="57" t="str">
        <f>IF('Modell-Kalibrierung'!B136=0," ",'Modell-Kalibrierung'!B136)</f>
        <v xml:space="preserve"> </v>
      </c>
      <c r="C114" s="21" t="str">
        <f>IF('Modell-Kalibrierung'!C136=0," ",'Modell-Kalibrierung'!C136)</f>
        <v xml:space="preserve"> </v>
      </c>
      <c r="D114" s="59"/>
      <c r="E114" s="117"/>
      <c r="F114" s="54" t="str">
        <f>IF(C114=" "," ",(VLOOKUP(C114,'Modell-Kalibrierung'!$H$28:$I$32,2,FALSE))*D114)</f>
        <v xml:space="preserve"> </v>
      </c>
      <c r="G114" s="36"/>
      <c r="H114" s="36"/>
    </row>
    <row r="115" spans="1:8" x14ac:dyDescent="0.2">
      <c r="A115" s="36"/>
      <c r="B115" s="57" t="str">
        <f>IF('Modell-Kalibrierung'!B137=0," ",'Modell-Kalibrierung'!B137)</f>
        <v xml:space="preserve"> </v>
      </c>
      <c r="C115" s="21" t="str">
        <f>IF('Modell-Kalibrierung'!C137=0," ",'Modell-Kalibrierung'!C137)</f>
        <v xml:space="preserve"> </v>
      </c>
      <c r="D115" s="59"/>
      <c r="E115" s="117"/>
      <c r="F115" s="54" t="str">
        <f>IF(C115=" "," ",(VLOOKUP(C115,'Modell-Kalibrierung'!$H$28:$I$32,2,FALSE))*D115)</f>
        <v xml:space="preserve"> </v>
      </c>
      <c r="G115" s="36"/>
      <c r="H115" s="36"/>
    </row>
    <row r="116" spans="1:8" x14ac:dyDescent="0.2">
      <c r="A116" s="36"/>
      <c r="B116" s="57" t="str">
        <f>IF('Modell-Kalibrierung'!B138=0," ",'Modell-Kalibrierung'!B138)</f>
        <v xml:space="preserve"> </v>
      </c>
      <c r="C116" s="21" t="str">
        <f>IF('Modell-Kalibrierung'!C138=0," ",'Modell-Kalibrierung'!C138)</f>
        <v xml:space="preserve"> </v>
      </c>
      <c r="D116" s="59"/>
      <c r="E116" s="117"/>
      <c r="F116" s="54" t="str">
        <f>IF(C116=" "," ",(VLOOKUP(C116,'Modell-Kalibrierung'!$H$28:$I$32,2,FALSE))*D116)</f>
        <v xml:space="preserve"> </v>
      </c>
      <c r="G116" s="36"/>
      <c r="H116" s="36"/>
    </row>
    <row r="117" spans="1:8" x14ac:dyDescent="0.2">
      <c r="A117" s="36"/>
      <c r="B117" s="57" t="str">
        <f>IF('Modell-Kalibrierung'!B139=0," ",'Modell-Kalibrierung'!B139)</f>
        <v xml:space="preserve"> </v>
      </c>
      <c r="C117" s="21" t="str">
        <f>IF('Modell-Kalibrierung'!C139=0," ",'Modell-Kalibrierung'!C139)</f>
        <v xml:space="preserve"> </v>
      </c>
      <c r="D117" s="59"/>
      <c r="E117" s="117"/>
      <c r="F117" s="54" t="str">
        <f>IF(C117=" "," ",(VLOOKUP(C117,'Modell-Kalibrierung'!$H$28:$I$32,2,FALSE))*D117)</f>
        <v xml:space="preserve"> </v>
      </c>
      <c r="G117" s="36"/>
      <c r="H117" s="36"/>
    </row>
    <row r="118" spans="1:8" x14ac:dyDescent="0.2">
      <c r="A118" s="36"/>
      <c r="B118" s="57" t="str">
        <f>IF('Modell-Kalibrierung'!B140=0," ",'Modell-Kalibrierung'!B140)</f>
        <v xml:space="preserve"> </v>
      </c>
      <c r="C118" s="21" t="str">
        <f>IF('Modell-Kalibrierung'!C140=0," ",'Modell-Kalibrierung'!C140)</f>
        <v xml:space="preserve"> </v>
      </c>
      <c r="D118" s="59"/>
      <c r="E118" s="117"/>
      <c r="F118" s="54" t="str">
        <f>IF(C118=" "," ",(VLOOKUP(C118,'Modell-Kalibrierung'!$H$28:$I$32,2,FALSE))*D118)</f>
        <v xml:space="preserve"> </v>
      </c>
      <c r="G118" s="36"/>
      <c r="H118" s="36"/>
    </row>
    <row r="119" spans="1:8" x14ac:dyDescent="0.2">
      <c r="A119" s="36"/>
      <c r="B119" s="36"/>
      <c r="C119" s="36"/>
      <c r="D119" s="44"/>
      <c r="E119" s="54"/>
      <c r="F119" s="36"/>
      <c r="G119" s="36"/>
      <c r="H119" s="36"/>
    </row>
    <row r="120" spans="1:8" x14ac:dyDescent="0.2">
      <c r="A120" s="36"/>
      <c r="B120" s="36"/>
      <c r="C120" s="36"/>
      <c r="D120" s="44"/>
      <c r="E120" s="54"/>
      <c r="F120" s="36"/>
      <c r="G120" s="36"/>
      <c r="H120" s="36"/>
    </row>
    <row r="121" spans="1:8" x14ac:dyDescent="0.2">
      <c r="A121" s="36"/>
      <c r="B121" s="36"/>
      <c r="C121" s="36"/>
      <c r="D121" s="44"/>
      <c r="E121" s="54"/>
      <c r="F121" s="36"/>
      <c r="G121" s="36"/>
      <c r="H121" s="36"/>
    </row>
    <row r="122" spans="1:8" x14ac:dyDescent="0.2">
      <c r="A122" s="36"/>
      <c r="B122" s="36"/>
      <c r="C122" s="36"/>
      <c r="D122" s="44"/>
      <c r="E122" s="54"/>
      <c r="F122" s="36"/>
      <c r="G122" s="36"/>
      <c r="H122" s="36"/>
    </row>
    <row r="123" spans="1:8" x14ac:dyDescent="0.2">
      <c r="A123" s="36"/>
      <c r="B123" s="36"/>
      <c r="C123" s="36"/>
      <c r="D123" s="44"/>
      <c r="E123" s="54"/>
      <c r="F123" s="36"/>
      <c r="G123" s="36"/>
      <c r="H123" s="36"/>
    </row>
    <row r="124" spans="1:8" x14ac:dyDescent="0.2">
      <c r="A124" s="36"/>
      <c r="B124" s="36"/>
      <c r="C124" s="36"/>
      <c r="D124" s="44"/>
      <c r="E124" s="54"/>
      <c r="F124" s="36"/>
      <c r="G124" s="36"/>
      <c r="H124" s="36"/>
    </row>
    <row r="125" spans="1:8" x14ac:dyDescent="0.2">
      <c r="A125" s="36"/>
      <c r="B125" s="36"/>
      <c r="C125" s="36"/>
      <c r="D125" s="44"/>
      <c r="E125" s="54"/>
      <c r="F125" s="36"/>
      <c r="G125" s="36"/>
      <c r="H125" s="36"/>
    </row>
    <row r="126" spans="1:8" x14ac:dyDescent="0.2">
      <c r="D126" s="13"/>
    </row>
    <row r="127" spans="1:8" x14ac:dyDescent="0.2">
      <c r="D127" s="13"/>
    </row>
    <row r="128" spans="1:8" x14ac:dyDescent="0.2">
      <c r="D128" s="13"/>
    </row>
    <row r="129" spans="4:4" x14ac:dyDescent="0.2">
      <c r="D129" s="13"/>
    </row>
    <row r="130" spans="4:4" x14ac:dyDescent="0.2">
      <c r="D130" s="13"/>
    </row>
    <row r="131" spans="4:4" x14ac:dyDescent="0.2">
      <c r="D131" s="13"/>
    </row>
    <row r="132" spans="4:4" x14ac:dyDescent="0.2">
      <c r="D132" s="13"/>
    </row>
    <row r="133" spans="4:4" x14ac:dyDescent="0.2">
      <c r="D133" s="13"/>
    </row>
    <row r="134" spans="4:4" x14ac:dyDescent="0.2">
      <c r="D134" s="13"/>
    </row>
    <row r="135" spans="4:4" x14ac:dyDescent="0.2">
      <c r="D135" s="13"/>
    </row>
    <row r="136" spans="4:4" x14ac:dyDescent="0.2">
      <c r="D136" s="13"/>
    </row>
    <row r="137" spans="4:4" x14ac:dyDescent="0.2">
      <c r="D137" s="13"/>
    </row>
    <row r="138" spans="4:4" x14ac:dyDescent="0.2">
      <c r="D138" s="13"/>
    </row>
    <row r="139" spans="4:4" x14ac:dyDescent="0.2">
      <c r="D139" s="13"/>
    </row>
    <row r="140" spans="4:4" x14ac:dyDescent="0.2">
      <c r="D140" s="13"/>
    </row>
    <row r="141" spans="4:4" x14ac:dyDescent="0.2">
      <c r="D141" s="13"/>
    </row>
    <row r="142" spans="4:4" x14ac:dyDescent="0.2">
      <c r="D142" s="13"/>
    </row>
    <row r="143" spans="4:4" x14ac:dyDescent="0.2">
      <c r="D143" s="13"/>
    </row>
    <row r="144" spans="4:4" x14ac:dyDescent="0.2">
      <c r="D144" s="13"/>
    </row>
    <row r="145" spans="4:4" x14ac:dyDescent="0.2">
      <c r="D145" s="13"/>
    </row>
    <row r="146" spans="4:4" x14ac:dyDescent="0.2">
      <c r="D146" s="13"/>
    </row>
    <row r="147" spans="4:4" x14ac:dyDescent="0.2">
      <c r="D147" s="13"/>
    </row>
    <row r="148" spans="4:4" x14ac:dyDescent="0.2">
      <c r="D148" s="13"/>
    </row>
    <row r="149" spans="4:4" x14ac:dyDescent="0.2">
      <c r="D149" s="13"/>
    </row>
    <row r="150" spans="4:4" x14ac:dyDescent="0.2">
      <c r="D150" s="13"/>
    </row>
    <row r="151" spans="4:4" x14ac:dyDescent="0.2">
      <c r="D151" s="13"/>
    </row>
    <row r="152" spans="4:4" x14ac:dyDescent="0.2">
      <c r="D152" s="13"/>
    </row>
    <row r="153" spans="4:4" x14ac:dyDescent="0.2">
      <c r="D153" s="13"/>
    </row>
    <row r="154" spans="4:4" x14ac:dyDescent="0.2">
      <c r="D154" s="13"/>
    </row>
    <row r="155" spans="4:4" x14ac:dyDescent="0.2">
      <c r="D155" s="13"/>
    </row>
    <row r="156" spans="4:4" x14ac:dyDescent="0.2">
      <c r="D156" s="13"/>
    </row>
    <row r="157" spans="4:4" x14ac:dyDescent="0.2">
      <c r="D157" s="13"/>
    </row>
    <row r="158" spans="4:4" x14ac:dyDescent="0.2">
      <c r="D158" s="13"/>
    </row>
    <row r="159" spans="4:4" x14ac:dyDescent="0.2">
      <c r="D159" s="13"/>
    </row>
    <row r="160" spans="4:4" x14ac:dyDescent="0.2">
      <c r="D160" s="13"/>
    </row>
    <row r="161" spans="4:4" x14ac:dyDescent="0.2">
      <c r="D161" s="13"/>
    </row>
    <row r="162" spans="4:4" x14ac:dyDescent="0.2">
      <c r="D162" s="13"/>
    </row>
    <row r="163" spans="4:4" x14ac:dyDescent="0.2">
      <c r="D163" s="13"/>
    </row>
    <row r="164" spans="4:4" x14ac:dyDescent="0.2">
      <c r="D164" s="13"/>
    </row>
    <row r="165" spans="4:4" x14ac:dyDescent="0.2">
      <c r="D165" s="13"/>
    </row>
    <row r="166" spans="4:4" x14ac:dyDescent="0.2">
      <c r="D166" s="13"/>
    </row>
    <row r="167" spans="4:4" x14ac:dyDescent="0.2">
      <c r="D167" s="13"/>
    </row>
    <row r="168" spans="4:4" x14ac:dyDescent="0.2">
      <c r="D168" s="13"/>
    </row>
    <row r="169" spans="4:4" x14ac:dyDescent="0.2">
      <c r="D169" s="13"/>
    </row>
    <row r="170" spans="4:4" x14ac:dyDescent="0.2">
      <c r="D170" s="13"/>
    </row>
    <row r="171" spans="4:4" x14ac:dyDescent="0.2">
      <c r="D171" s="13"/>
    </row>
    <row r="172" spans="4:4" x14ac:dyDescent="0.2">
      <c r="D172" s="13"/>
    </row>
    <row r="173" spans="4:4" x14ac:dyDescent="0.2">
      <c r="D173" s="13"/>
    </row>
    <row r="174" spans="4:4" x14ac:dyDescent="0.2">
      <c r="D174" s="13"/>
    </row>
    <row r="175" spans="4:4" x14ac:dyDescent="0.2">
      <c r="D175" s="13"/>
    </row>
    <row r="176" spans="4:4" x14ac:dyDescent="0.2">
      <c r="D176" s="13"/>
    </row>
    <row r="177" spans="4:4" x14ac:dyDescent="0.2">
      <c r="D177" s="13"/>
    </row>
    <row r="178" spans="4:4" x14ac:dyDescent="0.2">
      <c r="D178" s="13"/>
    </row>
    <row r="179" spans="4:4" x14ac:dyDescent="0.2">
      <c r="D179" s="13"/>
    </row>
    <row r="180" spans="4:4" x14ac:dyDescent="0.2">
      <c r="D180" s="13"/>
    </row>
    <row r="181" spans="4:4" x14ac:dyDescent="0.2">
      <c r="D181" s="13"/>
    </row>
    <row r="182" spans="4:4" x14ac:dyDescent="0.2">
      <c r="D182" s="13"/>
    </row>
    <row r="183" spans="4:4" x14ac:dyDescent="0.2">
      <c r="D183" s="13"/>
    </row>
    <row r="184" spans="4:4" x14ac:dyDescent="0.2">
      <c r="D184" s="13"/>
    </row>
    <row r="185" spans="4:4" x14ac:dyDescent="0.2">
      <c r="D185" s="13"/>
    </row>
    <row r="186" spans="4:4" x14ac:dyDescent="0.2">
      <c r="D186" s="13"/>
    </row>
    <row r="187" spans="4:4" x14ac:dyDescent="0.2">
      <c r="D187" s="13"/>
    </row>
    <row r="188" spans="4:4" x14ac:dyDescent="0.2">
      <c r="D188" s="13"/>
    </row>
    <row r="189" spans="4:4" x14ac:dyDescent="0.2">
      <c r="D189" s="13"/>
    </row>
    <row r="190" spans="4:4" x14ac:dyDescent="0.2">
      <c r="D190" s="13"/>
    </row>
    <row r="191" spans="4:4" x14ac:dyDescent="0.2">
      <c r="D191" s="13"/>
    </row>
    <row r="192" spans="4:4" x14ac:dyDescent="0.2">
      <c r="D192" s="13"/>
    </row>
    <row r="193" spans="4:4" x14ac:dyDescent="0.2">
      <c r="D193" s="13"/>
    </row>
    <row r="194" spans="4:4" x14ac:dyDescent="0.2">
      <c r="D194" s="13"/>
    </row>
    <row r="195" spans="4:4" x14ac:dyDescent="0.2">
      <c r="D195" s="13"/>
    </row>
    <row r="196" spans="4:4" x14ac:dyDescent="0.2">
      <c r="D196" s="13"/>
    </row>
    <row r="197" spans="4:4" x14ac:dyDescent="0.2">
      <c r="D197" s="13"/>
    </row>
    <row r="198" spans="4:4" x14ac:dyDescent="0.2">
      <c r="D198" s="13"/>
    </row>
    <row r="199" spans="4:4" x14ac:dyDescent="0.2">
      <c r="D199" s="13"/>
    </row>
    <row r="200" spans="4:4" x14ac:dyDescent="0.2">
      <c r="D200" s="13"/>
    </row>
    <row r="201" spans="4:4" x14ac:dyDescent="0.2">
      <c r="D201" s="13"/>
    </row>
    <row r="202" spans="4:4" x14ac:dyDescent="0.2">
      <c r="D202" s="13"/>
    </row>
    <row r="203" spans="4:4" x14ac:dyDescent="0.2">
      <c r="D203" s="13"/>
    </row>
    <row r="204" spans="4:4" x14ac:dyDescent="0.2">
      <c r="D204" s="13"/>
    </row>
    <row r="205" spans="4:4" x14ac:dyDescent="0.2">
      <c r="D205" s="13"/>
    </row>
    <row r="206" spans="4:4" x14ac:dyDescent="0.2">
      <c r="D206" s="13"/>
    </row>
    <row r="207" spans="4:4" x14ac:dyDescent="0.2">
      <c r="D207" s="13"/>
    </row>
    <row r="208" spans="4:4" x14ac:dyDescent="0.2">
      <c r="D208" s="13"/>
    </row>
    <row r="209" spans="4:4" x14ac:dyDescent="0.2">
      <c r="D209" s="13"/>
    </row>
    <row r="210" spans="4:4" x14ac:dyDescent="0.2">
      <c r="D210" s="13"/>
    </row>
    <row r="211" spans="4:4" x14ac:dyDescent="0.2">
      <c r="D211" s="13"/>
    </row>
    <row r="212" spans="4:4" x14ac:dyDescent="0.2">
      <c r="D212" s="13"/>
    </row>
    <row r="213" spans="4:4" x14ac:dyDescent="0.2">
      <c r="D213" s="13"/>
    </row>
    <row r="214" spans="4:4" x14ac:dyDescent="0.2">
      <c r="D214" s="13"/>
    </row>
    <row r="215" spans="4:4" x14ac:dyDescent="0.2">
      <c r="D215" s="13"/>
    </row>
    <row r="216" spans="4:4" x14ac:dyDescent="0.2">
      <c r="D216" s="13"/>
    </row>
    <row r="217" spans="4:4" x14ac:dyDescent="0.2">
      <c r="D217" s="13"/>
    </row>
    <row r="218" spans="4:4" x14ac:dyDescent="0.2">
      <c r="D218" s="13"/>
    </row>
    <row r="219" spans="4:4" x14ac:dyDescent="0.2">
      <c r="D219" s="13"/>
    </row>
    <row r="220" spans="4:4" x14ac:dyDescent="0.2">
      <c r="D220" s="13"/>
    </row>
    <row r="221" spans="4:4" x14ac:dyDescent="0.2">
      <c r="D221" s="13"/>
    </row>
    <row r="222" spans="4:4" x14ac:dyDescent="0.2">
      <c r="D222" s="13"/>
    </row>
    <row r="223" spans="4:4" x14ac:dyDescent="0.2">
      <c r="D223" s="13"/>
    </row>
    <row r="224" spans="4:4" x14ac:dyDescent="0.2">
      <c r="D224" s="13"/>
    </row>
    <row r="225" spans="4:4" x14ac:dyDescent="0.2">
      <c r="D225" s="13"/>
    </row>
    <row r="226" spans="4:4" x14ac:dyDescent="0.2">
      <c r="D226" s="13"/>
    </row>
    <row r="227" spans="4:4" x14ac:dyDescent="0.2">
      <c r="D227" s="13"/>
    </row>
    <row r="228" spans="4:4" x14ac:dyDescent="0.2">
      <c r="D228" s="13"/>
    </row>
    <row r="229" spans="4:4" x14ac:dyDescent="0.2">
      <c r="D229" s="13"/>
    </row>
    <row r="230" spans="4:4" x14ac:dyDescent="0.2">
      <c r="D230" s="13"/>
    </row>
    <row r="231" spans="4:4" x14ac:dyDescent="0.2">
      <c r="D231" s="13"/>
    </row>
    <row r="232" spans="4:4" x14ac:dyDescent="0.2">
      <c r="D232" s="13"/>
    </row>
    <row r="233" spans="4:4" x14ac:dyDescent="0.2">
      <c r="D233" s="13"/>
    </row>
    <row r="234" spans="4:4" x14ac:dyDescent="0.2">
      <c r="D234" s="13"/>
    </row>
    <row r="235" spans="4:4" x14ac:dyDescent="0.2">
      <c r="D235" s="13"/>
    </row>
    <row r="236" spans="4:4" x14ac:dyDescent="0.2">
      <c r="D236" s="13"/>
    </row>
    <row r="237" spans="4:4" x14ac:dyDescent="0.2">
      <c r="D237" s="13"/>
    </row>
    <row r="238" spans="4:4" x14ac:dyDescent="0.2">
      <c r="D238" s="13"/>
    </row>
    <row r="239" spans="4:4" x14ac:dyDescent="0.2">
      <c r="D239" s="13"/>
    </row>
    <row r="240" spans="4:4" x14ac:dyDescent="0.2">
      <c r="D240" s="13"/>
    </row>
    <row r="241" spans="4:4" x14ac:dyDescent="0.2">
      <c r="D241" s="13"/>
    </row>
    <row r="242" spans="4:4" x14ac:dyDescent="0.2">
      <c r="D242" s="13"/>
    </row>
    <row r="243" spans="4:4" x14ac:dyDescent="0.2">
      <c r="D243" s="13"/>
    </row>
    <row r="244" spans="4:4" x14ac:dyDescent="0.2">
      <c r="D244" s="13"/>
    </row>
    <row r="245" spans="4:4" x14ac:dyDescent="0.2">
      <c r="D245" s="13"/>
    </row>
    <row r="246" spans="4:4" x14ac:dyDescent="0.2">
      <c r="D246" s="13"/>
    </row>
    <row r="247" spans="4:4" x14ac:dyDescent="0.2">
      <c r="D247" s="13"/>
    </row>
    <row r="248" spans="4:4" x14ac:dyDescent="0.2">
      <c r="D248" s="13"/>
    </row>
    <row r="249" spans="4:4" x14ac:dyDescent="0.2">
      <c r="D249" s="13"/>
    </row>
  </sheetData>
  <sheetProtection sheet="1" objects="1" scenarios="1" selectLockedCells="1"/>
  <mergeCells count="2">
    <mergeCell ref="B1:H1"/>
    <mergeCell ref="G6:H6"/>
  </mergeCells>
  <pageMargins left="0.7" right="0.7" top="0.78740157499999996" bottom="0.78740157499999996" header="0.3" footer="0.3"/>
  <pageSetup paperSize="8" scale="62" orientation="portrait" r:id="rId1"/>
  <drawing r:id="rId2"/>
  <legacyDrawing r:id="rId3"/>
  <controls>
    <mc:AlternateContent xmlns:mc="http://schemas.openxmlformats.org/markup-compatibility/2006">
      <mc:Choice Requires="x14">
        <control shapeId="130049" r:id="rId4" name="ComboBox1">
          <controlPr defaultSize="0" autoLine="0" r:id="rId5">
            <anchor moveWithCells="1">
              <from>
                <xdr:col>1</xdr:col>
                <xdr:colOff>1600200</xdr:colOff>
                <xdr:row>0</xdr:row>
                <xdr:rowOff>28575</xdr:rowOff>
              </from>
              <to>
                <xdr:col>1</xdr:col>
                <xdr:colOff>3400425</xdr:colOff>
                <xdr:row>0</xdr:row>
                <xdr:rowOff>657225</xdr:rowOff>
              </to>
            </anchor>
          </controlPr>
        </control>
      </mc:Choice>
      <mc:Fallback>
        <control shapeId="130049" r:id="rId4" name="ComboBox1"/>
      </mc:Fallback>
    </mc:AlternateContent>
    <mc:AlternateContent xmlns:mc="http://schemas.openxmlformats.org/markup-compatibility/2006">
      <mc:Choice Requires="x14">
        <control shapeId="130050" r:id="rId6" name="Löschbutton">
          <controlPr defaultSize="0" autoLine="0" r:id="rId7">
            <anchor moveWithCells="1">
              <from>
                <xdr:col>0</xdr:col>
                <xdr:colOff>123825</xdr:colOff>
                <xdr:row>0</xdr:row>
                <xdr:rowOff>28575</xdr:rowOff>
              </from>
              <to>
                <xdr:col>1</xdr:col>
                <xdr:colOff>1524000</xdr:colOff>
                <xdr:row>0</xdr:row>
                <xdr:rowOff>657225</xdr:rowOff>
              </to>
            </anchor>
          </controlPr>
        </control>
      </mc:Choice>
      <mc:Fallback>
        <control shapeId="130050" r:id="rId6" name="Löschbutton"/>
      </mc:Fallback>
    </mc:AlternateContent>
    <mc:AlternateContent xmlns:mc="http://schemas.openxmlformats.org/markup-compatibility/2006">
      <mc:Choice Requires="x14">
        <control shapeId="130051" r:id="rId8" name="Portfolioview">
          <controlPr defaultSize="0" autoLine="0" r:id="rId9">
            <anchor moveWithCells="1">
              <from>
                <xdr:col>1</xdr:col>
                <xdr:colOff>1600200</xdr:colOff>
                <xdr:row>0</xdr:row>
                <xdr:rowOff>28575</xdr:rowOff>
              </from>
              <to>
                <xdr:col>1</xdr:col>
                <xdr:colOff>3238500</xdr:colOff>
                <xdr:row>0</xdr:row>
                <xdr:rowOff>657225</xdr:rowOff>
              </to>
            </anchor>
          </controlPr>
        </control>
      </mc:Choice>
      <mc:Fallback>
        <control shapeId="130051" r:id="rId8" name="Portfolioview"/>
      </mc:Fallback>
    </mc:AlternateContent>
  </controls>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'Modell-Kalibrierung'!$E$29:$E$36</xm:f>
          </x14:formula1>
          <xm:sqref>D7:D59</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6">
    <tabColor rgb="FF00B050"/>
    <pageSetUpPr fitToPage="1"/>
  </sheetPr>
  <dimension ref="A1:AJ189"/>
  <sheetViews>
    <sheetView view="pageBreakPreview" zoomScale="55" zoomScaleNormal="55" zoomScaleSheetLayoutView="55" zoomScalePageLayoutView="50" workbookViewId="0">
      <pane ySplit="32" topLeftCell="A33" activePane="bottomLeft" state="frozen"/>
      <selection activeCell="D31" sqref="D31"/>
      <selection pane="bottomLeft" activeCell="L35" sqref="L35"/>
    </sheetView>
  </sheetViews>
  <sheetFormatPr baseColWidth="10" defaultRowHeight="14.25" x14ac:dyDescent="0.2"/>
  <cols>
    <col min="1" max="1" width="3.75" customWidth="1"/>
    <col min="2" max="2" width="37.25" customWidth="1"/>
    <col min="3" max="3" width="44.125" customWidth="1"/>
    <col min="4" max="4" width="44.75" customWidth="1"/>
    <col min="5" max="5" width="38.75" customWidth="1"/>
    <col min="6" max="6" width="37.125" customWidth="1"/>
    <col min="7" max="7" width="26.375" customWidth="1"/>
    <col min="8" max="8" width="26.625" customWidth="1"/>
    <col min="9" max="9" width="26.375" customWidth="1"/>
    <col min="10" max="10" width="35.75" customWidth="1"/>
    <col min="11" max="11" width="15.25" bestFit="1" customWidth="1"/>
    <col min="12" max="12" width="62.375" bestFit="1" customWidth="1"/>
    <col min="13" max="13" width="3.75" style="54" customWidth="1"/>
    <col min="14" max="14" width="4.125" style="54" customWidth="1"/>
    <col min="15" max="15" width="11" style="99"/>
    <col min="16" max="16" width="17.875" style="99" customWidth="1"/>
    <col min="17" max="17" width="13.75" style="99" bestFit="1" customWidth="1"/>
    <col min="18" max="18" width="18.125" style="99" bestFit="1" customWidth="1"/>
    <col min="19" max="19" width="16.5" style="99" bestFit="1" customWidth="1"/>
    <col min="20" max="20" width="11" style="99"/>
    <col min="21" max="21" width="17.375" style="99" customWidth="1"/>
    <col min="22" max="23" width="11" style="99"/>
    <col min="24" max="24" width="22.125" style="99" bestFit="1" customWidth="1"/>
    <col min="25" max="25" width="18" style="99" customWidth="1"/>
    <col min="26" max="31" width="11" style="99"/>
  </cols>
  <sheetData>
    <row r="1" spans="1:16" s="100" customFormat="1" ht="46.5" hidden="1" customHeight="1" x14ac:dyDescent="0.2">
      <c r="B1" s="101" t="str">
        <f>B33</f>
        <v xml:space="preserve">Gesetzgebung </v>
      </c>
      <c r="C1" s="101" t="str">
        <f>B39</f>
        <v>politische Stabilität/ Rechtssicherheit</v>
      </c>
      <c r="D1" s="101" t="str">
        <f>B45</f>
        <v xml:space="preserve">Handelshemmnisse (Zölle/ Schranken/ regolatorische Hemmnisse ...) </v>
      </c>
      <c r="E1" s="101" t="str">
        <f>B51</f>
        <v xml:space="preserve">Wirtschaftswachstum </v>
      </c>
      <c r="F1" s="101" t="str">
        <f>B57</f>
        <v xml:space="preserve">Inflation, Zinsen, Wechselkurse </v>
      </c>
      <c r="G1" s="101" t="str">
        <f>B63</f>
        <v xml:space="preserve">Arbeitsmarkt (Quantität/ Qualität ...) </v>
      </c>
      <c r="H1" s="101" t="str">
        <f>B69</f>
        <v xml:space="preserve">Globalisierung/ Internationalisierung </v>
      </c>
      <c r="I1" s="101" t="str">
        <f>B75</f>
        <v xml:space="preserve">Ressourcenverfügbarkeit </v>
      </c>
      <c r="J1" s="101" t="str">
        <f>B81</f>
        <v xml:space="preserve">Werte </v>
      </c>
      <c r="K1" s="101" t="str">
        <f>B87</f>
        <v xml:space="preserve">Lebensstil/ Mentalitäten </v>
      </c>
      <c r="L1" s="101" t="str">
        <f>B93</f>
        <v>Bildung</v>
      </c>
      <c r="M1" s="100" t="str">
        <f>B99</f>
        <v xml:space="preserve">Forschung </v>
      </c>
      <c r="N1" s="102" t="str">
        <f>B105</f>
        <v xml:space="preserve">neue Technologien und Produkte </v>
      </c>
      <c r="O1" s="102" t="str">
        <f>B111</f>
        <v>neue Prozesse</v>
      </c>
      <c r="P1" s="102" t="str">
        <f>B117</f>
        <v>Produktlebenszyklen</v>
      </c>
    </row>
    <row r="2" spans="1:16" s="100" customFormat="1" hidden="1" x14ac:dyDescent="0.2">
      <c r="A2" s="100" t="str">
        <f>'Modell-Kalibrierung'!B16</f>
        <v>nicht vorhanden</v>
      </c>
      <c r="B2" s="100">
        <f t="shared" ref="B2:B8" si="0">COUNTIF(G$33:G$37,A2)+COUNTIF(I$33:I$37,A2)</f>
        <v>0</v>
      </c>
      <c r="C2" s="100">
        <f t="shared" ref="C2:C8" si="1">COUNTIF(G$39:G$43,A2)+COUNTIF(I$39:I$43,A2)</f>
        <v>0</v>
      </c>
      <c r="D2" s="100">
        <f t="shared" ref="D2:D8" si="2">COUNTIF(G$45:G$49,A2)+COUNTIF(I$45:I$49,A2)</f>
        <v>0</v>
      </c>
      <c r="E2" s="100">
        <f t="shared" ref="E2:E8" si="3">COUNTIF(G$51:G$55,A2)+COUNTIF(I$51:I$55,A2)</f>
        <v>0</v>
      </c>
      <c r="F2" s="100">
        <f t="shared" ref="F2:F8" si="4">COUNTIF(G$57:G$61,A2)+COUNTIF(I$57:I$61,A2)</f>
        <v>0</v>
      </c>
      <c r="G2" s="100">
        <f t="shared" ref="G2:G8" si="5">COUNTIF(G$63:G$67,A2)+COUNTIF(I$63:I$67,A2)</f>
        <v>0</v>
      </c>
      <c r="H2" s="100">
        <f t="shared" ref="H2:H8" si="6">COUNTIF(G$69:G$73,A2)+COUNTIF(I$69:I$73,A2)</f>
        <v>0</v>
      </c>
      <c r="I2" s="100">
        <f t="shared" ref="I2:I8" si="7">COUNTIF(G$75:G$79,A2)+COUNTIF(I$75:I$79,A2)</f>
        <v>0</v>
      </c>
      <c r="J2" s="100">
        <f t="shared" ref="J2:J8" si="8">COUNTIF(G$81:G$85,A2)+COUNTIF(I$81:I$85,A2)</f>
        <v>0</v>
      </c>
      <c r="K2" s="100">
        <f t="shared" ref="K2:K8" si="9">COUNTIF(G$87:G$91,A2)+COUNTIF(I$87:I$91,A2)</f>
        <v>0</v>
      </c>
      <c r="L2" s="100">
        <f t="shared" ref="L2:L8" si="10">COUNTIF(G$93:G$97,A2)+COUNTIF(I$93:I$97,A2)</f>
        <v>0</v>
      </c>
      <c r="M2" s="100">
        <f t="shared" ref="M2:M8" si="11">COUNTIF(G$99:G$103,A2)+COUNTIF(I$99:I$103,A2)</f>
        <v>0</v>
      </c>
      <c r="N2" s="100">
        <f t="shared" ref="N2:N8" si="12">COUNTIF(G$105:G$109,A2)+COUNTIF(I$105:I$109,A2)</f>
        <v>0</v>
      </c>
      <c r="O2" s="100">
        <f t="shared" ref="O2:O8" si="13">COUNTIF(G$111:G$115,A2)+COUNTIF(I$111:I$115,A2)</f>
        <v>0</v>
      </c>
      <c r="P2" s="100">
        <f t="shared" ref="P2:P8" si="14">COUNTIF(G$117:G$121,A2)+COUNTIF(I$117:I$121,A2)</f>
        <v>0</v>
      </c>
    </row>
    <row r="3" spans="1:16" s="100" customFormat="1" hidden="1" x14ac:dyDescent="0.2">
      <c r="A3" s="100" t="str">
        <f>'Modell-Kalibrierung'!B17</f>
        <v>sehr gering</v>
      </c>
      <c r="B3" s="100">
        <f t="shared" si="0"/>
        <v>0</v>
      </c>
      <c r="C3" s="100">
        <f t="shared" si="1"/>
        <v>0</v>
      </c>
      <c r="D3" s="100">
        <f t="shared" si="2"/>
        <v>0</v>
      </c>
      <c r="E3" s="100">
        <f t="shared" si="3"/>
        <v>0</v>
      </c>
      <c r="F3" s="100">
        <f t="shared" si="4"/>
        <v>0</v>
      </c>
      <c r="G3" s="100">
        <f t="shared" si="5"/>
        <v>0</v>
      </c>
      <c r="H3" s="100">
        <f t="shared" si="6"/>
        <v>0</v>
      </c>
      <c r="I3" s="100">
        <f t="shared" si="7"/>
        <v>0</v>
      </c>
      <c r="J3" s="100">
        <f t="shared" si="8"/>
        <v>0</v>
      </c>
      <c r="K3" s="100">
        <f t="shared" si="9"/>
        <v>0</v>
      </c>
      <c r="L3" s="100">
        <f t="shared" si="10"/>
        <v>0</v>
      </c>
      <c r="M3" s="100">
        <f t="shared" si="11"/>
        <v>0</v>
      </c>
      <c r="N3" s="100">
        <f t="shared" si="12"/>
        <v>0</v>
      </c>
      <c r="O3" s="100">
        <f t="shared" si="13"/>
        <v>0</v>
      </c>
      <c r="P3" s="100">
        <f t="shared" si="14"/>
        <v>0</v>
      </c>
    </row>
    <row r="4" spans="1:16" s="100" customFormat="1" hidden="1" x14ac:dyDescent="0.2">
      <c r="A4" s="100" t="str">
        <f>'Modell-Kalibrierung'!B18</f>
        <v>gering</v>
      </c>
      <c r="B4" s="100">
        <f t="shared" si="0"/>
        <v>0</v>
      </c>
      <c r="C4" s="100">
        <f t="shared" si="1"/>
        <v>0</v>
      </c>
      <c r="D4" s="100">
        <f t="shared" si="2"/>
        <v>0</v>
      </c>
      <c r="E4" s="100">
        <f t="shared" si="3"/>
        <v>0</v>
      </c>
      <c r="F4" s="100">
        <f t="shared" si="4"/>
        <v>0</v>
      </c>
      <c r="G4" s="100">
        <f t="shared" si="5"/>
        <v>0</v>
      </c>
      <c r="H4" s="100">
        <f t="shared" si="6"/>
        <v>0</v>
      </c>
      <c r="I4" s="100">
        <f t="shared" si="7"/>
        <v>0</v>
      </c>
      <c r="J4" s="100">
        <f t="shared" si="8"/>
        <v>0</v>
      </c>
      <c r="K4" s="100">
        <f t="shared" si="9"/>
        <v>0</v>
      </c>
      <c r="L4" s="100">
        <f t="shared" si="10"/>
        <v>0</v>
      </c>
      <c r="M4" s="100">
        <f t="shared" si="11"/>
        <v>0</v>
      </c>
      <c r="N4" s="100">
        <f t="shared" si="12"/>
        <v>0</v>
      </c>
      <c r="O4" s="100">
        <f t="shared" si="13"/>
        <v>0</v>
      </c>
      <c r="P4" s="100">
        <f t="shared" si="14"/>
        <v>0</v>
      </c>
    </row>
    <row r="5" spans="1:16" s="100" customFormat="1" hidden="1" x14ac:dyDescent="0.2">
      <c r="A5" s="100" t="str">
        <f>'Modell-Kalibrierung'!B19</f>
        <v>mittel</v>
      </c>
      <c r="B5" s="100">
        <f t="shared" si="0"/>
        <v>0</v>
      </c>
      <c r="C5" s="100">
        <f t="shared" si="1"/>
        <v>0</v>
      </c>
      <c r="D5" s="100">
        <f t="shared" si="2"/>
        <v>0</v>
      </c>
      <c r="E5" s="100">
        <f t="shared" si="3"/>
        <v>0</v>
      </c>
      <c r="F5" s="100">
        <f t="shared" si="4"/>
        <v>0</v>
      </c>
      <c r="G5" s="100">
        <f t="shared" si="5"/>
        <v>0</v>
      </c>
      <c r="H5" s="100">
        <f t="shared" si="6"/>
        <v>0</v>
      </c>
      <c r="I5" s="100">
        <f t="shared" si="7"/>
        <v>0</v>
      </c>
      <c r="J5" s="100">
        <f t="shared" si="8"/>
        <v>0</v>
      </c>
      <c r="K5" s="100">
        <f t="shared" si="9"/>
        <v>0</v>
      </c>
      <c r="L5" s="100">
        <f t="shared" si="10"/>
        <v>0</v>
      </c>
      <c r="M5" s="100">
        <f t="shared" si="11"/>
        <v>0</v>
      </c>
      <c r="N5" s="100">
        <f t="shared" si="12"/>
        <v>0</v>
      </c>
      <c r="O5" s="100">
        <f t="shared" si="13"/>
        <v>0</v>
      </c>
      <c r="P5" s="100">
        <f t="shared" si="14"/>
        <v>0</v>
      </c>
    </row>
    <row r="6" spans="1:16" s="100" customFormat="1" hidden="1" x14ac:dyDescent="0.2">
      <c r="A6" s="100" t="str">
        <f>'Modell-Kalibrierung'!B20</f>
        <v>hoch</v>
      </c>
      <c r="B6" s="100">
        <f t="shared" si="0"/>
        <v>0</v>
      </c>
      <c r="C6" s="100">
        <f t="shared" si="1"/>
        <v>0</v>
      </c>
      <c r="D6" s="100">
        <f t="shared" si="2"/>
        <v>0</v>
      </c>
      <c r="E6" s="100">
        <f t="shared" si="3"/>
        <v>0</v>
      </c>
      <c r="F6" s="100">
        <f t="shared" si="4"/>
        <v>0</v>
      </c>
      <c r="G6" s="100">
        <f t="shared" si="5"/>
        <v>0</v>
      </c>
      <c r="H6" s="100">
        <f t="shared" si="6"/>
        <v>0</v>
      </c>
      <c r="I6" s="100">
        <f t="shared" si="7"/>
        <v>0</v>
      </c>
      <c r="J6" s="100">
        <f t="shared" si="8"/>
        <v>0</v>
      </c>
      <c r="K6" s="100">
        <f t="shared" si="9"/>
        <v>0</v>
      </c>
      <c r="L6" s="100">
        <f t="shared" si="10"/>
        <v>0</v>
      </c>
      <c r="M6" s="100">
        <f t="shared" si="11"/>
        <v>0</v>
      </c>
      <c r="N6" s="100">
        <f t="shared" si="12"/>
        <v>0</v>
      </c>
      <c r="O6" s="100">
        <f t="shared" si="13"/>
        <v>0</v>
      </c>
      <c r="P6" s="100">
        <f t="shared" si="14"/>
        <v>0</v>
      </c>
    </row>
    <row r="7" spans="1:16" s="100" customFormat="1" hidden="1" x14ac:dyDescent="0.2">
      <c r="A7" s="100" t="str">
        <f>'Modell-Kalibrierung'!B21</f>
        <v>sehr hoch</v>
      </c>
      <c r="B7" s="100">
        <f t="shared" si="0"/>
        <v>0</v>
      </c>
      <c r="C7" s="100">
        <f t="shared" si="1"/>
        <v>0</v>
      </c>
      <c r="D7" s="100">
        <f t="shared" si="2"/>
        <v>0</v>
      </c>
      <c r="E7" s="100">
        <f t="shared" si="3"/>
        <v>0</v>
      </c>
      <c r="F7" s="100">
        <f t="shared" si="4"/>
        <v>0</v>
      </c>
      <c r="G7" s="100">
        <f t="shared" si="5"/>
        <v>0</v>
      </c>
      <c r="H7" s="100">
        <f t="shared" si="6"/>
        <v>0</v>
      </c>
      <c r="I7" s="100">
        <f t="shared" si="7"/>
        <v>0</v>
      </c>
      <c r="J7" s="100">
        <f t="shared" si="8"/>
        <v>0</v>
      </c>
      <c r="K7" s="100">
        <f t="shared" si="9"/>
        <v>0</v>
      </c>
      <c r="L7" s="100">
        <f t="shared" si="10"/>
        <v>0</v>
      </c>
      <c r="M7" s="100">
        <f t="shared" si="11"/>
        <v>0</v>
      </c>
      <c r="N7" s="100">
        <f t="shared" si="12"/>
        <v>0</v>
      </c>
      <c r="O7" s="100">
        <f t="shared" si="13"/>
        <v>0</v>
      </c>
      <c r="P7" s="100">
        <f t="shared" si="14"/>
        <v>0</v>
      </c>
    </row>
    <row r="8" spans="1:16" s="100" customFormat="1" hidden="1" x14ac:dyDescent="0.2">
      <c r="A8" s="100" t="str">
        <f>'Modell-Kalibrierung'!B22</f>
        <v>führt zum Abbruch</v>
      </c>
      <c r="B8" s="100">
        <f t="shared" si="0"/>
        <v>0</v>
      </c>
      <c r="C8" s="100">
        <f t="shared" si="1"/>
        <v>0</v>
      </c>
      <c r="D8" s="100">
        <f t="shared" si="2"/>
        <v>0</v>
      </c>
      <c r="E8" s="100">
        <f t="shared" si="3"/>
        <v>0</v>
      </c>
      <c r="F8" s="100">
        <f t="shared" si="4"/>
        <v>0</v>
      </c>
      <c r="G8" s="100">
        <f t="shared" si="5"/>
        <v>0</v>
      </c>
      <c r="H8" s="100">
        <f t="shared" si="6"/>
        <v>0</v>
      </c>
      <c r="I8" s="100">
        <f t="shared" si="7"/>
        <v>0</v>
      </c>
      <c r="J8" s="100">
        <f t="shared" si="8"/>
        <v>0</v>
      </c>
      <c r="K8" s="100">
        <f t="shared" si="9"/>
        <v>0</v>
      </c>
      <c r="L8" s="100">
        <f t="shared" si="10"/>
        <v>0</v>
      </c>
      <c r="M8" s="100">
        <f t="shared" si="11"/>
        <v>0</v>
      </c>
      <c r="N8" s="100">
        <f t="shared" si="12"/>
        <v>0</v>
      </c>
      <c r="O8" s="100">
        <f t="shared" si="13"/>
        <v>0</v>
      </c>
      <c r="P8" s="100">
        <f t="shared" si="14"/>
        <v>0</v>
      </c>
    </row>
    <row r="9" spans="1:16" s="100" customFormat="1" hidden="1" x14ac:dyDescent="0.2">
      <c r="A9" s="100" t="s">
        <v>82</v>
      </c>
      <c r="B9" s="100">
        <f t="shared" ref="B9:P9" si="15">IF(B8&gt;0,6,IF(B7&gt;0,5,IF(B6&gt;0,4,IF(B5&gt;0,3,IF(B4&gt;0,2,IF(B3&gt;0,1,IF(B2&gt;0,0,0)))))))</f>
        <v>0</v>
      </c>
      <c r="C9" s="100">
        <f t="shared" si="15"/>
        <v>0</v>
      </c>
      <c r="D9" s="100">
        <f t="shared" si="15"/>
        <v>0</v>
      </c>
      <c r="E9" s="100">
        <f t="shared" si="15"/>
        <v>0</v>
      </c>
      <c r="F9" s="100">
        <f t="shared" si="15"/>
        <v>0</v>
      </c>
      <c r="G9" s="100">
        <f t="shared" si="15"/>
        <v>0</v>
      </c>
      <c r="H9" s="100">
        <f t="shared" si="15"/>
        <v>0</v>
      </c>
      <c r="I9" s="100">
        <f t="shared" si="15"/>
        <v>0</v>
      </c>
      <c r="J9" s="100">
        <f t="shared" si="15"/>
        <v>0</v>
      </c>
      <c r="K9" s="100">
        <f t="shared" si="15"/>
        <v>0</v>
      </c>
      <c r="L9" s="100">
        <f t="shared" si="15"/>
        <v>0</v>
      </c>
      <c r="M9" s="100">
        <f t="shared" si="15"/>
        <v>0</v>
      </c>
      <c r="N9" s="100">
        <f t="shared" si="15"/>
        <v>0</v>
      </c>
      <c r="O9" s="100">
        <f t="shared" si="15"/>
        <v>0</v>
      </c>
      <c r="P9" s="100">
        <f t="shared" si="15"/>
        <v>0</v>
      </c>
    </row>
    <row r="10" spans="1:16" s="100" customFormat="1" hidden="1" x14ac:dyDescent="0.2"/>
    <row r="11" spans="1:16" s="100" customFormat="1" hidden="1" x14ac:dyDescent="0.2"/>
    <row r="12" spans="1:16" s="100" customFormat="1" hidden="1" x14ac:dyDescent="0.2"/>
    <row r="13" spans="1:16" s="100" customFormat="1" hidden="1" x14ac:dyDescent="0.2">
      <c r="C13" s="100" t="s">
        <v>23</v>
      </c>
      <c r="D13" s="100" t="s">
        <v>82</v>
      </c>
      <c r="E13" s="100" t="s">
        <v>83</v>
      </c>
    </row>
    <row r="14" spans="1:16" s="100" customFormat="1" hidden="1" x14ac:dyDescent="0.2">
      <c r="B14" s="102" t="str">
        <f t="array" ref="B14:B28">TRANSPOSE(B1:P1)</f>
        <v xml:space="preserve">Gesetzgebung </v>
      </c>
      <c r="C14" s="100">
        <f>K38</f>
        <v>0</v>
      </c>
      <c r="D14" s="100">
        <f t="array" ref="D14:D28">TRANSPOSE($B$9:$P$9)</f>
        <v>0</v>
      </c>
      <c r="E14" s="103">
        <f t="shared" ref="E14:E28" si="16">IF(C14&gt;0,C14/$M$31,0)</f>
        <v>0</v>
      </c>
      <c r="F14" s="100" t="s">
        <v>65</v>
      </c>
    </row>
    <row r="15" spans="1:16" s="100" customFormat="1" hidden="1" x14ac:dyDescent="0.2">
      <c r="B15" s="102" t="str">
        <v>politische Stabilität/ Rechtssicherheit</v>
      </c>
      <c r="C15" s="100">
        <f>K44</f>
        <v>0</v>
      </c>
      <c r="D15" s="100">
        <v>0</v>
      </c>
      <c r="E15" s="103">
        <f t="shared" si="16"/>
        <v>0</v>
      </c>
      <c r="F15" s="100" t="s">
        <v>65</v>
      </c>
    </row>
    <row r="16" spans="1:16" s="100" customFormat="1" ht="28.5" hidden="1" x14ac:dyDescent="0.2">
      <c r="B16" s="102" t="str">
        <v xml:space="preserve">Handelshemmnisse (Zölle/ Schranken/ regolatorische Hemmnisse ...) </v>
      </c>
      <c r="C16" s="100">
        <f>K50</f>
        <v>0</v>
      </c>
      <c r="D16" s="100">
        <v>0</v>
      </c>
      <c r="E16" s="103">
        <f t="shared" si="16"/>
        <v>0</v>
      </c>
      <c r="F16" s="100" t="s">
        <v>65</v>
      </c>
    </row>
    <row r="17" spans="1:14" s="100" customFormat="1" hidden="1" x14ac:dyDescent="0.2">
      <c r="B17" s="102" t="str">
        <v xml:space="preserve">Wirtschaftswachstum </v>
      </c>
      <c r="C17" s="100">
        <f>K56</f>
        <v>0</v>
      </c>
      <c r="D17" s="100">
        <v>0</v>
      </c>
      <c r="E17" s="103">
        <f t="shared" si="16"/>
        <v>0</v>
      </c>
      <c r="F17" s="100" t="s">
        <v>3</v>
      </c>
    </row>
    <row r="18" spans="1:14" s="100" customFormat="1" hidden="1" x14ac:dyDescent="0.2">
      <c r="B18" s="102" t="str">
        <v xml:space="preserve">Inflation, Zinsen, Wechselkurse </v>
      </c>
      <c r="C18" s="100">
        <f>K62</f>
        <v>0</v>
      </c>
      <c r="D18" s="100">
        <v>0</v>
      </c>
      <c r="E18" s="103">
        <f t="shared" si="16"/>
        <v>0</v>
      </c>
      <c r="F18" s="100" t="s">
        <v>3</v>
      </c>
    </row>
    <row r="19" spans="1:14" s="100" customFormat="1" hidden="1" x14ac:dyDescent="0.2">
      <c r="B19" s="102" t="str">
        <v xml:space="preserve">Arbeitsmarkt (Quantität/ Qualität ...) </v>
      </c>
      <c r="C19" s="100">
        <f>K68</f>
        <v>0</v>
      </c>
      <c r="D19" s="100">
        <v>0</v>
      </c>
      <c r="E19" s="103">
        <f t="shared" si="16"/>
        <v>0</v>
      </c>
      <c r="F19" s="100" t="s">
        <v>3</v>
      </c>
    </row>
    <row r="20" spans="1:14" s="100" customFormat="1" hidden="1" x14ac:dyDescent="0.2">
      <c r="B20" s="102" t="str">
        <v xml:space="preserve">Globalisierung/ Internationalisierung </v>
      </c>
      <c r="C20" s="100">
        <f>K74</f>
        <v>0</v>
      </c>
      <c r="D20" s="100">
        <v>0</v>
      </c>
      <c r="E20" s="103">
        <f t="shared" si="16"/>
        <v>0</v>
      </c>
      <c r="F20" s="100" t="s">
        <v>3</v>
      </c>
    </row>
    <row r="21" spans="1:14" s="100" customFormat="1" hidden="1" x14ac:dyDescent="0.2">
      <c r="B21" s="102" t="str">
        <v xml:space="preserve">Ressourcenverfügbarkeit </v>
      </c>
      <c r="C21" s="100">
        <f>K80</f>
        <v>0</v>
      </c>
      <c r="D21" s="100">
        <v>0</v>
      </c>
      <c r="E21" s="103">
        <f t="shared" si="16"/>
        <v>0</v>
      </c>
      <c r="F21" s="100" t="s">
        <v>3</v>
      </c>
    </row>
    <row r="22" spans="1:14" s="100" customFormat="1" hidden="1" x14ac:dyDescent="0.2">
      <c r="B22" s="102" t="str">
        <v xml:space="preserve">Werte </v>
      </c>
      <c r="C22" s="100">
        <f>K86</f>
        <v>0</v>
      </c>
      <c r="D22" s="100">
        <v>0</v>
      </c>
      <c r="E22" s="103">
        <f t="shared" si="16"/>
        <v>0</v>
      </c>
      <c r="F22" s="100" t="s">
        <v>4</v>
      </c>
    </row>
    <row r="23" spans="1:14" s="100" customFormat="1" hidden="1" x14ac:dyDescent="0.2">
      <c r="B23" s="102" t="str">
        <v xml:space="preserve">Lebensstil/ Mentalitäten </v>
      </c>
      <c r="C23" s="100">
        <f>K92</f>
        <v>0</v>
      </c>
      <c r="D23" s="100">
        <v>0</v>
      </c>
      <c r="E23" s="103">
        <f t="shared" si="16"/>
        <v>0</v>
      </c>
      <c r="F23" s="100" t="s">
        <v>4</v>
      </c>
    </row>
    <row r="24" spans="1:14" s="100" customFormat="1" hidden="1" x14ac:dyDescent="0.2">
      <c r="B24" s="102" t="str">
        <v>Bildung</v>
      </c>
      <c r="C24" s="100">
        <f>K98</f>
        <v>0</v>
      </c>
      <c r="D24" s="100">
        <v>0</v>
      </c>
      <c r="E24" s="103">
        <f t="shared" si="16"/>
        <v>0</v>
      </c>
      <c r="F24" s="100" t="s">
        <v>4</v>
      </c>
    </row>
    <row r="25" spans="1:14" s="100" customFormat="1" hidden="1" x14ac:dyDescent="0.2">
      <c r="B25" s="102" t="str">
        <v xml:space="preserve">Forschung </v>
      </c>
      <c r="C25" s="100">
        <f>K104</f>
        <v>0</v>
      </c>
      <c r="D25" s="100">
        <v>0</v>
      </c>
      <c r="E25" s="103">
        <f t="shared" si="16"/>
        <v>0</v>
      </c>
      <c r="F25" s="100" t="s">
        <v>5</v>
      </c>
    </row>
    <row r="26" spans="1:14" s="100" customFormat="1" hidden="1" x14ac:dyDescent="0.2">
      <c r="B26" s="102" t="str">
        <v xml:space="preserve">neue Technologien und Produkte </v>
      </c>
      <c r="C26" s="100">
        <f>K110</f>
        <v>0</v>
      </c>
      <c r="D26" s="100">
        <v>0</v>
      </c>
      <c r="E26" s="103">
        <f t="shared" si="16"/>
        <v>0</v>
      </c>
      <c r="F26" s="100" t="s">
        <v>5</v>
      </c>
    </row>
    <row r="27" spans="1:14" s="100" customFormat="1" hidden="1" x14ac:dyDescent="0.2">
      <c r="B27" s="102" t="str">
        <v>neue Prozesse</v>
      </c>
      <c r="C27" s="100">
        <f>K116</f>
        <v>0</v>
      </c>
      <c r="D27" s="100">
        <v>0</v>
      </c>
      <c r="E27" s="103">
        <f t="shared" si="16"/>
        <v>0</v>
      </c>
      <c r="F27" s="100" t="s">
        <v>5</v>
      </c>
    </row>
    <row r="28" spans="1:14" s="100" customFormat="1" hidden="1" x14ac:dyDescent="0.2">
      <c r="B28" s="102" t="str">
        <v>Produktlebenszyklen</v>
      </c>
      <c r="C28" s="100">
        <f>K122</f>
        <v>0</v>
      </c>
      <c r="D28" s="100">
        <v>0</v>
      </c>
      <c r="E28" s="103">
        <f t="shared" si="16"/>
        <v>0</v>
      </c>
      <c r="F28" s="100" t="s">
        <v>5</v>
      </c>
    </row>
    <row r="29" spans="1:14" s="100" customFormat="1" hidden="1" x14ac:dyDescent="0.2">
      <c r="M29" s="48"/>
      <c r="N29" s="48"/>
    </row>
    <row r="30" spans="1:14" s="100" customFormat="1" ht="33" hidden="1" customHeight="1" x14ac:dyDescent="0.2">
      <c r="M30" s="48"/>
      <c r="N30" s="48"/>
    </row>
    <row r="31" spans="1:14" ht="69.75" customHeight="1" thickBot="1" x14ac:dyDescent="0.25">
      <c r="A31" s="36"/>
      <c r="B31" s="149" t="s">
        <v>89</v>
      </c>
      <c r="C31" s="149"/>
      <c r="D31" s="149"/>
      <c r="E31" s="149"/>
      <c r="F31" s="149"/>
      <c r="G31" s="149"/>
      <c r="H31" s="149"/>
      <c r="I31" s="149"/>
      <c r="J31" s="149"/>
      <c r="K31" s="149"/>
      <c r="L31" s="149"/>
      <c r="M31" s="54">
        <f>SUM(K122,K116,K110,K104,K98,K92,K86,K80,K74,K68,K62,K56,K50,K44,K38)</f>
        <v>0</v>
      </c>
      <c r="N31" s="54">
        <f>MAX(K38,K44,K50,K56,K62,K68,K74,K80,K86,K92,K98,K104,K110,K116,K122,)+5</f>
        <v>5</v>
      </c>
    </row>
    <row r="32" spans="1:14" ht="63.75" customHeight="1" thickBot="1" x14ac:dyDescent="0.25">
      <c r="A32" s="36"/>
      <c r="B32" s="61" t="s">
        <v>0</v>
      </c>
      <c r="C32" s="61" t="s">
        <v>40</v>
      </c>
      <c r="D32" s="61" t="s">
        <v>1</v>
      </c>
      <c r="E32" s="61" t="s">
        <v>2</v>
      </c>
      <c r="F32" s="61" t="s">
        <v>6</v>
      </c>
      <c r="G32" s="61" t="s">
        <v>21</v>
      </c>
      <c r="H32" s="61" t="s">
        <v>7</v>
      </c>
      <c r="I32" s="61" t="s">
        <v>20</v>
      </c>
      <c r="J32" s="61" t="s">
        <v>10</v>
      </c>
      <c r="K32" s="61" t="s">
        <v>23</v>
      </c>
      <c r="L32" s="61" t="s">
        <v>93</v>
      </c>
      <c r="M32" s="54">
        <f>SUM(M33:M2033)</f>
        <v>5</v>
      </c>
    </row>
    <row r="33" spans="1:13" ht="20.25" x14ac:dyDescent="0.2">
      <c r="A33" s="136" t="s">
        <v>65</v>
      </c>
      <c r="B33" s="148" t="s">
        <v>9</v>
      </c>
      <c r="C33" s="11"/>
      <c r="D33" s="11"/>
      <c r="E33" s="6"/>
      <c r="F33" s="10"/>
      <c r="G33" s="8"/>
      <c r="H33" s="9"/>
      <c r="I33" s="8"/>
      <c r="J33" s="1" t="e">
        <f>1-VLOOKUP(H33,'Modell-Kalibrierung'!$B$3:$C$8,2,0)</f>
        <v>#N/A</v>
      </c>
      <c r="K33" s="93">
        <f>IF(ISNA(J33),0,VLOOKUP(G33,'Modell-Kalibrierung'!$B$16:$C$22,2,FALSE)*VLOOKUP(H33,'Modell-Kalibrierung'!$B$3:$C$8,2,0)+VLOOKUP(I33,'Modell-Kalibrierung'!$B$16:$C$22,2,0)*'STEP-Analyse China'!J33)</f>
        <v>0</v>
      </c>
      <c r="L33" s="6"/>
      <c r="M33" s="54">
        <v>1</v>
      </c>
    </row>
    <row r="34" spans="1:13" ht="20.25" x14ac:dyDescent="0.2">
      <c r="A34" s="137"/>
      <c r="B34" s="139"/>
      <c r="C34" s="10"/>
      <c r="D34" s="10"/>
      <c r="E34" s="6"/>
      <c r="F34" s="10"/>
      <c r="G34" s="8"/>
      <c r="H34" s="9"/>
      <c r="I34" s="8"/>
      <c r="J34" s="1" t="e">
        <f>1-VLOOKUP(H34,'Modell-Kalibrierung'!$B$3:$C$8,2,0)</f>
        <v>#N/A</v>
      </c>
      <c r="K34" s="93">
        <f>IF(ISNA(J34),0,VLOOKUP(G34,'Modell-Kalibrierung'!$B$16:$C$22,2,FALSE)*VLOOKUP(H34,'Modell-Kalibrierung'!$B$3:$C$8,2,0)+VLOOKUP(I34,'Modell-Kalibrierung'!$B$16:$C$22,2,0)*'STEP-Analyse China'!J34)</f>
        <v>0</v>
      </c>
      <c r="L34" s="6"/>
      <c r="M34" s="54">
        <v>1</v>
      </c>
    </row>
    <row r="35" spans="1:13" ht="20.25" x14ac:dyDescent="0.2">
      <c r="A35" s="137"/>
      <c r="B35" s="139"/>
      <c r="C35" s="10"/>
      <c r="D35" s="10"/>
      <c r="E35" s="6"/>
      <c r="F35" s="10"/>
      <c r="G35" s="8"/>
      <c r="H35" s="9"/>
      <c r="I35" s="8"/>
      <c r="J35" s="1" t="e">
        <f>1-VLOOKUP(H35,'Modell-Kalibrierung'!$B$3:$C$8,2,0)</f>
        <v>#N/A</v>
      </c>
      <c r="K35" s="93">
        <f>IF(ISNA(J35),0,VLOOKUP(G35,'Modell-Kalibrierung'!$B$16:$C$22,2,FALSE)*VLOOKUP(H35,'Modell-Kalibrierung'!$B$3:$C$8,2,0)+VLOOKUP(I35,'Modell-Kalibrierung'!$B$16:$C$22,2,0)*'STEP-Analyse China'!J35)</f>
        <v>0</v>
      </c>
      <c r="L35" s="6"/>
      <c r="M35" s="54">
        <v>1</v>
      </c>
    </row>
    <row r="36" spans="1:13" ht="29.25" customHeight="1" x14ac:dyDescent="0.2">
      <c r="A36" s="137"/>
      <c r="B36" s="139"/>
      <c r="C36" s="24"/>
      <c r="D36" s="10"/>
      <c r="E36" s="6"/>
      <c r="F36" s="10"/>
      <c r="G36" s="8"/>
      <c r="H36" s="9"/>
      <c r="I36" s="8"/>
      <c r="J36" s="1" t="e">
        <f>1-VLOOKUP(H36,'Modell-Kalibrierung'!$B$3:$C$8,2,0)</f>
        <v>#N/A</v>
      </c>
      <c r="K36" s="93">
        <f>IF(ISNA(J36),0,VLOOKUP(G36,'Modell-Kalibrierung'!$B$16:$C$22,2,FALSE)*VLOOKUP(H36,'Modell-Kalibrierung'!$B$3:$C$8,2,0)+VLOOKUP(I36,'Modell-Kalibrierung'!$B$16:$C$22,2,0)*'STEP-Analyse China'!J36)</f>
        <v>0</v>
      </c>
      <c r="L36" s="6"/>
      <c r="M36" s="54">
        <v>1</v>
      </c>
    </row>
    <row r="37" spans="1:13" ht="30" customHeight="1" thickBot="1" x14ac:dyDescent="0.25">
      <c r="A37" s="137"/>
      <c r="B37" s="139"/>
      <c r="C37" s="10"/>
      <c r="D37" s="10"/>
      <c r="E37" s="6"/>
      <c r="F37" s="10"/>
      <c r="G37" s="8"/>
      <c r="H37" s="9"/>
      <c r="I37" s="8"/>
      <c r="J37" s="1" t="e">
        <f>1-VLOOKUP(H37,'Modell-Kalibrierung'!$B$3:$C$8,2,0)</f>
        <v>#N/A</v>
      </c>
      <c r="K37" s="93">
        <f>IF(ISNA(J37),0,VLOOKUP(G37,'Modell-Kalibrierung'!$B$16:$C$22,2,FALSE)*VLOOKUP(H37,'Modell-Kalibrierung'!$B$3:$C$8,2,0)+VLOOKUP(I37,'Modell-Kalibrierung'!$B$16:$C$22,2,0)*'STEP-Analyse China'!J37)</f>
        <v>0</v>
      </c>
      <c r="L37" s="14"/>
      <c r="M37" s="54">
        <v>1</v>
      </c>
    </row>
    <row r="38" spans="1:13" ht="36" thickBot="1" x14ac:dyDescent="0.25">
      <c r="A38" s="137"/>
      <c r="B38" s="139"/>
      <c r="C38" s="125" t="str">
        <f>B33</f>
        <v xml:space="preserve">Gesetzgebung </v>
      </c>
      <c r="D38" s="126"/>
      <c r="E38" s="126"/>
      <c r="F38" s="126"/>
      <c r="G38" s="127"/>
      <c r="H38" s="127"/>
      <c r="I38" s="127"/>
      <c r="J38" s="128"/>
      <c r="K38" s="3">
        <f>SUM(K33:K37)</f>
        <v>0</v>
      </c>
      <c r="L38" s="16" t="str">
        <f>IF(K38=0,"0% Anteil am Gesamtprojektrisiko",(K38/$K$123))</f>
        <v>0% Anteil am Gesamtprojektrisiko</v>
      </c>
    </row>
    <row r="39" spans="1:13" ht="20.25" x14ac:dyDescent="0.2">
      <c r="A39" s="137"/>
      <c r="B39" s="141" t="s">
        <v>24</v>
      </c>
      <c r="C39" s="11"/>
      <c r="D39" s="11"/>
      <c r="E39" s="6"/>
      <c r="F39" s="10"/>
      <c r="G39" s="8"/>
      <c r="H39" s="9"/>
      <c r="I39" s="8"/>
      <c r="J39" s="12" t="e">
        <f>1-VLOOKUP(H39,'Modell-Kalibrierung'!$B$3:$C$8,2,0)</f>
        <v>#N/A</v>
      </c>
      <c r="K39" s="93">
        <f>IF(ISNA(J39),0,VLOOKUP(G39,'Modell-Kalibrierung'!$B$16:$C$22,2,FALSE)*VLOOKUP(H39,'Modell-Kalibrierung'!$B$3:$C$8,2,0)+VLOOKUP(I39,'Modell-Kalibrierung'!$B$16:$C$22,2,0)*'STEP-Analyse China'!J39)</f>
        <v>0</v>
      </c>
      <c r="L39" s="6"/>
    </row>
    <row r="40" spans="1:13" ht="20.25" x14ac:dyDescent="0.2">
      <c r="A40" s="137"/>
      <c r="B40" s="139"/>
      <c r="C40" s="11"/>
      <c r="D40" s="11"/>
      <c r="E40" s="6"/>
      <c r="F40" s="10"/>
      <c r="G40" s="8"/>
      <c r="H40" s="9"/>
      <c r="I40" s="8"/>
      <c r="J40" s="12" t="e">
        <f>1-VLOOKUP(H40,'Modell-Kalibrierung'!$B$3:$C$8,2,0)</f>
        <v>#N/A</v>
      </c>
      <c r="K40" s="93">
        <f>IF(ISNA(J40),0,VLOOKUP(G40,'Modell-Kalibrierung'!$B$16:$C$22,2,FALSE)*VLOOKUP(H40,'Modell-Kalibrierung'!$B$3:$C$8,2,0)+VLOOKUP(I40,'Modell-Kalibrierung'!$B$16:$C$22,2,0)*'STEP-Analyse China'!J40)</f>
        <v>0</v>
      </c>
      <c r="L40" s="6"/>
    </row>
    <row r="41" spans="1:13" ht="20.25" x14ac:dyDescent="0.2">
      <c r="A41" s="137"/>
      <c r="B41" s="139"/>
      <c r="C41" s="11"/>
      <c r="D41" s="11"/>
      <c r="E41" s="6"/>
      <c r="F41" s="10"/>
      <c r="G41" s="8"/>
      <c r="H41" s="9"/>
      <c r="I41" s="8"/>
      <c r="J41" s="12" t="e">
        <f>1-VLOOKUP(H41,'Modell-Kalibrierung'!$B$3:$C$8,2,0)</f>
        <v>#N/A</v>
      </c>
      <c r="K41" s="93">
        <f>IF(ISNA(J41),0,VLOOKUP(G41,'Modell-Kalibrierung'!$B$16:$C$22,2,FALSE)*VLOOKUP(H41,'Modell-Kalibrierung'!$B$3:$C$8,2,0)+VLOOKUP(I41,'Modell-Kalibrierung'!$B$16:$C$22,2,0)*'STEP-Analyse China'!J41)</f>
        <v>0</v>
      </c>
      <c r="L41" s="6"/>
    </row>
    <row r="42" spans="1:13" ht="20.25" x14ac:dyDescent="0.2">
      <c r="A42" s="137"/>
      <c r="B42" s="139"/>
      <c r="C42" s="11"/>
      <c r="D42" s="11"/>
      <c r="E42" s="6"/>
      <c r="F42" s="10"/>
      <c r="G42" s="8"/>
      <c r="H42" s="9"/>
      <c r="I42" s="8"/>
      <c r="J42" s="12" t="e">
        <f>1-VLOOKUP(H42,'Modell-Kalibrierung'!$B$3:$C$8,2,0)</f>
        <v>#N/A</v>
      </c>
      <c r="K42" s="93">
        <f>IF(ISNA(J42),0,VLOOKUP(G42,'Modell-Kalibrierung'!$B$16:$C$22,2,FALSE)*VLOOKUP(H42,'Modell-Kalibrierung'!$B$3:$C$8,2,0)+VLOOKUP(I42,'Modell-Kalibrierung'!$B$16:$C$22,2,0)*'STEP-Analyse China'!J42)</f>
        <v>0</v>
      </c>
      <c r="L42" s="6"/>
    </row>
    <row r="43" spans="1:13" ht="21" thickBot="1" x14ac:dyDescent="0.25">
      <c r="A43" s="137"/>
      <c r="B43" s="139"/>
      <c r="C43" s="11"/>
      <c r="D43" s="11"/>
      <c r="E43" s="6"/>
      <c r="F43" s="10"/>
      <c r="G43" s="8"/>
      <c r="H43" s="9"/>
      <c r="I43" s="8"/>
      <c r="J43" s="12" t="e">
        <f>1-VLOOKUP(H43,'Modell-Kalibrierung'!$B$3:$C$8,2,0)</f>
        <v>#N/A</v>
      </c>
      <c r="K43" s="93">
        <f>IF(ISNA(J43),0,VLOOKUP(G43,'Modell-Kalibrierung'!$B$16:$C$22,2,FALSE)*VLOOKUP(H43,'Modell-Kalibrierung'!$B$3:$C$8,2,0)+VLOOKUP(I43,'Modell-Kalibrierung'!$B$16:$C$22,2,0)*'STEP-Analyse China'!J43)</f>
        <v>0</v>
      </c>
      <c r="L43" s="6"/>
    </row>
    <row r="44" spans="1:13" ht="36" customHeight="1" thickBot="1" x14ac:dyDescent="0.25">
      <c r="A44" s="137"/>
      <c r="B44" s="140"/>
      <c r="C44" s="125" t="str">
        <f>B39</f>
        <v>politische Stabilität/ Rechtssicherheit</v>
      </c>
      <c r="D44" s="126"/>
      <c r="E44" s="126"/>
      <c r="F44" s="126"/>
      <c r="G44" s="127"/>
      <c r="H44" s="127"/>
      <c r="I44" s="127"/>
      <c r="J44" s="128"/>
      <c r="K44" s="3">
        <f>SUM(K39:K43)</f>
        <v>0</v>
      </c>
      <c r="L44" s="16" t="str">
        <f>IF(K44=0,"0% Anteil am Gesamtprojektrisiko",(K44/$K$123))</f>
        <v>0% Anteil am Gesamtprojektrisiko</v>
      </c>
    </row>
    <row r="45" spans="1:13" ht="20.25" x14ac:dyDescent="0.2">
      <c r="A45" s="137"/>
      <c r="B45" s="129" t="s">
        <v>25</v>
      </c>
      <c r="C45" s="11"/>
      <c r="D45" s="11"/>
      <c r="E45" s="6"/>
      <c r="F45" s="10"/>
      <c r="G45" s="8"/>
      <c r="H45" s="9"/>
      <c r="I45" s="8"/>
      <c r="J45" s="1" t="e">
        <f>1-VLOOKUP(H45,'Modell-Kalibrierung'!$B$3:$C$8,2,0)</f>
        <v>#N/A</v>
      </c>
      <c r="K45" s="93">
        <f>IF(ISNA(J45),0,VLOOKUP(G45,'Modell-Kalibrierung'!$B$16:$C$22,2,FALSE)*VLOOKUP(H45,'Modell-Kalibrierung'!$B$3:$C$8,2,0)+VLOOKUP(I45,'Modell-Kalibrierung'!$B$16:$C$22,2,0)*'STEP-Analyse China'!J45)</f>
        <v>0</v>
      </c>
      <c r="L45" s="6"/>
    </row>
    <row r="46" spans="1:13" ht="20.25" x14ac:dyDescent="0.2">
      <c r="A46" s="151"/>
      <c r="B46" s="130"/>
      <c r="C46" s="11"/>
      <c r="D46" s="11"/>
      <c r="E46" s="6"/>
      <c r="F46" s="10"/>
      <c r="G46" s="8"/>
      <c r="H46" s="9"/>
      <c r="I46" s="8"/>
      <c r="J46" s="1" t="e">
        <f>1-VLOOKUP(H46,'Modell-Kalibrierung'!$B$3:$C$8,2,0)</f>
        <v>#N/A</v>
      </c>
      <c r="K46" s="93">
        <f>IF(ISNA(J46),0,VLOOKUP(G46,'Modell-Kalibrierung'!$B$16:$C$22,2,FALSE)*VLOOKUP(H46,'Modell-Kalibrierung'!$B$3:$C$8,2,0)+VLOOKUP(I46,'Modell-Kalibrierung'!$B$16:$C$22,2,0)*'STEP-Analyse China'!J46)</f>
        <v>0</v>
      </c>
      <c r="L46" s="6"/>
    </row>
    <row r="47" spans="1:13" ht="20.25" x14ac:dyDescent="0.2">
      <c r="A47" s="151"/>
      <c r="B47" s="130"/>
      <c r="C47" s="11"/>
      <c r="D47" s="11"/>
      <c r="E47" s="6"/>
      <c r="F47" s="10"/>
      <c r="G47" s="8"/>
      <c r="H47" s="9"/>
      <c r="I47" s="8"/>
      <c r="J47" s="1" t="e">
        <f>1-VLOOKUP(H47,'Modell-Kalibrierung'!$B$3:$C$8,2,0)</f>
        <v>#N/A</v>
      </c>
      <c r="K47" s="93">
        <f>IF(ISNA(J47),0,VLOOKUP(G47,'Modell-Kalibrierung'!$B$16:$C$22,2,FALSE)*VLOOKUP(H47,'Modell-Kalibrierung'!$B$3:$C$8,2,0)+VLOOKUP(I47,'Modell-Kalibrierung'!$B$16:$C$22,2,0)*'STEP-Analyse China'!J47)</f>
        <v>0</v>
      </c>
      <c r="L47" s="6"/>
    </row>
    <row r="48" spans="1:13" ht="20.25" x14ac:dyDescent="0.2">
      <c r="A48" s="151"/>
      <c r="B48" s="130"/>
      <c r="C48" s="11"/>
      <c r="D48" s="11"/>
      <c r="E48" s="6"/>
      <c r="F48" s="10"/>
      <c r="G48" s="8"/>
      <c r="H48" s="9"/>
      <c r="I48" s="8"/>
      <c r="J48" s="1" t="e">
        <f>1-VLOOKUP(H48,'Modell-Kalibrierung'!$B$3:$C$8,2,0)</f>
        <v>#N/A</v>
      </c>
      <c r="K48" s="93">
        <f>IF(ISNA(J48),0,VLOOKUP(G48,'Modell-Kalibrierung'!$B$16:$C$22,2,FALSE)*VLOOKUP(H48,'Modell-Kalibrierung'!$B$3:$C$8,2,0)+VLOOKUP(I48,'Modell-Kalibrierung'!$B$16:$C$22,2,0)*'STEP-Analyse China'!J48)</f>
        <v>0</v>
      </c>
      <c r="L48" s="6"/>
    </row>
    <row r="49" spans="1:12" ht="21" thickBot="1" x14ac:dyDescent="0.25">
      <c r="A49" s="151"/>
      <c r="B49" s="130"/>
      <c r="C49" s="11"/>
      <c r="D49" s="11"/>
      <c r="E49" s="6"/>
      <c r="F49" s="10"/>
      <c r="G49" s="8"/>
      <c r="H49" s="9"/>
      <c r="I49" s="8"/>
      <c r="J49" s="1" t="e">
        <f>1-VLOOKUP(H49,'Modell-Kalibrierung'!$B$3:$C$8,2,0)</f>
        <v>#N/A</v>
      </c>
      <c r="K49" s="93">
        <f>IF(ISNA(J49),0,VLOOKUP(G49,'Modell-Kalibrierung'!$B$16:$C$22,2,FALSE)*VLOOKUP(H49,'Modell-Kalibrierung'!$B$3:$C$8,2,0)+VLOOKUP(I49,'Modell-Kalibrierung'!$B$16:$C$22,2,0)*'STEP-Analyse China'!J49)</f>
        <v>0</v>
      </c>
      <c r="L49" s="6"/>
    </row>
    <row r="50" spans="1:12" ht="36" customHeight="1" thickBot="1" x14ac:dyDescent="0.25">
      <c r="A50" s="138"/>
      <c r="B50" s="131"/>
      <c r="C50" s="132" t="str">
        <f>B45</f>
        <v xml:space="preserve">Handelshemmnisse (Zölle/ Schranken/ regolatorische Hemmnisse ...) </v>
      </c>
      <c r="D50" s="133"/>
      <c r="E50" s="133"/>
      <c r="F50" s="133"/>
      <c r="G50" s="134"/>
      <c r="H50" s="134"/>
      <c r="I50" s="134"/>
      <c r="J50" s="135"/>
      <c r="K50" s="3">
        <f>SUM(K45:K49)</f>
        <v>0</v>
      </c>
      <c r="L50" s="16" t="str">
        <f>IF(K50=0,"0% Anteil am Gesamtprojektrisiko",(K50/$K$123))</f>
        <v>0% Anteil am Gesamtprojektrisiko</v>
      </c>
    </row>
    <row r="51" spans="1:12" ht="20.25" x14ac:dyDescent="0.2">
      <c r="A51" s="136" t="s">
        <v>3</v>
      </c>
      <c r="B51" s="139" t="s">
        <v>26</v>
      </c>
      <c r="C51" s="7"/>
      <c r="D51" s="7"/>
      <c r="E51" s="6"/>
      <c r="F51" s="6"/>
      <c r="G51" s="8"/>
      <c r="H51" s="9"/>
      <c r="I51" s="8"/>
      <c r="J51" s="1" t="e">
        <f>1-VLOOKUP(H51,'Modell-Kalibrierung'!$B$3:$C$8,2,0)</f>
        <v>#N/A</v>
      </c>
      <c r="K51" s="93">
        <f>IF(ISNA(J51),0,VLOOKUP(G51,'Modell-Kalibrierung'!$B$16:$C$22,2,FALSE)*VLOOKUP(H51,'Modell-Kalibrierung'!$B$3:$C$8,2,0)+VLOOKUP(I51,'Modell-Kalibrierung'!$B$16:$C$22,2,0)*'STEP-Analyse China'!J51)</f>
        <v>0</v>
      </c>
      <c r="L51" s="6"/>
    </row>
    <row r="52" spans="1:12" ht="20.25" x14ac:dyDescent="0.2">
      <c r="A52" s="137"/>
      <c r="B52" s="139"/>
      <c r="C52" s="11"/>
      <c r="D52" s="11"/>
      <c r="E52" s="6"/>
      <c r="F52" s="10"/>
      <c r="G52" s="8"/>
      <c r="H52" s="9"/>
      <c r="I52" s="8"/>
      <c r="J52" s="1" t="e">
        <f>1-VLOOKUP(H52,'Modell-Kalibrierung'!$B$3:$C$8,2,0)</f>
        <v>#N/A</v>
      </c>
      <c r="K52" s="93">
        <f>IF(ISNA(J52),0,VLOOKUP(G52,'Modell-Kalibrierung'!$B$16:$C$22,2,FALSE)*VLOOKUP(H52,'Modell-Kalibrierung'!$B$3:$C$8,2,0)+VLOOKUP(I52,'Modell-Kalibrierung'!$B$16:$C$22,2,0)*'STEP-Analyse China'!J52)</f>
        <v>0</v>
      </c>
      <c r="L52" s="6"/>
    </row>
    <row r="53" spans="1:12" ht="20.25" x14ac:dyDescent="0.2">
      <c r="A53" s="137"/>
      <c r="B53" s="139"/>
      <c r="C53" s="11"/>
      <c r="D53" s="11"/>
      <c r="E53" s="6"/>
      <c r="F53" s="10"/>
      <c r="G53" s="8"/>
      <c r="H53" s="9"/>
      <c r="I53" s="8"/>
      <c r="J53" s="1" t="e">
        <f>1-VLOOKUP(H53,'Modell-Kalibrierung'!$B$3:$C$8,2,0)</f>
        <v>#N/A</v>
      </c>
      <c r="K53" s="93">
        <f>IF(ISNA(J53),0,VLOOKUP(G53,'Modell-Kalibrierung'!$B$16:$C$22,2,FALSE)*VLOOKUP(H53,'Modell-Kalibrierung'!$B$3:$C$8,2,0)+VLOOKUP(I53,'Modell-Kalibrierung'!$B$16:$C$22,2,0)*'STEP-Analyse China'!J53)</f>
        <v>0</v>
      </c>
      <c r="L53" s="6"/>
    </row>
    <row r="54" spans="1:12" ht="20.25" x14ac:dyDescent="0.2">
      <c r="A54" s="137"/>
      <c r="B54" s="139"/>
      <c r="C54" s="11"/>
      <c r="D54" s="11"/>
      <c r="E54" s="6"/>
      <c r="F54" s="10"/>
      <c r="G54" s="8"/>
      <c r="H54" s="9"/>
      <c r="I54" s="8"/>
      <c r="J54" s="1" t="e">
        <f>1-VLOOKUP(H54,'Modell-Kalibrierung'!$B$3:$C$8,2,0)</f>
        <v>#N/A</v>
      </c>
      <c r="K54" s="93">
        <f>IF(ISNA(J54),0,VLOOKUP(G54,'Modell-Kalibrierung'!$B$16:$C$22,2,FALSE)*VLOOKUP(H54,'Modell-Kalibrierung'!$B$3:$C$8,2,0)+VLOOKUP(I54,'Modell-Kalibrierung'!$B$16:$C$22,2,0)*'STEP-Analyse China'!J54)</f>
        <v>0</v>
      </c>
      <c r="L54" s="6"/>
    </row>
    <row r="55" spans="1:12" ht="21" thickBot="1" x14ac:dyDescent="0.25">
      <c r="A55" s="137"/>
      <c r="B55" s="139"/>
      <c r="C55" s="11"/>
      <c r="D55" s="11"/>
      <c r="E55" s="6"/>
      <c r="F55" s="10"/>
      <c r="G55" s="8"/>
      <c r="H55" s="9"/>
      <c r="I55" s="8"/>
      <c r="J55" s="1" t="e">
        <f>1-VLOOKUP(H55,'Modell-Kalibrierung'!$B$3:$C$8,2,0)</f>
        <v>#N/A</v>
      </c>
      <c r="K55" s="93">
        <f>IF(ISNA(J55),0,VLOOKUP(G55,'Modell-Kalibrierung'!$B$16:$C$22,2,FALSE)*VLOOKUP(H55,'Modell-Kalibrierung'!$B$3:$C$8,2,0)+VLOOKUP(I55,'Modell-Kalibrierung'!$B$16:$C$22,2,0)*'STEP-Analyse China'!J55)</f>
        <v>0</v>
      </c>
      <c r="L55" s="6"/>
    </row>
    <row r="56" spans="1:12" ht="36" customHeight="1" thickBot="1" x14ac:dyDescent="0.25">
      <c r="A56" s="137"/>
      <c r="B56" s="140"/>
      <c r="C56" s="125" t="str">
        <f>B51</f>
        <v xml:space="preserve">Wirtschaftswachstum </v>
      </c>
      <c r="D56" s="126"/>
      <c r="E56" s="126"/>
      <c r="F56" s="126"/>
      <c r="G56" s="127"/>
      <c r="H56" s="127"/>
      <c r="I56" s="127"/>
      <c r="J56" s="128"/>
      <c r="K56" s="3">
        <f>SUM(K51:K55)</f>
        <v>0</v>
      </c>
      <c r="L56" s="16" t="str">
        <f>IF(K56=0,"0% Anteil am Gesamtprojektrisiko",(K56/$K$123))</f>
        <v>0% Anteil am Gesamtprojektrisiko</v>
      </c>
    </row>
    <row r="57" spans="1:12" ht="20.25" x14ac:dyDescent="0.2">
      <c r="A57" s="137"/>
      <c r="B57" s="141" t="s">
        <v>27</v>
      </c>
      <c r="C57" s="7"/>
      <c r="D57" s="7"/>
      <c r="E57" s="6"/>
      <c r="F57" s="6"/>
      <c r="G57" s="8"/>
      <c r="H57" s="9"/>
      <c r="I57" s="8"/>
      <c r="J57" s="1" t="e">
        <f>1-VLOOKUP(H57,'Modell-Kalibrierung'!$B$3:$C$8,2,0)</f>
        <v>#N/A</v>
      </c>
      <c r="K57" s="93">
        <f>IF(ISNA(J57),0,VLOOKUP(G57,'Modell-Kalibrierung'!$B$16:$C$22,2,FALSE)*VLOOKUP(H57,'Modell-Kalibrierung'!$B$3:$C$8,2,0)+VLOOKUP(I57,'Modell-Kalibrierung'!$B$16:$C$22,2,0)*'STEP-Analyse China'!J57)</f>
        <v>0</v>
      </c>
      <c r="L57" s="6"/>
    </row>
    <row r="58" spans="1:12" ht="20.25" x14ac:dyDescent="0.2">
      <c r="A58" s="137"/>
      <c r="B58" s="139"/>
      <c r="C58" s="11"/>
      <c r="D58" s="11"/>
      <c r="E58" s="6"/>
      <c r="F58" s="10"/>
      <c r="G58" s="8"/>
      <c r="H58" s="9"/>
      <c r="I58" s="8"/>
      <c r="J58" s="1" t="e">
        <f>1-VLOOKUP(H58,'Modell-Kalibrierung'!$B$3:$C$8,2,0)</f>
        <v>#N/A</v>
      </c>
      <c r="K58" s="93">
        <f>IF(ISNA(J58),0,VLOOKUP(G58,'Modell-Kalibrierung'!$B$16:$C$22,2,FALSE)*VLOOKUP(H58,'Modell-Kalibrierung'!$B$3:$C$8,2,0)+VLOOKUP(I58,'Modell-Kalibrierung'!$B$16:$C$22,2,0)*'STEP-Analyse China'!J58)</f>
        <v>0</v>
      </c>
      <c r="L58" s="6"/>
    </row>
    <row r="59" spans="1:12" ht="20.25" x14ac:dyDescent="0.2">
      <c r="A59" s="137"/>
      <c r="B59" s="139"/>
      <c r="C59" s="11"/>
      <c r="D59" s="11"/>
      <c r="E59" s="6"/>
      <c r="F59" s="10"/>
      <c r="G59" s="8"/>
      <c r="H59" s="9"/>
      <c r="I59" s="8"/>
      <c r="J59" s="1" t="e">
        <f>1-VLOOKUP(H59,'Modell-Kalibrierung'!$B$3:$C$8,2,0)</f>
        <v>#N/A</v>
      </c>
      <c r="K59" s="93">
        <f>IF(ISNA(J59),0,VLOOKUP(G59,'Modell-Kalibrierung'!$B$16:$C$22,2,FALSE)*VLOOKUP(H59,'Modell-Kalibrierung'!$B$3:$C$8,2,0)+VLOOKUP(I59,'Modell-Kalibrierung'!$B$16:$C$22,2,0)*'STEP-Analyse China'!J59)</f>
        <v>0</v>
      </c>
      <c r="L59" s="6"/>
    </row>
    <row r="60" spans="1:12" ht="20.25" x14ac:dyDescent="0.2">
      <c r="A60" s="137"/>
      <c r="B60" s="139"/>
      <c r="C60" s="11"/>
      <c r="D60" s="11"/>
      <c r="E60" s="6"/>
      <c r="F60" s="10"/>
      <c r="G60" s="8"/>
      <c r="H60" s="9"/>
      <c r="I60" s="8"/>
      <c r="J60" s="1" t="e">
        <f>1-VLOOKUP(H60,'Modell-Kalibrierung'!$B$3:$C$8,2,0)</f>
        <v>#N/A</v>
      </c>
      <c r="K60" s="93">
        <f>IF(ISNA(J60),0,VLOOKUP(G60,'Modell-Kalibrierung'!$B$16:$C$22,2,FALSE)*VLOOKUP(H60,'Modell-Kalibrierung'!$B$3:$C$8,2,0)+VLOOKUP(I60,'Modell-Kalibrierung'!$B$16:$C$22,2,0)*'STEP-Analyse China'!J60)</f>
        <v>0</v>
      </c>
      <c r="L60" s="6"/>
    </row>
    <row r="61" spans="1:12" ht="21" thickBot="1" x14ac:dyDescent="0.25">
      <c r="A61" s="137"/>
      <c r="B61" s="139"/>
      <c r="C61" s="11"/>
      <c r="D61" s="11"/>
      <c r="E61" s="6"/>
      <c r="F61" s="10"/>
      <c r="G61" s="8"/>
      <c r="H61" s="9"/>
      <c r="I61" s="8"/>
      <c r="J61" s="1" t="e">
        <f>1-VLOOKUP(H61,'Modell-Kalibrierung'!$B$3:$C$8,2,0)</f>
        <v>#N/A</v>
      </c>
      <c r="K61" s="93">
        <f>IF(ISNA(J61),0,VLOOKUP(G61,'Modell-Kalibrierung'!$B$16:$C$22,2,FALSE)*VLOOKUP(H61,'Modell-Kalibrierung'!$B$3:$C$8,2,0)+VLOOKUP(I61,'Modell-Kalibrierung'!$B$16:$C$22,2,0)*'STEP-Analyse China'!J61)</f>
        <v>0</v>
      </c>
      <c r="L61" s="6"/>
    </row>
    <row r="62" spans="1:12" ht="36" customHeight="1" thickBot="1" x14ac:dyDescent="0.25">
      <c r="A62" s="137"/>
      <c r="B62" s="140"/>
      <c r="C62" s="125" t="str">
        <f>B57</f>
        <v xml:space="preserve">Inflation, Zinsen, Wechselkurse </v>
      </c>
      <c r="D62" s="126"/>
      <c r="E62" s="126"/>
      <c r="F62" s="126"/>
      <c r="G62" s="127"/>
      <c r="H62" s="127"/>
      <c r="I62" s="127"/>
      <c r="J62" s="128"/>
      <c r="K62" s="3">
        <f>SUM(K57:K61)</f>
        <v>0</v>
      </c>
      <c r="L62" s="16" t="str">
        <f>IF(K62=0,"0% Anteil am Gesamtprojektrisiko",(K62/$K$123))</f>
        <v>0% Anteil am Gesamtprojektrisiko</v>
      </c>
    </row>
    <row r="63" spans="1:12" ht="20.25" x14ac:dyDescent="0.2">
      <c r="A63" s="137"/>
      <c r="B63" s="141" t="s">
        <v>28</v>
      </c>
      <c r="C63" s="7"/>
      <c r="D63" s="7"/>
      <c r="E63" s="6"/>
      <c r="F63" s="6"/>
      <c r="G63" s="8"/>
      <c r="H63" s="9"/>
      <c r="I63" s="8"/>
      <c r="J63" s="1" t="e">
        <f>1-VLOOKUP(H63,'Modell-Kalibrierung'!$B$3:$C$8,2,0)</f>
        <v>#N/A</v>
      </c>
      <c r="K63" s="93">
        <f>IF(ISNA(J63),0,VLOOKUP(G63,'Modell-Kalibrierung'!$B$16:$C$22,2,FALSE)*VLOOKUP(H63,'Modell-Kalibrierung'!$B$3:$C$8,2,0)+VLOOKUP(I63,'Modell-Kalibrierung'!$B$16:$C$22,2,0)*'STEP-Analyse China'!J63)</f>
        <v>0</v>
      </c>
      <c r="L63" s="6"/>
    </row>
    <row r="64" spans="1:12" ht="20.25" x14ac:dyDescent="0.2">
      <c r="A64" s="137"/>
      <c r="B64" s="139"/>
      <c r="C64" s="11"/>
      <c r="D64" s="11"/>
      <c r="E64" s="6"/>
      <c r="F64" s="10"/>
      <c r="G64" s="8"/>
      <c r="H64" s="9"/>
      <c r="I64" s="8"/>
      <c r="J64" s="1" t="e">
        <f>1-VLOOKUP(H64,'Modell-Kalibrierung'!$B$3:$C$8,2,0)</f>
        <v>#N/A</v>
      </c>
      <c r="K64" s="93">
        <f>IF(ISNA(J64),0,VLOOKUP(G64,'Modell-Kalibrierung'!$B$16:$C$22,2,FALSE)*VLOOKUP(H64,'Modell-Kalibrierung'!$B$3:$C$8,2,0)+VLOOKUP(I64,'Modell-Kalibrierung'!$B$16:$C$22,2,0)*'STEP-Analyse China'!J64)</f>
        <v>0</v>
      </c>
      <c r="L64" s="6"/>
    </row>
    <row r="65" spans="1:12" ht="20.25" x14ac:dyDescent="0.2">
      <c r="A65" s="137"/>
      <c r="B65" s="139"/>
      <c r="C65" s="11"/>
      <c r="D65" s="11"/>
      <c r="E65" s="6"/>
      <c r="F65" s="10"/>
      <c r="G65" s="8"/>
      <c r="H65" s="9"/>
      <c r="I65" s="8"/>
      <c r="J65" s="1" t="e">
        <f>1-VLOOKUP(H65,'Modell-Kalibrierung'!$B$3:$C$8,2,0)</f>
        <v>#N/A</v>
      </c>
      <c r="K65" s="93">
        <f>IF(ISNA(J65),0,VLOOKUP(G65,'Modell-Kalibrierung'!$B$16:$C$22,2,FALSE)*VLOOKUP(H65,'Modell-Kalibrierung'!$B$3:$C$8,2,0)+VLOOKUP(I65,'Modell-Kalibrierung'!$B$16:$C$22,2,0)*'STEP-Analyse China'!J65)</f>
        <v>0</v>
      </c>
      <c r="L65" s="6"/>
    </row>
    <row r="66" spans="1:12" ht="20.25" x14ac:dyDescent="0.2">
      <c r="A66" s="137"/>
      <c r="B66" s="139"/>
      <c r="C66" s="11"/>
      <c r="D66" s="11"/>
      <c r="E66" s="6"/>
      <c r="F66" s="10"/>
      <c r="G66" s="8"/>
      <c r="H66" s="9"/>
      <c r="I66" s="8"/>
      <c r="J66" s="1" t="e">
        <f>1-VLOOKUP(H66,'Modell-Kalibrierung'!$B$3:$C$8,2,0)</f>
        <v>#N/A</v>
      </c>
      <c r="K66" s="93">
        <f>IF(ISNA(J66),0,VLOOKUP(G66,'Modell-Kalibrierung'!$B$16:$C$22,2,FALSE)*VLOOKUP(H66,'Modell-Kalibrierung'!$B$3:$C$8,2,0)+VLOOKUP(I66,'Modell-Kalibrierung'!$B$16:$C$22,2,0)*'STEP-Analyse China'!J66)</f>
        <v>0</v>
      </c>
      <c r="L66" s="6"/>
    </row>
    <row r="67" spans="1:12" ht="21" thickBot="1" x14ac:dyDescent="0.25">
      <c r="A67" s="137"/>
      <c r="B67" s="139"/>
      <c r="C67" s="11"/>
      <c r="D67" s="11"/>
      <c r="E67" s="6"/>
      <c r="F67" s="10"/>
      <c r="G67" s="8"/>
      <c r="H67" s="9"/>
      <c r="I67" s="8"/>
      <c r="J67" s="1" t="e">
        <f>1-VLOOKUP(H67,'Modell-Kalibrierung'!$B$3:$C$8,2,0)</f>
        <v>#N/A</v>
      </c>
      <c r="K67" s="93">
        <f>IF(ISNA(J67),0,VLOOKUP(G67,'Modell-Kalibrierung'!$B$16:$C$22,2,FALSE)*VLOOKUP(H67,'Modell-Kalibrierung'!$B$3:$C$8,2,0)+VLOOKUP(I67,'Modell-Kalibrierung'!$B$16:$C$22,2,0)*'STEP-Analyse China'!J67)</f>
        <v>0</v>
      </c>
      <c r="L67" s="6"/>
    </row>
    <row r="68" spans="1:12" ht="36" customHeight="1" thickBot="1" x14ac:dyDescent="0.25">
      <c r="A68" s="137"/>
      <c r="B68" s="140"/>
      <c r="C68" s="125" t="str">
        <f>B63</f>
        <v xml:space="preserve">Arbeitsmarkt (Quantität/ Qualität ...) </v>
      </c>
      <c r="D68" s="126"/>
      <c r="E68" s="126"/>
      <c r="F68" s="126"/>
      <c r="G68" s="127"/>
      <c r="H68" s="127"/>
      <c r="I68" s="127"/>
      <c r="J68" s="128"/>
      <c r="K68" s="3">
        <f>SUM(K63:K67)</f>
        <v>0</v>
      </c>
      <c r="L68" s="16" t="str">
        <f>IF(K68=0,"0% Anteil am Gesamtprojektrisiko",(K68/$K$123))</f>
        <v>0% Anteil am Gesamtprojektrisiko</v>
      </c>
    </row>
    <row r="69" spans="1:12" ht="20.25" x14ac:dyDescent="0.2">
      <c r="A69" s="137"/>
      <c r="B69" s="141" t="s">
        <v>29</v>
      </c>
      <c r="C69" s="7"/>
      <c r="D69" s="7"/>
      <c r="E69" s="6"/>
      <c r="F69" s="6"/>
      <c r="G69" s="8"/>
      <c r="H69" s="9"/>
      <c r="I69" s="8"/>
      <c r="J69" s="1" t="e">
        <f>1-VLOOKUP(H69,'Modell-Kalibrierung'!$B$3:$C$8,2,0)</f>
        <v>#N/A</v>
      </c>
      <c r="K69" s="93">
        <f>IF(ISNA(J69),0,VLOOKUP(G69,'Modell-Kalibrierung'!$B$16:$C$22,2,FALSE)*VLOOKUP(H69,'Modell-Kalibrierung'!$B$3:$C$8,2,0)+VLOOKUP(I69,'Modell-Kalibrierung'!$B$16:$C$22,2,0)*'STEP-Analyse China'!J69)</f>
        <v>0</v>
      </c>
      <c r="L69" s="6"/>
    </row>
    <row r="70" spans="1:12" ht="20.25" x14ac:dyDescent="0.2">
      <c r="A70" s="137"/>
      <c r="B70" s="139"/>
      <c r="C70" s="11"/>
      <c r="D70" s="11"/>
      <c r="E70" s="6"/>
      <c r="F70" s="10"/>
      <c r="G70" s="8"/>
      <c r="H70" s="9"/>
      <c r="I70" s="8"/>
      <c r="J70" s="1" t="e">
        <f>1-VLOOKUP(H70,'Modell-Kalibrierung'!$B$3:$C$8,2,0)</f>
        <v>#N/A</v>
      </c>
      <c r="K70" s="93">
        <f>IF(ISNA(J70),0,VLOOKUP(G70,'Modell-Kalibrierung'!$B$16:$C$22,2,FALSE)*VLOOKUP(H70,'Modell-Kalibrierung'!$B$3:$C$8,2,0)+VLOOKUP(I70,'Modell-Kalibrierung'!$B$16:$C$22,2,0)*'STEP-Analyse China'!J70)</f>
        <v>0</v>
      </c>
      <c r="L70" s="6"/>
    </row>
    <row r="71" spans="1:12" ht="20.25" x14ac:dyDescent="0.2">
      <c r="A71" s="137"/>
      <c r="B71" s="139"/>
      <c r="C71" s="11"/>
      <c r="D71" s="11"/>
      <c r="E71" s="6"/>
      <c r="F71" s="10"/>
      <c r="G71" s="8"/>
      <c r="H71" s="9"/>
      <c r="I71" s="8"/>
      <c r="J71" s="1" t="e">
        <f>1-VLOOKUP(H71,'Modell-Kalibrierung'!$B$3:$C$8,2,0)</f>
        <v>#N/A</v>
      </c>
      <c r="K71" s="93">
        <f>IF(ISNA(J71),0,VLOOKUP(G71,'Modell-Kalibrierung'!$B$16:$C$22,2,FALSE)*VLOOKUP(H71,'Modell-Kalibrierung'!$B$3:$C$8,2,0)+VLOOKUP(I71,'Modell-Kalibrierung'!$B$16:$C$22,2,0)*'STEP-Analyse China'!J71)</f>
        <v>0</v>
      </c>
      <c r="L71" s="6"/>
    </row>
    <row r="72" spans="1:12" ht="20.25" x14ac:dyDescent="0.2">
      <c r="A72" s="137"/>
      <c r="B72" s="139"/>
      <c r="C72" s="11"/>
      <c r="D72" s="11"/>
      <c r="E72" s="6"/>
      <c r="F72" s="10"/>
      <c r="G72" s="8"/>
      <c r="H72" s="9"/>
      <c r="I72" s="8"/>
      <c r="J72" s="1" t="e">
        <f>1-VLOOKUP(H72,'Modell-Kalibrierung'!$B$3:$C$8,2,0)</f>
        <v>#N/A</v>
      </c>
      <c r="K72" s="93">
        <f>IF(ISNA(J72),0,VLOOKUP(G72,'Modell-Kalibrierung'!$B$16:$C$22,2,FALSE)*VLOOKUP(H72,'Modell-Kalibrierung'!$B$3:$C$8,2,0)+VLOOKUP(I72,'Modell-Kalibrierung'!$B$16:$C$22,2,0)*'STEP-Analyse China'!J72)</f>
        <v>0</v>
      </c>
      <c r="L72" s="6"/>
    </row>
    <row r="73" spans="1:12" ht="21" thickBot="1" x14ac:dyDescent="0.25">
      <c r="A73" s="137"/>
      <c r="B73" s="139"/>
      <c r="C73" s="11"/>
      <c r="D73" s="11"/>
      <c r="E73" s="6"/>
      <c r="F73" s="10"/>
      <c r="G73" s="8"/>
      <c r="H73" s="9"/>
      <c r="I73" s="8"/>
      <c r="J73" s="1" t="e">
        <f>1-VLOOKUP(H73,'Modell-Kalibrierung'!$B$3:$C$8,2,0)</f>
        <v>#N/A</v>
      </c>
      <c r="K73" s="93">
        <f>IF(ISNA(J73),0,VLOOKUP(G73,'Modell-Kalibrierung'!$B$16:$C$22,2,FALSE)*VLOOKUP(H73,'Modell-Kalibrierung'!$B$3:$C$8,2,0)+VLOOKUP(I73,'Modell-Kalibrierung'!$B$16:$C$22,2,0)*'STEP-Analyse China'!J73)</f>
        <v>0</v>
      </c>
      <c r="L73" s="6"/>
    </row>
    <row r="74" spans="1:12" ht="36" customHeight="1" thickBot="1" x14ac:dyDescent="0.25">
      <c r="A74" s="137"/>
      <c r="B74" s="139"/>
      <c r="C74" s="125" t="str">
        <f>B69</f>
        <v xml:space="preserve">Globalisierung/ Internationalisierung </v>
      </c>
      <c r="D74" s="126"/>
      <c r="E74" s="126"/>
      <c r="F74" s="126"/>
      <c r="G74" s="127"/>
      <c r="H74" s="127"/>
      <c r="I74" s="127"/>
      <c r="J74" s="128"/>
      <c r="K74" s="3">
        <f>SUM(K69:K73)</f>
        <v>0</v>
      </c>
      <c r="L74" s="16" t="str">
        <f>IF(K74=0,"0% Anteil am Gesamtprojektrisiko",(K74/$K$123))</f>
        <v>0% Anteil am Gesamtprojektrisiko</v>
      </c>
    </row>
    <row r="75" spans="1:12" ht="20.25" x14ac:dyDescent="0.2">
      <c r="A75" s="137"/>
      <c r="B75" s="141" t="s">
        <v>30</v>
      </c>
      <c r="C75" s="11"/>
      <c r="D75" s="11"/>
      <c r="E75" s="10"/>
      <c r="F75" s="10"/>
      <c r="G75" s="8"/>
      <c r="H75" s="9"/>
      <c r="I75" s="8"/>
      <c r="J75" s="5" t="e">
        <f>1-VLOOKUP(H75,'Modell-Kalibrierung'!$B$3:$C$8,2,0)</f>
        <v>#N/A</v>
      </c>
      <c r="K75" s="93">
        <f>IF(ISNA(J75),0,VLOOKUP(G75,'Modell-Kalibrierung'!$B$16:$C$22,2,FALSE)*VLOOKUP(H75,'Modell-Kalibrierung'!$B$3:$C$8,2,0)+VLOOKUP(I75,'Modell-Kalibrierung'!$B$16:$C$22,2,0)*'STEP-Analyse China'!J75)</f>
        <v>0</v>
      </c>
      <c r="L75" s="10"/>
    </row>
    <row r="76" spans="1:12" ht="20.25" x14ac:dyDescent="0.2">
      <c r="A76" s="137"/>
      <c r="B76" s="139"/>
      <c r="C76" s="11"/>
      <c r="D76" s="11"/>
      <c r="E76" s="6"/>
      <c r="F76" s="10"/>
      <c r="G76" s="8"/>
      <c r="H76" s="9"/>
      <c r="I76" s="8"/>
      <c r="J76" s="1" t="e">
        <f>1-VLOOKUP(H76,'Modell-Kalibrierung'!$B$3:$C$8,2,0)</f>
        <v>#N/A</v>
      </c>
      <c r="K76" s="93">
        <f>IF(ISNA(J76),0,VLOOKUP(G76,'Modell-Kalibrierung'!$B$16:$C$22,2,FALSE)*VLOOKUP(H76,'Modell-Kalibrierung'!$B$3:$C$8,2,0)+VLOOKUP(I76,'Modell-Kalibrierung'!$B$16:$C$22,2,0)*'STEP-Analyse China'!J76)</f>
        <v>0</v>
      </c>
      <c r="L76" s="6"/>
    </row>
    <row r="77" spans="1:12" ht="20.25" x14ac:dyDescent="0.2">
      <c r="A77" s="137"/>
      <c r="B77" s="139"/>
      <c r="C77" s="11"/>
      <c r="D77" s="11"/>
      <c r="E77" s="6"/>
      <c r="F77" s="10"/>
      <c r="G77" s="8"/>
      <c r="H77" s="9"/>
      <c r="I77" s="8"/>
      <c r="J77" s="1" t="e">
        <f>1-VLOOKUP(H77,'Modell-Kalibrierung'!$B$3:$C$8,2,0)</f>
        <v>#N/A</v>
      </c>
      <c r="K77" s="93">
        <f>IF(ISNA(J77),0,VLOOKUP(G77,'Modell-Kalibrierung'!$B$16:$C$22,2,FALSE)*VLOOKUP(H77,'Modell-Kalibrierung'!$B$3:$C$8,2,0)+VLOOKUP(I77,'Modell-Kalibrierung'!$B$16:$C$22,2,0)*'STEP-Analyse China'!J77)</f>
        <v>0</v>
      </c>
      <c r="L77" s="6"/>
    </row>
    <row r="78" spans="1:12" ht="20.25" x14ac:dyDescent="0.2">
      <c r="A78" s="137"/>
      <c r="B78" s="139"/>
      <c r="C78" s="11"/>
      <c r="D78" s="11"/>
      <c r="E78" s="6"/>
      <c r="F78" s="10"/>
      <c r="G78" s="8"/>
      <c r="H78" s="9"/>
      <c r="I78" s="8"/>
      <c r="J78" s="1" t="e">
        <f>1-VLOOKUP(H78,'Modell-Kalibrierung'!$B$3:$C$8,2,0)</f>
        <v>#N/A</v>
      </c>
      <c r="K78" s="93">
        <f>IF(ISNA(J78),0,VLOOKUP(G78,'Modell-Kalibrierung'!$B$16:$C$22,2,FALSE)*VLOOKUP(H78,'Modell-Kalibrierung'!$B$3:$C$8,2,0)+VLOOKUP(I78,'Modell-Kalibrierung'!$B$16:$C$22,2,0)*'STEP-Analyse China'!J78)</f>
        <v>0</v>
      </c>
      <c r="L78" s="6"/>
    </row>
    <row r="79" spans="1:12" ht="21" thickBot="1" x14ac:dyDescent="0.25">
      <c r="A79" s="137"/>
      <c r="B79" s="139"/>
      <c r="C79" s="11"/>
      <c r="D79" s="11"/>
      <c r="E79" s="6"/>
      <c r="F79" s="10"/>
      <c r="G79" s="8"/>
      <c r="H79" s="9"/>
      <c r="I79" s="8"/>
      <c r="J79" s="1" t="e">
        <f>1-VLOOKUP(H79,'Modell-Kalibrierung'!$B$3:$C$8,2,0)</f>
        <v>#N/A</v>
      </c>
      <c r="K79" s="93">
        <f>IF(ISNA(J79),0,VLOOKUP(G79,'Modell-Kalibrierung'!$B$16:$C$22,2,FALSE)*VLOOKUP(H79,'Modell-Kalibrierung'!$B$3:$C$8,2,0)+VLOOKUP(I79,'Modell-Kalibrierung'!$B$16:$C$22,2,0)*'STEP-Analyse China'!J79)</f>
        <v>0</v>
      </c>
      <c r="L79" s="6"/>
    </row>
    <row r="80" spans="1:12" ht="36" customHeight="1" thickBot="1" x14ac:dyDescent="0.25">
      <c r="A80" s="138"/>
      <c r="B80" s="150"/>
      <c r="C80" s="132" t="str">
        <f>B75</f>
        <v xml:space="preserve">Ressourcenverfügbarkeit </v>
      </c>
      <c r="D80" s="133"/>
      <c r="E80" s="133"/>
      <c r="F80" s="133"/>
      <c r="G80" s="134"/>
      <c r="H80" s="134"/>
      <c r="I80" s="134"/>
      <c r="J80" s="135"/>
      <c r="K80" s="3">
        <f>SUM(K75:K79)</f>
        <v>0</v>
      </c>
      <c r="L80" s="16" t="str">
        <f>IF(K80=0,"0% Anteil am Gesamtprojektrisiko",(K80/$K$123))</f>
        <v>0% Anteil am Gesamtprojektrisiko</v>
      </c>
    </row>
    <row r="81" spans="1:12" ht="20.25" x14ac:dyDescent="0.2">
      <c r="A81" s="144" t="s">
        <v>4</v>
      </c>
      <c r="B81" s="139" t="s">
        <v>31</v>
      </c>
      <c r="C81" s="6"/>
      <c r="D81" s="7"/>
      <c r="E81" s="6"/>
      <c r="F81" s="6"/>
      <c r="G81" s="9"/>
      <c r="H81" s="9"/>
      <c r="I81" s="9"/>
      <c r="J81" s="1" t="e">
        <f>1-VLOOKUP(H81,'Modell-Kalibrierung'!$B$3:$C$8,2,0)</f>
        <v>#N/A</v>
      </c>
      <c r="K81" s="93">
        <f>IF(ISNA(J81),0,VLOOKUP(G81,'Modell-Kalibrierung'!$B$16:$C$22,2,FALSE)*VLOOKUP(H81,'Modell-Kalibrierung'!$B$3:$C$8,2,0)+VLOOKUP(I81,'Modell-Kalibrierung'!$B$16:$C$22,2,0)*'STEP-Analyse China'!J81)</f>
        <v>0</v>
      </c>
      <c r="L81" s="6"/>
    </row>
    <row r="82" spans="1:12" ht="20.25" x14ac:dyDescent="0.2">
      <c r="A82" s="145"/>
      <c r="B82" s="139"/>
      <c r="C82" s="10"/>
      <c r="D82" s="11"/>
      <c r="E82" s="6"/>
      <c r="F82" s="10"/>
      <c r="G82" s="8"/>
      <c r="H82" s="9"/>
      <c r="I82" s="8"/>
      <c r="J82" s="1" t="e">
        <f>1-VLOOKUP(H82,'Modell-Kalibrierung'!$B$3:$C$8,2,0)</f>
        <v>#N/A</v>
      </c>
      <c r="K82" s="93">
        <f>IF(ISNA(J82),0,VLOOKUP(G82,'Modell-Kalibrierung'!$B$16:$C$22,2,FALSE)*VLOOKUP(H82,'Modell-Kalibrierung'!$B$3:$C$8,2,0)+VLOOKUP(I82,'Modell-Kalibrierung'!$B$16:$C$22,2,0)*'STEP-Analyse China'!J82)</f>
        <v>0</v>
      </c>
      <c r="L82" s="6"/>
    </row>
    <row r="83" spans="1:12" ht="20.25" x14ac:dyDescent="0.2">
      <c r="A83" s="145"/>
      <c r="B83" s="139"/>
      <c r="C83" s="10"/>
      <c r="D83" s="11"/>
      <c r="E83" s="6"/>
      <c r="F83" s="10"/>
      <c r="G83" s="8"/>
      <c r="H83" s="9"/>
      <c r="I83" s="8"/>
      <c r="J83" s="1" t="e">
        <f>1-VLOOKUP(H83,'Modell-Kalibrierung'!$B$3:$C$8,2,0)</f>
        <v>#N/A</v>
      </c>
      <c r="K83" s="93">
        <f>IF(ISNA(J83),0,VLOOKUP(G83,'Modell-Kalibrierung'!$B$16:$C$22,2,FALSE)*VLOOKUP(H83,'Modell-Kalibrierung'!$B$3:$C$8,2,0)+VLOOKUP(I83,'Modell-Kalibrierung'!$B$16:$C$22,2,0)*'STEP-Analyse China'!J83)</f>
        <v>0</v>
      </c>
      <c r="L83" s="6"/>
    </row>
    <row r="84" spans="1:12" ht="20.25" x14ac:dyDescent="0.2">
      <c r="A84" s="145"/>
      <c r="B84" s="139"/>
      <c r="C84" s="10"/>
      <c r="D84" s="11"/>
      <c r="E84" s="6"/>
      <c r="F84" s="10"/>
      <c r="G84" s="8"/>
      <c r="H84" s="9"/>
      <c r="I84" s="8"/>
      <c r="J84" s="1" t="e">
        <f>1-VLOOKUP(H84,'Modell-Kalibrierung'!$B$3:$C$8,2,0)</f>
        <v>#N/A</v>
      </c>
      <c r="K84" s="93">
        <f>IF(ISNA(J84),0,VLOOKUP(G84,'Modell-Kalibrierung'!$B$16:$C$22,2,FALSE)*VLOOKUP(H84,'Modell-Kalibrierung'!$B$3:$C$8,2,0)+VLOOKUP(I84,'Modell-Kalibrierung'!$B$16:$C$22,2,0)*'STEP-Analyse China'!J84)</f>
        <v>0</v>
      </c>
      <c r="L84" s="6"/>
    </row>
    <row r="85" spans="1:12" ht="21" thickBot="1" x14ac:dyDescent="0.25">
      <c r="A85" s="145"/>
      <c r="B85" s="139"/>
      <c r="C85" s="10"/>
      <c r="D85" s="11"/>
      <c r="E85" s="6"/>
      <c r="F85" s="10"/>
      <c r="G85" s="8"/>
      <c r="H85" s="9"/>
      <c r="I85" s="8"/>
      <c r="J85" s="1" t="e">
        <f>1-VLOOKUP(H85,'Modell-Kalibrierung'!$B$3:$C$8,2,0)</f>
        <v>#N/A</v>
      </c>
      <c r="K85" s="93">
        <f>IF(ISNA(J85),0,VLOOKUP(G85,'Modell-Kalibrierung'!$B$16:$C$22,2,FALSE)*VLOOKUP(H85,'Modell-Kalibrierung'!$B$3:$C$8,2,0)+VLOOKUP(I85,'Modell-Kalibrierung'!$B$16:$C$22,2,0)*'STEP-Analyse China'!J85)</f>
        <v>0</v>
      </c>
      <c r="L85" s="6"/>
    </row>
    <row r="86" spans="1:12" ht="36" customHeight="1" thickBot="1" x14ac:dyDescent="0.25">
      <c r="A86" s="145"/>
      <c r="B86" s="140"/>
      <c r="C86" s="125" t="str">
        <f>B81</f>
        <v xml:space="preserve">Werte </v>
      </c>
      <c r="D86" s="126"/>
      <c r="E86" s="126"/>
      <c r="F86" s="126"/>
      <c r="G86" s="127"/>
      <c r="H86" s="127"/>
      <c r="I86" s="127"/>
      <c r="J86" s="128"/>
      <c r="K86" s="3">
        <f>SUM(K81:K85)</f>
        <v>0</v>
      </c>
      <c r="L86" s="16" t="str">
        <f>IF(K86=0,"0% Anteil am Gesamtprojektrisiko",(K86/$K$123))</f>
        <v>0% Anteil am Gesamtprojektrisiko</v>
      </c>
    </row>
    <row r="87" spans="1:12" ht="20.25" x14ac:dyDescent="0.2">
      <c r="A87" s="146"/>
      <c r="B87" s="141" t="s">
        <v>8</v>
      </c>
      <c r="C87" s="7"/>
      <c r="D87" s="7"/>
      <c r="E87" s="6"/>
      <c r="F87" s="6"/>
      <c r="G87" s="8"/>
      <c r="H87" s="9"/>
      <c r="I87" s="8"/>
      <c r="J87" s="1" t="e">
        <f>1-VLOOKUP(H87,'Modell-Kalibrierung'!$B$3:$C$8,2,0)</f>
        <v>#N/A</v>
      </c>
      <c r="K87" s="93">
        <f>IF(ISNA(J87),0,VLOOKUP(G87,'Modell-Kalibrierung'!$B$16:$C$22,2,FALSE)*VLOOKUP(H87,'Modell-Kalibrierung'!$B$3:$C$8,2,0)+VLOOKUP(I87,'Modell-Kalibrierung'!$B$16:$C$22,2,0)*'STEP-Analyse China'!J87)</f>
        <v>0</v>
      </c>
      <c r="L87" s="6"/>
    </row>
    <row r="88" spans="1:12" ht="20.25" x14ac:dyDescent="0.2">
      <c r="A88" s="146"/>
      <c r="B88" s="139"/>
      <c r="C88" s="11"/>
      <c r="D88" s="11"/>
      <c r="E88" s="6"/>
      <c r="F88" s="10"/>
      <c r="G88" s="8"/>
      <c r="H88" s="9"/>
      <c r="I88" s="8"/>
      <c r="J88" s="1" t="e">
        <f>1-VLOOKUP(H88,'Modell-Kalibrierung'!$B$3:$C$8,2,0)</f>
        <v>#N/A</v>
      </c>
      <c r="K88" s="93">
        <f>IF(ISNA(J88),0,VLOOKUP(G88,'Modell-Kalibrierung'!$B$16:$C$22,2,FALSE)*VLOOKUP(H88,'Modell-Kalibrierung'!$B$3:$C$8,2,0)+VLOOKUP(I88,'Modell-Kalibrierung'!$B$16:$C$22,2,0)*'STEP-Analyse China'!J88)</f>
        <v>0</v>
      </c>
      <c r="L88" s="6"/>
    </row>
    <row r="89" spans="1:12" ht="20.25" x14ac:dyDescent="0.2">
      <c r="A89" s="146"/>
      <c r="B89" s="139"/>
      <c r="C89" s="11"/>
      <c r="D89" s="11"/>
      <c r="E89" s="6"/>
      <c r="F89" s="10"/>
      <c r="G89" s="8"/>
      <c r="H89" s="9"/>
      <c r="I89" s="8"/>
      <c r="J89" s="1" t="e">
        <f>1-VLOOKUP(H89,'Modell-Kalibrierung'!$B$3:$C$8,2,0)</f>
        <v>#N/A</v>
      </c>
      <c r="K89" s="93">
        <f>IF(ISNA(J89),0,VLOOKUP(G89,'Modell-Kalibrierung'!$B$16:$C$22,2,FALSE)*VLOOKUP(H89,'Modell-Kalibrierung'!$B$3:$C$8,2,0)+VLOOKUP(I89,'Modell-Kalibrierung'!$B$16:$C$22,2,0)*'STEP-Analyse China'!J89)</f>
        <v>0</v>
      </c>
      <c r="L89" s="6"/>
    </row>
    <row r="90" spans="1:12" ht="20.25" x14ac:dyDescent="0.2">
      <c r="A90" s="146"/>
      <c r="B90" s="139"/>
      <c r="C90" s="11"/>
      <c r="D90" s="11"/>
      <c r="E90" s="6"/>
      <c r="F90" s="10"/>
      <c r="G90" s="8"/>
      <c r="H90" s="9"/>
      <c r="I90" s="8"/>
      <c r="J90" s="1" t="e">
        <f>1-VLOOKUP(H90,'Modell-Kalibrierung'!$B$3:$C$8,2,0)</f>
        <v>#N/A</v>
      </c>
      <c r="K90" s="93">
        <f>IF(ISNA(J90),0,VLOOKUP(G90,'Modell-Kalibrierung'!$B$16:$C$22,2,FALSE)*VLOOKUP(H90,'Modell-Kalibrierung'!$B$3:$C$8,2,0)+VLOOKUP(I90,'Modell-Kalibrierung'!$B$16:$C$22,2,0)*'STEP-Analyse China'!J90)</f>
        <v>0</v>
      </c>
      <c r="L90" s="6"/>
    </row>
    <row r="91" spans="1:12" ht="21" thickBot="1" x14ac:dyDescent="0.25">
      <c r="A91" s="146"/>
      <c r="B91" s="139"/>
      <c r="C91" s="11"/>
      <c r="D91" s="11"/>
      <c r="E91" s="6"/>
      <c r="F91" s="10"/>
      <c r="G91" s="8"/>
      <c r="H91" s="9"/>
      <c r="I91" s="8"/>
      <c r="J91" s="1" t="e">
        <f>1-VLOOKUP(H91,'Modell-Kalibrierung'!$B$3:$C$8,2,0)</f>
        <v>#N/A</v>
      </c>
      <c r="K91" s="93">
        <f>IF(ISNA(J91),0,VLOOKUP(G91,'Modell-Kalibrierung'!$B$16:$C$22,2,FALSE)*VLOOKUP(H91,'Modell-Kalibrierung'!$B$3:$C$8,2,0)+VLOOKUP(I91,'Modell-Kalibrierung'!$B$16:$C$22,2,0)*'STEP-Analyse China'!J91)</f>
        <v>0</v>
      </c>
      <c r="L91" s="6"/>
    </row>
    <row r="92" spans="1:12" ht="36" customHeight="1" thickBot="1" x14ac:dyDescent="0.25">
      <c r="A92" s="146"/>
      <c r="B92" s="139"/>
      <c r="C92" s="125" t="str">
        <f>B87</f>
        <v xml:space="preserve">Lebensstil/ Mentalitäten </v>
      </c>
      <c r="D92" s="126"/>
      <c r="E92" s="126"/>
      <c r="F92" s="126"/>
      <c r="G92" s="127"/>
      <c r="H92" s="127"/>
      <c r="I92" s="127"/>
      <c r="J92" s="128"/>
      <c r="K92" s="3">
        <f>SUM(K87:K91)</f>
        <v>0</v>
      </c>
      <c r="L92" s="16" t="str">
        <f>IF(K92=0,"0% Anteil am Gesamtprojektrisiko",(K92/$K$123))</f>
        <v>0% Anteil am Gesamtprojektrisiko</v>
      </c>
    </row>
    <row r="93" spans="1:12" ht="20.25" x14ac:dyDescent="0.2">
      <c r="A93" s="146"/>
      <c r="B93" s="141" t="s">
        <v>36</v>
      </c>
      <c r="C93" s="11"/>
      <c r="D93" s="11"/>
      <c r="E93" s="10"/>
      <c r="F93" s="10"/>
      <c r="G93" s="8"/>
      <c r="H93" s="9"/>
      <c r="I93" s="8"/>
      <c r="J93" s="5" t="e">
        <f>1-VLOOKUP(H93,'Modell-Kalibrierung'!$B$3:$C$8,2,0)</f>
        <v>#N/A</v>
      </c>
      <c r="K93" s="93">
        <f>IF(ISNA(J93),0,VLOOKUP(G93,'Modell-Kalibrierung'!$B$16:$C$22,2,FALSE)*VLOOKUP(H93,'Modell-Kalibrierung'!$B$3:$C$8,2,0)+VLOOKUP(I93,'Modell-Kalibrierung'!$B$16:$C$22,2,0)*'STEP-Analyse China'!J93)</f>
        <v>0</v>
      </c>
      <c r="L93" s="10"/>
    </row>
    <row r="94" spans="1:12" ht="20.25" x14ac:dyDescent="0.2">
      <c r="A94" s="146"/>
      <c r="B94" s="139"/>
      <c r="C94" s="11"/>
      <c r="D94" s="11"/>
      <c r="E94" s="6"/>
      <c r="F94" s="10"/>
      <c r="G94" s="8"/>
      <c r="H94" s="9"/>
      <c r="I94" s="8"/>
      <c r="J94" s="1" t="e">
        <f>1-VLOOKUP(H94,'Modell-Kalibrierung'!$B$3:$C$8,2,0)</f>
        <v>#N/A</v>
      </c>
      <c r="K94" s="93">
        <f>IF(ISNA(J94),0,VLOOKUP(G94,'Modell-Kalibrierung'!$B$16:$C$22,2,FALSE)*VLOOKUP(H94,'Modell-Kalibrierung'!$B$3:$C$8,2,0)+VLOOKUP(I94,'Modell-Kalibrierung'!$B$16:$C$22,2,0)*'STEP-Analyse China'!J94)</f>
        <v>0</v>
      </c>
      <c r="L94" s="6"/>
    </row>
    <row r="95" spans="1:12" ht="20.25" x14ac:dyDescent="0.2">
      <c r="A95" s="146"/>
      <c r="B95" s="139"/>
      <c r="C95" s="11"/>
      <c r="D95" s="11"/>
      <c r="E95" s="6"/>
      <c r="F95" s="10"/>
      <c r="G95" s="8"/>
      <c r="H95" s="9"/>
      <c r="I95" s="8"/>
      <c r="J95" s="1" t="e">
        <f>1-VLOOKUP(H95,'Modell-Kalibrierung'!$B$3:$C$8,2,0)</f>
        <v>#N/A</v>
      </c>
      <c r="K95" s="93">
        <f>IF(ISNA(J95),0,VLOOKUP(G95,'Modell-Kalibrierung'!$B$16:$C$22,2,FALSE)*VLOOKUP(H95,'Modell-Kalibrierung'!$B$3:$C$8,2,0)+VLOOKUP(I95,'Modell-Kalibrierung'!$B$16:$C$22,2,0)*'STEP-Analyse China'!J95)</f>
        <v>0</v>
      </c>
      <c r="L95" s="6"/>
    </row>
    <row r="96" spans="1:12" ht="20.25" x14ac:dyDescent="0.2">
      <c r="A96" s="146"/>
      <c r="B96" s="139"/>
      <c r="C96" s="11"/>
      <c r="D96" s="11"/>
      <c r="E96" s="6"/>
      <c r="F96" s="10"/>
      <c r="G96" s="8"/>
      <c r="H96" s="9"/>
      <c r="I96" s="8"/>
      <c r="J96" s="1" t="e">
        <f>1-VLOOKUP(H96,'Modell-Kalibrierung'!$B$3:$C$8,2,0)</f>
        <v>#N/A</v>
      </c>
      <c r="K96" s="93">
        <f>IF(ISNA(J96),0,VLOOKUP(G96,'Modell-Kalibrierung'!$B$16:$C$22,2,FALSE)*VLOOKUP(H96,'Modell-Kalibrierung'!$B$3:$C$8,2,0)+VLOOKUP(I96,'Modell-Kalibrierung'!$B$16:$C$22,2,0)*'STEP-Analyse China'!J96)</f>
        <v>0</v>
      </c>
      <c r="L96" s="6"/>
    </row>
    <row r="97" spans="1:12" ht="21" thickBot="1" x14ac:dyDescent="0.25">
      <c r="A97" s="146"/>
      <c r="B97" s="139"/>
      <c r="C97" s="11"/>
      <c r="D97" s="11"/>
      <c r="E97" s="6"/>
      <c r="F97" s="10"/>
      <c r="G97" s="8"/>
      <c r="H97" s="9"/>
      <c r="I97" s="8"/>
      <c r="J97" s="1" t="e">
        <f>1-VLOOKUP(H97,'Modell-Kalibrierung'!$B$3:$C$8,2,0)</f>
        <v>#N/A</v>
      </c>
      <c r="K97" s="93">
        <f>IF(ISNA(J97),0,VLOOKUP(G97,'Modell-Kalibrierung'!$B$16:$C$22,2,FALSE)*VLOOKUP(H97,'Modell-Kalibrierung'!$B$3:$C$8,2,0)+VLOOKUP(I97,'Modell-Kalibrierung'!$B$16:$C$22,2,0)*'STEP-Analyse China'!J97)</f>
        <v>0</v>
      </c>
      <c r="L97" s="6"/>
    </row>
    <row r="98" spans="1:12" ht="36" customHeight="1" thickBot="1" x14ac:dyDescent="0.25">
      <c r="A98" s="146"/>
      <c r="B98" s="150"/>
      <c r="C98" s="132" t="str">
        <f>B93</f>
        <v>Bildung</v>
      </c>
      <c r="D98" s="133"/>
      <c r="E98" s="133"/>
      <c r="F98" s="133"/>
      <c r="G98" s="134"/>
      <c r="H98" s="134"/>
      <c r="I98" s="134"/>
      <c r="J98" s="135"/>
      <c r="K98" s="3">
        <f>SUM(K93:K97)</f>
        <v>0</v>
      </c>
      <c r="L98" s="16" t="str">
        <f>IF(K98=0,"0% Anteil am Gesamtprojektrisiko",(K98/$K$123))</f>
        <v>0% Anteil am Gesamtprojektrisiko</v>
      </c>
    </row>
    <row r="99" spans="1:12" ht="20.25" x14ac:dyDescent="0.2">
      <c r="A99" s="144" t="s">
        <v>5</v>
      </c>
      <c r="B99" s="148" t="s">
        <v>37</v>
      </c>
      <c r="C99" s="6"/>
      <c r="D99" s="7"/>
      <c r="E99" s="6"/>
      <c r="F99" s="6"/>
      <c r="G99" s="9"/>
      <c r="H99" s="9"/>
      <c r="I99" s="9"/>
      <c r="J99" s="1" t="e">
        <f>1-VLOOKUP(H99,'Modell-Kalibrierung'!$B$3:$C$8,2,0)</f>
        <v>#N/A</v>
      </c>
      <c r="K99" s="93">
        <f>IF(ISNA(J99),0,VLOOKUP(G99,'Modell-Kalibrierung'!$B$16:$C$22,2,FALSE)*VLOOKUP(H99,'Modell-Kalibrierung'!$B$3:$C$8,2,0)+VLOOKUP(I99,'Modell-Kalibrierung'!$B$16:$C$22,2,0)*'STEP-Analyse China'!J99)</f>
        <v>0</v>
      </c>
      <c r="L99" s="6"/>
    </row>
    <row r="100" spans="1:12" ht="20.25" x14ac:dyDescent="0.2">
      <c r="A100" s="145"/>
      <c r="B100" s="139"/>
      <c r="C100" s="10"/>
      <c r="D100" s="11"/>
      <c r="E100" s="6"/>
      <c r="F100" s="10"/>
      <c r="G100" s="8"/>
      <c r="H100" s="9"/>
      <c r="I100" s="8"/>
      <c r="J100" s="1" t="e">
        <f>1-VLOOKUP(H100,'Modell-Kalibrierung'!$B$3:$C$8,2,0)</f>
        <v>#N/A</v>
      </c>
      <c r="K100" s="93">
        <f>IF(ISNA(J100),0,VLOOKUP(G100,'Modell-Kalibrierung'!$B$16:$C$22,2,FALSE)*VLOOKUP(H100,'Modell-Kalibrierung'!$B$3:$C$8,2,0)+VLOOKUP(I100,'Modell-Kalibrierung'!$B$16:$C$22,2,0)*'STEP-Analyse China'!J100)</f>
        <v>0</v>
      </c>
      <c r="L100" s="6"/>
    </row>
    <row r="101" spans="1:12" ht="20.25" x14ac:dyDescent="0.2">
      <c r="A101" s="145"/>
      <c r="B101" s="139"/>
      <c r="C101" s="10"/>
      <c r="D101" s="11"/>
      <c r="E101" s="6"/>
      <c r="F101" s="10"/>
      <c r="G101" s="8"/>
      <c r="H101" s="9"/>
      <c r="I101" s="8"/>
      <c r="J101" s="1" t="e">
        <f>1-VLOOKUP(H101,'Modell-Kalibrierung'!$B$3:$C$8,2,0)</f>
        <v>#N/A</v>
      </c>
      <c r="K101" s="93">
        <f>IF(ISNA(J101),0,VLOOKUP(G101,'Modell-Kalibrierung'!$B$16:$C$22,2,FALSE)*VLOOKUP(H101,'Modell-Kalibrierung'!$B$3:$C$8,2,0)+VLOOKUP(I101,'Modell-Kalibrierung'!$B$16:$C$22,2,0)*'STEP-Analyse China'!J101)</f>
        <v>0</v>
      </c>
      <c r="L101" s="6"/>
    </row>
    <row r="102" spans="1:12" ht="20.25" x14ac:dyDescent="0.2">
      <c r="A102" s="145"/>
      <c r="B102" s="139"/>
      <c r="C102" s="10"/>
      <c r="D102" s="11"/>
      <c r="E102" s="6"/>
      <c r="F102" s="10"/>
      <c r="G102" s="8"/>
      <c r="H102" s="9"/>
      <c r="I102" s="8"/>
      <c r="J102" s="1" t="e">
        <f>1-VLOOKUP(H102,'Modell-Kalibrierung'!$B$3:$C$8,2,0)</f>
        <v>#N/A</v>
      </c>
      <c r="K102" s="93">
        <f>IF(ISNA(J102),0,VLOOKUP(G102,'Modell-Kalibrierung'!$B$16:$C$22,2,FALSE)*VLOOKUP(H102,'Modell-Kalibrierung'!$B$3:$C$8,2,0)+VLOOKUP(I102,'Modell-Kalibrierung'!$B$16:$C$22,2,0)*'STEP-Analyse China'!J102)</f>
        <v>0</v>
      </c>
      <c r="L102" s="6"/>
    </row>
    <row r="103" spans="1:12" ht="21" thickBot="1" x14ac:dyDescent="0.25">
      <c r="A103" s="145"/>
      <c r="B103" s="139"/>
      <c r="C103" s="10"/>
      <c r="D103" s="11"/>
      <c r="E103" s="6"/>
      <c r="F103" s="10"/>
      <c r="G103" s="8"/>
      <c r="H103" s="9"/>
      <c r="I103" s="8"/>
      <c r="J103" s="1" t="e">
        <f>1-VLOOKUP(H103,'Modell-Kalibrierung'!$B$3:$C$8,2,0)</f>
        <v>#N/A</v>
      </c>
      <c r="K103" s="93">
        <f>IF(ISNA(J103),0,VLOOKUP(G103,'Modell-Kalibrierung'!$B$16:$C$22,2,FALSE)*VLOOKUP(H103,'Modell-Kalibrierung'!$B$3:$C$8,2,0)+VLOOKUP(I103,'Modell-Kalibrierung'!$B$16:$C$22,2,0)*'STEP-Analyse China'!J103)</f>
        <v>0</v>
      </c>
      <c r="L103" s="6"/>
    </row>
    <row r="104" spans="1:12" ht="36" customHeight="1" thickBot="1" x14ac:dyDescent="0.25">
      <c r="A104" s="145"/>
      <c r="B104" s="140"/>
      <c r="C104" s="125" t="str">
        <f>B99</f>
        <v xml:space="preserve">Forschung </v>
      </c>
      <c r="D104" s="126"/>
      <c r="E104" s="126"/>
      <c r="F104" s="126"/>
      <c r="G104" s="127"/>
      <c r="H104" s="127"/>
      <c r="I104" s="127"/>
      <c r="J104" s="128"/>
      <c r="K104" s="3">
        <f>SUM(K99:K103)</f>
        <v>0</v>
      </c>
      <c r="L104" s="16" t="str">
        <f>IF(K104=0,"0% Anteil am Gesamtprojektrisiko",(K104/$K$123))</f>
        <v>0% Anteil am Gesamtprojektrisiko</v>
      </c>
    </row>
    <row r="105" spans="1:12" ht="20.25" x14ac:dyDescent="0.2">
      <c r="A105" s="146"/>
      <c r="B105" s="141" t="s">
        <v>38</v>
      </c>
      <c r="C105" s="6"/>
      <c r="D105" s="7"/>
      <c r="E105" s="6"/>
      <c r="F105" s="6"/>
      <c r="G105" s="8"/>
      <c r="H105" s="9"/>
      <c r="I105" s="8"/>
      <c r="J105" s="1" t="e">
        <f>1-VLOOKUP(H105,'Modell-Kalibrierung'!$B$3:$C$8,2,0)</f>
        <v>#N/A</v>
      </c>
      <c r="K105" s="93">
        <f>IF(ISNA(J105),0,VLOOKUP(G105,'Modell-Kalibrierung'!$B$16:$C$22,2,FALSE)*VLOOKUP(H105,'Modell-Kalibrierung'!$B$3:$C$8,2,0)+VLOOKUP(I105,'Modell-Kalibrierung'!$B$16:$C$22,2,0)*'STEP-Analyse China'!J105)</f>
        <v>0</v>
      </c>
      <c r="L105" s="6"/>
    </row>
    <row r="106" spans="1:12" ht="20.25" x14ac:dyDescent="0.2">
      <c r="A106" s="146"/>
      <c r="B106" s="139"/>
      <c r="C106" s="10"/>
      <c r="D106" s="11"/>
      <c r="E106" s="6"/>
      <c r="F106" s="10"/>
      <c r="G106" s="8"/>
      <c r="H106" s="9"/>
      <c r="I106" s="8"/>
      <c r="J106" s="1" t="e">
        <f>1-VLOOKUP(H106,'Modell-Kalibrierung'!$B$3:$C$8,2,0)</f>
        <v>#N/A</v>
      </c>
      <c r="K106" s="93">
        <f>IF(ISNA(J106),0,VLOOKUP(G106,'Modell-Kalibrierung'!$B$16:$C$22,2,FALSE)*VLOOKUP(H106,'Modell-Kalibrierung'!$B$3:$C$8,2,0)+VLOOKUP(I106,'Modell-Kalibrierung'!$B$16:$C$22,2,0)*'STEP-Analyse China'!J106)</f>
        <v>0</v>
      </c>
      <c r="L106" s="6"/>
    </row>
    <row r="107" spans="1:12" ht="20.25" x14ac:dyDescent="0.2">
      <c r="A107" s="146"/>
      <c r="B107" s="139"/>
      <c r="C107" s="10"/>
      <c r="D107" s="11"/>
      <c r="E107" s="6"/>
      <c r="F107" s="10"/>
      <c r="G107" s="8"/>
      <c r="H107" s="9"/>
      <c r="I107" s="8"/>
      <c r="J107" s="1" t="e">
        <f>1-VLOOKUP(H107,'Modell-Kalibrierung'!$B$3:$C$8,2,0)</f>
        <v>#N/A</v>
      </c>
      <c r="K107" s="93">
        <f>IF(ISNA(J107),0,VLOOKUP(G107,'Modell-Kalibrierung'!$B$16:$C$22,2,FALSE)*VLOOKUP(H107,'Modell-Kalibrierung'!$B$3:$C$8,2,0)+VLOOKUP(I107,'Modell-Kalibrierung'!$B$16:$C$22,2,0)*'STEP-Analyse China'!J107)</f>
        <v>0</v>
      </c>
      <c r="L107" s="6"/>
    </row>
    <row r="108" spans="1:12" ht="20.25" x14ac:dyDescent="0.2">
      <c r="A108" s="146"/>
      <c r="B108" s="139"/>
      <c r="C108" s="10"/>
      <c r="D108" s="11"/>
      <c r="E108" s="6"/>
      <c r="F108" s="10"/>
      <c r="G108" s="8"/>
      <c r="H108" s="9"/>
      <c r="I108" s="8"/>
      <c r="J108" s="1" t="e">
        <f>1-VLOOKUP(H108,'Modell-Kalibrierung'!$B$3:$C$8,2,0)</f>
        <v>#N/A</v>
      </c>
      <c r="K108" s="93">
        <f>IF(ISNA(J108),0,VLOOKUP(G108,'Modell-Kalibrierung'!$B$16:$C$22,2,FALSE)*VLOOKUP(H108,'Modell-Kalibrierung'!$B$3:$C$8,2,0)+VLOOKUP(I108,'Modell-Kalibrierung'!$B$16:$C$22,2,0)*'STEP-Analyse China'!J108)</f>
        <v>0</v>
      </c>
      <c r="L108" s="6"/>
    </row>
    <row r="109" spans="1:12" ht="21" thickBot="1" x14ac:dyDescent="0.25">
      <c r="A109" s="146"/>
      <c r="B109" s="139"/>
      <c r="C109" s="10"/>
      <c r="D109" s="11"/>
      <c r="E109" s="6"/>
      <c r="F109" s="10"/>
      <c r="G109" s="8"/>
      <c r="H109" s="9"/>
      <c r="I109" s="8"/>
      <c r="J109" s="1" t="e">
        <f>1-VLOOKUP(H109,'Modell-Kalibrierung'!$B$3:$C$8,2,0)</f>
        <v>#N/A</v>
      </c>
      <c r="K109" s="93">
        <f>IF(ISNA(J109),0,VLOOKUP(G109,'Modell-Kalibrierung'!$B$16:$C$22,2,FALSE)*VLOOKUP(H109,'Modell-Kalibrierung'!$B$3:$C$8,2,0)+VLOOKUP(I109,'Modell-Kalibrierung'!$B$16:$C$22,2,0)*'STEP-Analyse China'!J109)</f>
        <v>0</v>
      </c>
      <c r="L109" s="6"/>
    </row>
    <row r="110" spans="1:12" ht="36" customHeight="1" thickBot="1" x14ac:dyDescent="0.25">
      <c r="A110" s="146"/>
      <c r="B110" s="140"/>
      <c r="C110" s="125" t="str">
        <f>B105</f>
        <v xml:space="preserve">neue Technologien und Produkte </v>
      </c>
      <c r="D110" s="126"/>
      <c r="E110" s="126"/>
      <c r="F110" s="126"/>
      <c r="G110" s="127"/>
      <c r="H110" s="127"/>
      <c r="I110" s="127"/>
      <c r="J110" s="128"/>
      <c r="K110" s="3">
        <f>SUM(K105:K109)</f>
        <v>0</v>
      </c>
      <c r="L110" s="16" t="str">
        <f>IF(K110=0,"0% Anteil am Gesamtprojektrisiko",(K110/$K$123))</f>
        <v>0% Anteil am Gesamtprojektrisiko</v>
      </c>
    </row>
    <row r="111" spans="1:12" ht="20.25" x14ac:dyDescent="0.2">
      <c r="A111" s="146"/>
      <c r="B111" s="141" t="s">
        <v>39</v>
      </c>
      <c r="C111" s="6"/>
      <c r="D111" s="7"/>
      <c r="E111" s="6"/>
      <c r="F111" s="6"/>
      <c r="G111" s="8"/>
      <c r="H111" s="9"/>
      <c r="I111" s="8"/>
      <c r="J111" s="1" t="e">
        <f>1-VLOOKUP(H111,'Modell-Kalibrierung'!$B$3:$C$8,2,0)</f>
        <v>#N/A</v>
      </c>
      <c r="K111" s="93">
        <f>IF(ISNA(J111),0,VLOOKUP(G111,'Modell-Kalibrierung'!$B$16:$C$22,2,FALSE)*VLOOKUP(H111,'Modell-Kalibrierung'!$B$3:$C$8,2,0)+VLOOKUP(I111,'Modell-Kalibrierung'!$B$16:$C$22,2,0)*'STEP-Analyse China'!J111)</f>
        <v>0</v>
      </c>
      <c r="L111" s="6"/>
    </row>
    <row r="112" spans="1:12" ht="20.25" x14ac:dyDescent="0.2">
      <c r="A112" s="147"/>
      <c r="B112" s="139"/>
      <c r="C112" s="10"/>
      <c r="D112" s="11"/>
      <c r="E112" s="6"/>
      <c r="F112" s="10"/>
      <c r="G112" s="8"/>
      <c r="H112" s="9"/>
      <c r="I112" s="8"/>
      <c r="J112" s="1" t="e">
        <f>1-VLOOKUP(H112,'Modell-Kalibrierung'!$B$3:$C$8,2,0)</f>
        <v>#N/A</v>
      </c>
      <c r="K112" s="93">
        <f>IF(ISNA(J112),0,VLOOKUP(G112,'Modell-Kalibrierung'!$B$16:$C$22,2,FALSE)*VLOOKUP(H112,'Modell-Kalibrierung'!$B$3:$C$8,2,0)+VLOOKUP(I112,'Modell-Kalibrierung'!$B$16:$C$22,2,0)*'STEP-Analyse China'!J112)</f>
        <v>0</v>
      </c>
      <c r="L112" s="6"/>
    </row>
    <row r="113" spans="1:12" ht="20.25" x14ac:dyDescent="0.2">
      <c r="A113" s="147"/>
      <c r="B113" s="139"/>
      <c r="C113" s="10"/>
      <c r="D113" s="11"/>
      <c r="E113" s="6"/>
      <c r="F113" s="10"/>
      <c r="G113" s="8"/>
      <c r="H113" s="9"/>
      <c r="I113" s="8"/>
      <c r="J113" s="1" t="e">
        <f>1-VLOOKUP(H113,'Modell-Kalibrierung'!$B$3:$C$8,2,0)</f>
        <v>#N/A</v>
      </c>
      <c r="K113" s="93">
        <f>IF(ISNA(J113),0,VLOOKUP(G113,'Modell-Kalibrierung'!$B$16:$C$22,2,FALSE)*VLOOKUP(H113,'Modell-Kalibrierung'!$B$3:$C$8,2,0)+VLOOKUP(I113,'Modell-Kalibrierung'!$B$16:$C$22,2,0)*'STEP-Analyse China'!J113)</f>
        <v>0</v>
      </c>
      <c r="L113" s="6"/>
    </row>
    <row r="114" spans="1:12" ht="20.25" x14ac:dyDescent="0.2">
      <c r="A114" s="147"/>
      <c r="B114" s="139"/>
      <c r="C114" s="10"/>
      <c r="D114" s="11"/>
      <c r="E114" s="6"/>
      <c r="F114" s="10"/>
      <c r="G114" s="8"/>
      <c r="H114" s="9"/>
      <c r="I114" s="8"/>
      <c r="J114" s="1" t="e">
        <f>1-VLOOKUP(H114,'Modell-Kalibrierung'!$B$3:$C$8,2,0)</f>
        <v>#N/A</v>
      </c>
      <c r="K114" s="93">
        <f>IF(ISNA(J114),0,VLOOKUP(G114,'Modell-Kalibrierung'!$B$16:$C$22,2,FALSE)*VLOOKUP(H114,'Modell-Kalibrierung'!$B$3:$C$8,2,0)+VLOOKUP(I114,'Modell-Kalibrierung'!$B$16:$C$22,2,0)*'STEP-Analyse China'!J114)</f>
        <v>0</v>
      </c>
      <c r="L114" s="6"/>
    </row>
    <row r="115" spans="1:12" ht="21" thickBot="1" x14ac:dyDescent="0.25">
      <c r="A115" s="147"/>
      <c r="B115" s="139"/>
      <c r="C115" s="10"/>
      <c r="D115" s="11"/>
      <c r="E115" s="6"/>
      <c r="F115" s="10"/>
      <c r="G115" s="8"/>
      <c r="H115" s="9"/>
      <c r="I115" s="8"/>
      <c r="J115" s="1" t="e">
        <f>1-VLOOKUP(H115,'Modell-Kalibrierung'!$B$3:$C$8,2,0)</f>
        <v>#N/A</v>
      </c>
      <c r="K115" s="93">
        <f>IF(ISNA(J115),0,VLOOKUP(G115,'Modell-Kalibrierung'!$B$16:$C$22,2,FALSE)*VLOOKUP(H115,'Modell-Kalibrierung'!$B$3:$C$8,2,0)+VLOOKUP(I115,'Modell-Kalibrierung'!$B$16:$C$22,2,0)*'STEP-Analyse China'!J115)</f>
        <v>0</v>
      </c>
      <c r="L115" s="6"/>
    </row>
    <row r="116" spans="1:12" ht="36" customHeight="1" thickBot="1" x14ac:dyDescent="0.25">
      <c r="A116" s="147"/>
      <c r="B116" s="140"/>
      <c r="C116" s="125" t="str">
        <f>B111</f>
        <v>neue Prozesse</v>
      </c>
      <c r="D116" s="126"/>
      <c r="E116" s="126"/>
      <c r="F116" s="126"/>
      <c r="G116" s="127"/>
      <c r="H116" s="127"/>
      <c r="I116" s="127"/>
      <c r="J116" s="128"/>
      <c r="K116" s="3">
        <f>SUM(K111:K115)</f>
        <v>0</v>
      </c>
      <c r="L116" s="16" t="str">
        <f>IF(K116=0,"0% Anteil am Gesamtprojektrisiko",(K116/$K$123))</f>
        <v>0% Anteil am Gesamtprojektrisiko</v>
      </c>
    </row>
    <row r="117" spans="1:12" ht="20.25" x14ac:dyDescent="0.2">
      <c r="A117" s="147"/>
      <c r="B117" s="141" t="s">
        <v>64</v>
      </c>
      <c r="C117" s="6"/>
      <c r="D117" s="7"/>
      <c r="E117" s="6"/>
      <c r="F117" s="6"/>
      <c r="G117" s="8"/>
      <c r="H117" s="9"/>
      <c r="I117" s="8"/>
      <c r="J117" s="1" t="e">
        <f>1-VLOOKUP(H117,'Modell-Kalibrierung'!$B$3:$C$8,2,0)</f>
        <v>#N/A</v>
      </c>
      <c r="K117" s="93">
        <f>IF(ISNA(J117),0,VLOOKUP(G117,'Modell-Kalibrierung'!$B$16:$C$22,2,FALSE)*VLOOKUP(H117,'Modell-Kalibrierung'!$B$3:$C$8,2,0)+VLOOKUP(I117,'Modell-Kalibrierung'!$B$16:$C$22,2,0)*'STEP-Analyse China'!J117)</f>
        <v>0</v>
      </c>
      <c r="L117" s="6"/>
    </row>
    <row r="118" spans="1:12" ht="20.25" x14ac:dyDescent="0.2">
      <c r="A118" s="147"/>
      <c r="B118" s="139"/>
      <c r="C118" s="10"/>
      <c r="D118" s="11"/>
      <c r="E118" s="6"/>
      <c r="F118" s="10"/>
      <c r="G118" s="8"/>
      <c r="H118" s="9"/>
      <c r="I118" s="8"/>
      <c r="J118" s="1" t="e">
        <f>1-VLOOKUP(H118,'Modell-Kalibrierung'!$B$3:$C$8,2,0)</f>
        <v>#N/A</v>
      </c>
      <c r="K118" s="93">
        <f>IF(ISNA(J118),0,VLOOKUP(G118,'Modell-Kalibrierung'!$B$16:$C$22,2,FALSE)*VLOOKUP(H118,'Modell-Kalibrierung'!$B$3:$C$8,2,0)+VLOOKUP(I118,'Modell-Kalibrierung'!$B$16:$C$22,2,0)*'STEP-Analyse China'!J118)</f>
        <v>0</v>
      </c>
      <c r="L118" s="6"/>
    </row>
    <row r="119" spans="1:12" ht="20.25" x14ac:dyDescent="0.2">
      <c r="A119" s="147"/>
      <c r="B119" s="139"/>
      <c r="C119" s="10"/>
      <c r="D119" s="11"/>
      <c r="E119" s="6"/>
      <c r="F119" s="10"/>
      <c r="G119" s="8"/>
      <c r="H119" s="9"/>
      <c r="I119" s="8"/>
      <c r="J119" s="1" t="e">
        <f>1-VLOOKUP(H119,'Modell-Kalibrierung'!$B$3:$C$8,2,0)</f>
        <v>#N/A</v>
      </c>
      <c r="K119" s="93">
        <f>IF(ISNA(J119),0,VLOOKUP(G119,'Modell-Kalibrierung'!$B$16:$C$22,2,FALSE)*VLOOKUP(H119,'Modell-Kalibrierung'!$B$3:$C$8,2,0)+VLOOKUP(I119,'Modell-Kalibrierung'!$B$16:$C$22,2,0)*'STEP-Analyse China'!J119)</f>
        <v>0</v>
      </c>
      <c r="L119" s="6"/>
    </row>
    <row r="120" spans="1:12" ht="20.25" x14ac:dyDescent="0.2">
      <c r="A120" s="147"/>
      <c r="B120" s="139"/>
      <c r="C120" s="10"/>
      <c r="D120" s="11"/>
      <c r="E120" s="6"/>
      <c r="F120" s="10"/>
      <c r="G120" s="8"/>
      <c r="H120" s="9"/>
      <c r="I120" s="8"/>
      <c r="J120" s="1" t="e">
        <f>1-VLOOKUP(H120,'Modell-Kalibrierung'!$B$3:$C$8,2,0)</f>
        <v>#N/A</v>
      </c>
      <c r="K120" s="93">
        <f>IF(ISNA(J120),0,VLOOKUP(G120,'Modell-Kalibrierung'!$B$16:$C$22,2,FALSE)*VLOOKUP(H120,'Modell-Kalibrierung'!$B$3:$C$8,2,0)+VLOOKUP(I120,'Modell-Kalibrierung'!$B$16:$C$22,2,0)*'STEP-Analyse China'!J120)</f>
        <v>0</v>
      </c>
      <c r="L120" s="6"/>
    </row>
    <row r="121" spans="1:12" ht="21" thickBot="1" x14ac:dyDescent="0.25">
      <c r="A121" s="147"/>
      <c r="B121" s="139"/>
      <c r="C121" s="10"/>
      <c r="D121" s="11"/>
      <c r="E121" s="6"/>
      <c r="F121" s="10"/>
      <c r="G121" s="8"/>
      <c r="H121" s="9"/>
      <c r="I121" s="8"/>
      <c r="J121" s="1" t="e">
        <f>1-VLOOKUP(H121,'Modell-Kalibrierung'!$B$3:$C$8,2,0)</f>
        <v>#N/A</v>
      </c>
      <c r="K121" s="93">
        <f>IF(ISNA(J121),0,VLOOKUP(G121,'Modell-Kalibrierung'!$B$16:$C$22,2,FALSE)*VLOOKUP(H121,'Modell-Kalibrierung'!$B$3:$C$8,2,0)+VLOOKUP(I121,'Modell-Kalibrierung'!$B$16:$C$22,2,0)*'STEP-Analyse China'!J121)</f>
        <v>0</v>
      </c>
      <c r="L121" s="6"/>
    </row>
    <row r="122" spans="1:12" ht="36" customHeight="1" thickBot="1" x14ac:dyDescent="0.25">
      <c r="A122" s="147"/>
      <c r="B122" s="139"/>
      <c r="C122" s="125" t="str">
        <f>B117</f>
        <v>Produktlebenszyklen</v>
      </c>
      <c r="D122" s="126"/>
      <c r="E122" s="126"/>
      <c r="F122" s="126"/>
      <c r="G122" s="127"/>
      <c r="H122" s="127"/>
      <c r="I122" s="127"/>
      <c r="J122" s="128"/>
      <c r="K122" s="4">
        <f>SUM(K117:K121)</f>
        <v>0</v>
      </c>
      <c r="L122" s="16" t="str">
        <f>IF(K122=0,"0% Anteil am Gesamtprojektrisiko",(K122/$K$123))</f>
        <v>0% Anteil am Gesamtprojektrisiko</v>
      </c>
    </row>
    <row r="123" spans="1:12" ht="63.75" customHeight="1" thickBot="1" x14ac:dyDescent="0.25">
      <c r="A123" s="142" t="s">
        <v>32</v>
      </c>
      <c r="B123" s="143"/>
      <c r="C123" s="143"/>
      <c r="D123" s="143"/>
      <c r="E123" s="143"/>
      <c r="F123" s="143"/>
      <c r="G123" s="143"/>
      <c r="H123" s="143"/>
      <c r="I123" s="143"/>
      <c r="J123" s="143"/>
      <c r="K123" s="60">
        <f>M31</f>
        <v>0</v>
      </c>
      <c r="L123" s="15"/>
    </row>
    <row r="124" spans="1:12" x14ac:dyDescent="0.2">
      <c r="A124" s="36"/>
      <c r="B124" s="36"/>
      <c r="C124" s="36"/>
      <c r="D124" s="36"/>
      <c r="E124" s="36"/>
      <c r="F124" s="36"/>
      <c r="G124" s="36"/>
      <c r="H124" s="36"/>
      <c r="I124" s="36"/>
      <c r="J124" s="36"/>
      <c r="K124" s="36"/>
    </row>
    <row r="125" spans="1:12" x14ac:dyDescent="0.2">
      <c r="A125" s="36"/>
      <c r="B125" s="36"/>
      <c r="C125" s="36"/>
      <c r="D125" s="36"/>
      <c r="E125" s="36"/>
      <c r="F125" s="36"/>
      <c r="G125" s="36"/>
      <c r="H125" s="36"/>
      <c r="I125" s="36"/>
      <c r="J125" s="94"/>
      <c r="K125" s="94"/>
      <c r="L125" s="94"/>
    </row>
    <row r="126" spans="1:12" ht="20.25" x14ac:dyDescent="0.2">
      <c r="A126" s="36"/>
      <c r="B126" s="36"/>
      <c r="C126" s="36"/>
      <c r="D126" s="36"/>
      <c r="E126" s="36"/>
      <c r="F126" s="36"/>
      <c r="G126" s="36"/>
      <c r="H126" s="36"/>
      <c r="I126" s="36"/>
      <c r="J126" s="95"/>
      <c r="K126" s="96"/>
      <c r="L126" s="94"/>
    </row>
    <row r="127" spans="1:12" x14ac:dyDescent="0.2">
      <c r="A127" s="36"/>
      <c r="B127" s="36"/>
      <c r="C127" s="36"/>
      <c r="D127" s="36"/>
      <c r="E127" s="36"/>
      <c r="F127" s="36"/>
      <c r="G127" s="36"/>
      <c r="H127" s="36"/>
      <c r="I127" s="36"/>
      <c r="J127" s="94"/>
      <c r="K127" s="94"/>
      <c r="L127" s="94"/>
    </row>
    <row r="128" spans="1:12" x14ac:dyDescent="0.2">
      <c r="A128" s="36"/>
      <c r="B128" s="36"/>
      <c r="C128" s="36"/>
      <c r="D128" s="36"/>
      <c r="E128" s="36"/>
      <c r="F128" s="36"/>
      <c r="G128" s="36"/>
      <c r="H128" s="36"/>
      <c r="I128" s="36"/>
      <c r="J128" s="94"/>
      <c r="K128" s="94"/>
      <c r="L128" s="94"/>
    </row>
    <row r="129" spans="1:36" x14ac:dyDescent="0.2">
      <c r="A129" s="36"/>
      <c r="B129" s="36"/>
      <c r="C129" s="36"/>
      <c r="D129" s="36"/>
      <c r="E129" s="36"/>
      <c r="F129" s="36"/>
      <c r="G129" s="36"/>
      <c r="H129" s="36"/>
      <c r="I129" s="36"/>
      <c r="J129" s="94"/>
      <c r="K129" s="94"/>
      <c r="L129" s="94"/>
    </row>
    <row r="130" spans="1:36" x14ac:dyDescent="0.2">
      <c r="A130" s="36"/>
      <c r="B130" s="36"/>
      <c r="C130" s="36"/>
      <c r="D130" s="36"/>
      <c r="E130" s="36"/>
      <c r="F130" s="36"/>
      <c r="G130" s="36"/>
      <c r="H130" s="36"/>
      <c r="I130" s="36"/>
      <c r="J130" s="94"/>
      <c r="K130" s="94"/>
      <c r="L130" s="94"/>
    </row>
    <row r="131" spans="1:36" x14ac:dyDescent="0.2">
      <c r="A131" s="36"/>
      <c r="B131" s="36"/>
      <c r="C131" s="36"/>
      <c r="D131" s="36"/>
      <c r="E131" s="36"/>
      <c r="F131" s="36"/>
      <c r="G131" s="36"/>
      <c r="H131" s="36"/>
      <c r="I131" s="36"/>
      <c r="J131" s="94"/>
      <c r="K131" s="94"/>
      <c r="L131" s="94"/>
    </row>
    <row r="132" spans="1:36" x14ac:dyDescent="0.2">
      <c r="A132" s="36"/>
      <c r="B132" s="36"/>
      <c r="C132" s="36"/>
      <c r="D132" s="36"/>
      <c r="E132" s="36"/>
      <c r="F132" s="36"/>
      <c r="G132" s="36"/>
      <c r="H132" s="36"/>
      <c r="I132" s="36"/>
      <c r="J132" s="94"/>
      <c r="K132" s="94"/>
      <c r="L132" s="94"/>
      <c r="AF132" s="97"/>
      <c r="AG132" s="97"/>
      <c r="AH132" s="97"/>
      <c r="AI132" s="97"/>
      <c r="AJ132" s="97"/>
    </row>
    <row r="133" spans="1:36" ht="20.25" x14ac:dyDescent="0.2">
      <c r="A133" s="36"/>
      <c r="B133" s="36"/>
      <c r="C133" s="36"/>
      <c r="D133" s="36"/>
      <c r="E133" s="36"/>
      <c r="F133" s="36"/>
      <c r="G133" s="36"/>
      <c r="H133" s="36"/>
      <c r="I133" s="36"/>
      <c r="J133" s="95"/>
      <c r="K133" s="96"/>
      <c r="L133" s="94"/>
    </row>
    <row r="134" spans="1:36" x14ac:dyDescent="0.2">
      <c r="A134" s="36"/>
      <c r="B134" s="36"/>
      <c r="C134" s="36"/>
      <c r="D134" s="36"/>
      <c r="E134" s="36"/>
      <c r="F134" s="36"/>
      <c r="G134" s="36"/>
      <c r="H134" s="36"/>
      <c r="I134" s="36"/>
      <c r="J134" s="94"/>
      <c r="K134" s="94"/>
      <c r="L134" s="94"/>
    </row>
    <row r="135" spans="1:36" x14ac:dyDescent="0.2">
      <c r="A135" s="36"/>
      <c r="B135" s="36"/>
      <c r="C135" s="36"/>
      <c r="D135" s="36"/>
      <c r="E135" s="36"/>
      <c r="F135" s="36"/>
      <c r="G135" s="36"/>
      <c r="H135" s="36"/>
      <c r="I135" s="36"/>
      <c r="J135" s="94"/>
      <c r="K135" s="94"/>
      <c r="L135" s="94"/>
    </row>
    <row r="136" spans="1:36" x14ac:dyDescent="0.2">
      <c r="A136" s="36"/>
      <c r="B136" s="36"/>
      <c r="C136" s="36"/>
      <c r="D136" s="36"/>
      <c r="E136" s="36"/>
      <c r="F136" s="36"/>
      <c r="G136" s="36"/>
      <c r="H136" s="36"/>
      <c r="I136" s="36"/>
      <c r="J136" s="94"/>
      <c r="K136" s="94"/>
      <c r="L136" s="94"/>
    </row>
    <row r="137" spans="1:36" x14ac:dyDescent="0.2">
      <c r="A137" s="36"/>
      <c r="B137" s="36"/>
      <c r="C137" s="36"/>
      <c r="D137" s="36"/>
      <c r="E137" s="36"/>
      <c r="F137" s="36"/>
      <c r="G137" s="36"/>
      <c r="H137" s="36"/>
      <c r="I137" s="36"/>
      <c r="J137" s="94"/>
      <c r="K137" s="94"/>
      <c r="L137" s="94"/>
    </row>
    <row r="138" spans="1:36" x14ac:dyDescent="0.2">
      <c r="A138" s="36"/>
      <c r="B138" s="36"/>
      <c r="C138" s="36"/>
      <c r="D138" s="36"/>
      <c r="E138" s="36"/>
      <c r="F138" s="36"/>
      <c r="G138" s="36"/>
      <c r="H138" s="36"/>
      <c r="I138" s="36"/>
      <c r="J138" s="94"/>
      <c r="K138" s="94"/>
      <c r="L138" s="94"/>
    </row>
    <row r="139" spans="1:36" x14ac:dyDescent="0.2">
      <c r="A139" s="36"/>
      <c r="B139" s="36"/>
      <c r="C139" s="36"/>
      <c r="D139" s="36"/>
      <c r="E139" s="36"/>
      <c r="F139" s="36"/>
      <c r="G139" s="36"/>
      <c r="H139" s="36"/>
      <c r="I139" s="36"/>
      <c r="J139" s="94"/>
      <c r="K139" s="94"/>
      <c r="L139" s="94"/>
    </row>
    <row r="140" spans="1:36" ht="20.25" x14ac:dyDescent="0.2">
      <c r="A140" s="36"/>
      <c r="B140" s="36"/>
      <c r="C140" s="36"/>
      <c r="D140" s="36"/>
      <c r="E140" s="36"/>
      <c r="F140" s="36"/>
      <c r="G140" s="36"/>
      <c r="H140" s="36"/>
      <c r="I140" s="36"/>
      <c r="J140" s="95"/>
      <c r="K140" s="96"/>
      <c r="L140" s="94"/>
    </row>
    <row r="141" spans="1:36" x14ac:dyDescent="0.2">
      <c r="A141" s="36"/>
      <c r="B141" s="36"/>
      <c r="C141" s="36"/>
      <c r="D141" s="36"/>
      <c r="E141" s="36"/>
      <c r="F141" s="36"/>
      <c r="G141" s="36"/>
      <c r="H141" s="36"/>
      <c r="I141" s="36"/>
      <c r="J141" s="94"/>
      <c r="K141" s="94"/>
      <c r="L141" s="94"/>
    </row>
    <row r="142" spans="1:36" x14ac:dyDescent="0.2">
      <c r="A142" s="36"/>
      <c r="B142" s="36"/>
      <c r="C142" s="36"/>
      <c r="D142" s="36"/>
      <c r="E142" s="36"/>
      <c r="F142" s="36"/>
      <c r="G142" s="36"/>
      <c r="H142" s="36"/>
      <c r="I142" s="36"/>
      <c r="J142" s="94"/>
      <c r="K142" s="94"/>
      <c r="L142" s="94"/>
    </row>
    <row r="143" spans="1:36" x14ac:dyDescent="0.2">
      <c r="A143" s="36"/>
      <c r="B143" s="36"/>
      <c r="C143" s="36"/>
      <c r="D143" s="36"/>
      <c r="E143" s="36"/>
      <c r="F143" s="36"/>
      <c r="G143" s="36"/>
      <c r="H143" s="36"/>
      <c r="I143" s="36"/>
      <c r="J143" s="36"/>
      <c r="K143" s="36"/>
      <c r="L143" s="36"/>
    </row>
    <row r="144" spans="1:36" x14ac:dyDescent="0.2">
      <c r="A144" s="36"/>
      <c r="B144" s="36"/>
      <c r="C144" s="36"/>
      <c r="D144" s="36"/>
      <c r="E144" s="36"/>
      <c r="F144" s="36"/>
      <c r="G144" s="36"/>
      <c r="H144" s="36"/>
      <c r="I144" s="36"/>
      <c r="J144" s="36"/>
      <c r="K144" s="36"/>
      <c r="L144" s="36"/>
    </row>
    <row r="145" spans="1:31" x14ac:dyDescent="0.2">
      <c r="A145" s="36"/>
      <c r="B145" s="36"/>
      <c r="C145" s="36"/>
      <c r="D145" s="36"/>
      <c r="E145" s="36"/>
      <c r="F145" s="36"/>
      <c r="G145" s="36"/>
      <c r="H145" s="36"/>
      <c r="I145" s="36"/>
      <c r="J145" s="36"/>
      <c r="K145" s="36"/>
      <c r="L145" s="36"/>
    </row>
    <row r="146" spans="1:31" x14ac:dyDescent="0.2">
      <c r="A146" s="36"/>
      <c r="B146" s="36"/>
      <c r="C146" s="36"/>
      <c r="D146" s="36"/>
      <c r="E146" s="36"/>
      <c r="F146" s="36"/>
      <c r="G146" s="36"/>
      <c r="H146" s="36"/>
      <c r="I146" s="36"/>
      <c r="J146" s="36"/>
      <c r="K146" s="36"/>
      <c r="L146" s="36"/>
    </row>
    <row r="147" spans="1:31" x14ac:dyDescent="0.2">
      <c r="A147" s="36"/>
      <c r="B147" s="36"/>
      <c r="C147" s="36"/>
      <c r="D147" s="36"/>
      <c r="E147" s="36"/>
      <c r="F147" s="36"/>
      <c r="G147" s="36"/>
      <c r="H147" s="36"/>
      <c r="I147" s="36"/>
      <c r="J147" s="36"/>
      <c r="K147" s="36"/>
      <c r="L147" s="36"/>
    </row>
    <row r="148" spans="1:31" x14ac:dyDescent="0.2">
      <c r="A148" s="36"/>
      <c r="B148" s="36"/>
      <c r="C148" s="36"/>
      <c r="D148" s="36"/>
      <c r="E148" s="36"/>
      <c r="F148" s="36"/>
      <c r="G148" s="36"/>
      <c r="H148" s="36"/>
      <c r="I148" s="36"/>
      <c r="J148" s="36"/>
      <c r="K148" s="36"/>
      <c r="L148" s="36"/>
    </row>
    <row r="149" spans="1:31" x14ac:dyDescent="0.2">
      <c r="A149" s="36"/>
      <c r="B149" s="36"/>
      <c r="C149" s="36"/>
      <c r="D149" s="36"/>
      <c r="E149" s="36"/>
      <c r="F149" s="36"/>
      <c r="G149" s="36"/>
      <c r="H149" s="36"/>
      <c r="I149" s="36"/>
      <c r="J149" s="36"/>
      <c r="K149" s="36"/>
      <c r="L149" s="36"/>
    </row>
    <row r="150" spans="1:31" x14ac:dyDescent="0.2">
      <c r="A150" s="36"/>
      <c r="B150" s="36"/>
      <c r="C150" s="36"/>
      <c r="D150" s="36"/>
      <c r="E150" s="36"/>
      <c r="F150" s="36"/>
      <c r="G150" s="36"/>
      <c r="H150" s="36"/>
      <c r="I150" s="36"/>
      <c r="J150" s="36"/>
      <c r="K150" s="36"/>
      <c r="L150" s="36"/>
    </row>
    <row r="151" spans="1:31" x14ac:dyDescent="0.2">
      <c r="A151" s="36"/>
      <c r="B151" s="36"/>
      <c r="C151" s="36"/>
      <c r="D151" s="36"/>
      <c r="E151" s="36"/>
      <c r="F151" s="36"/>
      <c r="G151" s="36"/>
      <c r="H151" s="36"/>
      <c r="I151" s="36"/>
      <c r="J151" s="36"/>
      <c r="K151" s="36"/>
      <c r="L151" s="36"/>
    </row>
    <row r="152" spans="1:31" x14ac:dyDescent="0.2">
      <c r="A152" s="36"/>
      <c r="B152" s="36"/>
      <c r="C152" s="36"/>
      <c r="D152" s="36"/>
      <c r="E152" s="36"/>
      <c r="F152" s="36"/>
      <c r="G152" s="36"/>
      <c r="H152" s="36"/>
      <c r="I152" s="36"/>
      <c r="J152" s="36"/>
      <c r="K152" s="36"/>
      <c r="L152" s="36"/>
    </row>
    <row r="153" spans="1:31" x14ac:dyDescent="0.2">
      <c r="A153" s="36"/>
      <c r="B153" s="36"/>
      <c r="C153" s="36"/>
      <c r="D153" s="36"/>
      <c r="E153" s="36"/>
      <c r="F153" s="36"/>
      <c r="G153" s="36"/>
      <c r="H153" s="36"/>
      <c r="I153" s="36"/>
      <c r="J153" s="36"/>
      <c r="K153" s="36"/>
      <c r="L153" s="36"/>
    </row>
    <row r="154" spans="1:31" x14ac:dyDescent="0.2">
      <c r="A154" s="36"/>
      <c r="B154" s="36"/>
      <c r="C154" s="36"/>
      <c r="D154" s="36"/>
      <c r="E154" s="36"/>
      <c r="F154" s="36"/>
      <c r="G154" s="36"/>
      <c r="H154" s="36"/>
      <c r="I154" s="36"/>
      <c r="J154" s="36"/>
      <c r="K154" s="36"/>
      <c r="L154" s="36"/>
    </row>
    <row r="155" spans="1:31" x14ac:dyDescent="0.2">
      <c r="A155" s="36"/>
      <c r="B155" s="36"/>
      <c r="C155" s="36"/>
      <c r="D155" s="36"/>
      <c r="E155" s="36"/>
      <c r="F155" s="36"/>
      <c r="G155" s="36"/>
      <c r="H155" s="36"/>
      <c r="I155" s="36"/>
      <c r="J155" s="36"/>
      <c r="K155" s="36"/>
      <c r="L155" s="36"/>
    </row>
    <row r="156" spans="1:31" x14ac:dyDescent="0.2">
      <c r="A156" s="36"/>
      <c r="B156" s="36"/>
      <c r="C156" s="36"/>
      <c r="D156" s="36"/>
      <c r="E156" s="36"/>
      <c r="F156" s="36"/>
      <c r="G156" s="36"/>
      <c r="H156" s="36"/>
      <c r="I156" s="36"/>
      <c r="J156" s="36"/>
      <c r="K156" s="36"/>
      <c r="L156" s="36"/>
    </row>
    <row r="157" spans="1:31" x14ac:dyDescent="0.2">
      <c r="A157" s="36"/>
      <c r="B157" s="36"/>
      <c r="C157" s="36"/>
      <c r="D157" s="36"/>
      <c r="E157" s="36"/>
      <c r="F157" s="36"/>
      <c r="G157" s="36"/>
      <c r="H157" s="36"/>
      <c r="I157" s="36"/>
      <c r="J157" s="36"/>
      <c r="K157" s="36"/>
      <c r="L157" s="36"/>
    </row>
    <row r="158" spans="1:31" x14ac:dyDescent="0.2">
      <c r="A158" s="36"/>
      <c r="B158" s="36"/>
      <c r="C158" s="36"/>
      <c r="D158" s="36"/>
      <c r="E158" s="36"/>
      <c r="F158" s="36"/>
      <c r="G158" s="36"/>
      <c r="H158" s="36"/>
      <c r="I158" s="36"/>
      <c r="J158" s="36"/>
      <c r="K158" s="36"/>
      <c r="L158" s="36"/>
    </row>
    <row r="159" spans="1:31" x14ac:dyDescent="0.2">
      <c r="A159" s="36"/>
      <c r="B159" s="36"/>
      <c r="C159" s="36"/>
      <c r="D159" s="36"/>
      <c r="E159" s="36"/>
      <c r="F159" s="36"/>
      <c r="G159" s="36"/>
      <c r="H159" s="36"/>
      <c r="I159" s="36"/>
      <c r="J159" s="36"/>
      <c r="K159" s="36"/>
      <c r="L159" s="36"/>
    </row>
    <row r="160" spans="1:31" x14ac:dyDescent="0.2">
      <c r="A160" s="36"/>
      <c r="B160" s="36"/>
      <c r="C160" s="36"/>
      <c r="D160" s="36"/>
      <c r="E160" s="36"/>
      <c r="F160" s="36"/>
      <c r="G160" s="36"/>
      <c r="H160" s="36"/>
      <c r="I160" s="36"/>
      <c r="J160" s="36"/>
      <c r="K160" s="36"/>
      <c r="L160" s="36"/>
      <c r="P160" s="98"/>
      <c r="Q160" s="98"/>
      <c r="R160" s="98"/>
      <c r="S160" s="98"/>
      <c r="T160" s="98"/>
      <c r="U160" s="98"/>
      <c r="V160" s="98"/>
      <c r="W160" s="98"/>
      <c r="X160" s="98"/>
      <c r="Y160" s="98"/>
      <c r="Z160" s="98"/>
      <c r="AA160" s="98"/>
      <c r="AB160" s="98"/>
      <c r="AC160" s="98"/>
      <c r="AD160" s="98"/>
      <c r="AE160" s="98"/>
    </row>
    <row r="161" spans="1:31" x14ac:dyDescent="0.2">
      <c r="A161" s="36"/>
      <c r="B161" s="36"/>
      <c r="C161" s="36"/>
      <c r="D161" s="36"/>
      <c r="E161" s="36"/>
      <c r="F161" s="36"/>
      <c r="G161" s="36"/>
      <c r="H161" s="36"/>
      <c r="I161" s="36"/>
      <c r="J161" s="36"/>
      <c r="K161" s="36"/>
      <c r="L161" s="36"/>
      <c r="P161" s="98"/>
      <c r="Q161" s="98"/>
      <c r="R161" s="98"/>
      <c r="S161" s="98"/>
      <c r="T161" s="98"/>
      <c r="U161" s="98"/>
      <c r="V161" s="98"/>
      <c r="W161" s="98"/>
      <c r="X161" s="98"/>
      <c r="Y161" s="98"/>
      <c r="Z161" s="98"/>
      <c r="AA161" s="98"/>
      <c r="AB161" s="98"/>
      <c r="AC161" s="98"/>
      <c r="AD161" s="98"/>
      <c r="AE161" s="98"/>
    </row>
    <row r="162" spans="1:31" x14ac:dyDescent="0.2">
      <c r="A162" s="36"/>
      <c r="B162" s="36"/>
      <c r="C162" s="36"/>
      <c r="D162" s="36"/>
      <c r="E162" s="36"/>
      <c r="F162" s="36"/>
      <c r="G162" s="36"/>
      <c r="H162" s="36"/>
      <c r="I162" s="36"/>
      <c r="J162" s="36"/>
      <c r="K162" s="36"/>
      <c r="L162" s="36"/>
      <c r="P162" s="98"/>
      <c r="Q162" s="98"/>
      <c r="R162" s="98"/>
      <c r="S162" s="98"/>
      <c r="T162" s="98"/>
      <c r="U162" s="98"/>
      <c r="V162" s="98"/>
      <c r="W162" s="98"/>
      <c r="X162" s="98"/>
      <c r="Y162" s="98"/>
      <c r="Z162" s="98"/>
      <c r="AA162" s="98"/>
      <c r="AB162" s="98"/>
      <c r="AC162" s="98"/>
      <c r="AD162" s="98"/>
      <c r="AE162" s="98"/>
    </row>
    <row r="163" spans="1:31" x14ac:dyDescent="0.2">
      <c r="A163" s="36"/>
      <c r="B163" s="36"/>
      <c r="C163" s="36"/>
      <c r="D163" s="36"/>
      <c r="E163" s="36"/>
      <c r="F163" s="36"/>
      <c r="G163" s="36"/>
      <c r="H163" s="36"/>
      <c r="I163" s="36"/>
      <c r="J163" s="36"/>
      <c r="K163" s="36"/>
      <c r="L163" s="36"/>
      <c r="P163" s="98"/>
      <c r="Q163" s="98"/>
      <c r="R163" s="98"/>
      <c r="S163" s="98"/>
      <c r="T163" s="98"/>
      <c r="U163" s="98"/>
      <c r="V163" s="98"/>
      <c r="W163" s="98"/>
      <c r="X163" s="98"/>
      <c r="Y163" s="98"/>
      <c r="Z163" s="98"/>
      <c r="AA163" s="98"/>
      <c r="AB163" s="98"/>
      <c r="AC163" s="98"/>
      <c r="AD163" s="98"/>
      <c r="AE163" s="98"/>
    </row>
    <row r="164" spans="1:31" x14ac:dyDescent="0.2">
      <c r="A164" s="36"/>
      <c r="B164" s="36"/>
      <c r="C164" s="36"/>
      <c r="D164" s="36"/>
      <c r="E164" s="36"/>
      <c r="F164" s="36"/>
      <c r="G164" s="36"/>
      <c r="H164" s="36"/>
      <c r="I164" s="36"/>
      <c r="J164" s="36"/>
      <c r="K164" s="36"/>
      <c r="L164" s="36"/>
      <c r="P164" s="98"/>
      <c r="Q164" s="98"/>
      <c r="R164" s="98"/>
      <c r="S164" s="98"/>
      <c r="T164" s="98"/>
      <c r="U164" s="98"/>
      <c r="V164" s="98"/>
      <c r="W164" s="98"/>
      <c r="X164" s="98"/>
      <c r="Y164" s="98"/>
      <c r="Z164" s="98"/>
      <c r="AA164" s="98"/>
      <c r="AB164" s="98"/>
      <c r="AC164" s="98"/>
      <c r="AD164" s="98"/>
      <c r="AE164" s="98"/>
    </row>
    <row r="165" spans="1:31" x14ac:dyDescent="0.2">
      <c r="A165" s="36"/>
      <c r="B165" s="36"/>
      <c r="C165" s="36"/>
      <c r="D165" s="36"/>
      <c r="E165" s="36"/>
      <c r="F165" s="36"/>
      <c r="G165" s="36"/>
      <c r="H165" s="36"/>
      <c r="I165" s="36"/>
      <c r="J165" s="36"/>
      <c r="K165" s="36"/>
      <c r="L165" s="36"/>
    </row>
    <row r="166" spans="1:31" x14ac:dyDescent="0.2">
      <c r="A166" s="36"/>
      <c r="B166" s="36"/>
      <c r="C166" s="36"/>
      <c r="D166" s="36"/>
      <c r="E166" s="36"/>
      <c r="F166" s="36"/>
      <c r="G166" s="36"/>
      <c r="H166" s="36"/>
      <c r="I166" s="36"/>
      <c r="J166" s="36"/>
      <c r="K166" s="36"/>
      <c r="L166" s="36"/>
    </row>
    <row r="167" spans="1:31" x14ac:dyDescent="0.2">
      <c r="A167" s="36"/>
      <c r="B167" s="36"/>
      <c r="C167" s="36"/>
      <c r="D167" s="36"/>
      <c r="E167" s="36"/>
      <c r="F167" s="36"/>
      <c r="G167" s="36"/>
      <c r="H167" s="36"/>
      <c r="I167" s="36"/>
      <c r="J167" s="36"/>
      <c r="K167" s="36"/>
      <c r="L167" s="36"/>
    </row>
    <row r="168" spans="1:31" x14ac:dyDescent="0.2">
      <c r="A168" s="36"/>
      <c r="B168" s="36"/>
      <c r="C168" s="36"/>
      <c r="D168" s="36"/>
      <c r="E168" s="36"/>
      <c r="F168" s="36"/>
      <c r="G168" s="36"/>
      <c r="H168" s="36"/>
      <c r="I168" s="36"/>
      <c r="J168" s="36"/>
      <c r="K168" s="36"/>
      <c r="L168" s="36"/>
    </row>
    <row r="169" spans="1:31" x14ac:dyDescent="0.2">
      <c r="A169" s="36"/>
      <c r="B169" s="36"/>
      <c r="C169" s="36"/>
      <c r="D169" s="36"/>
      <c r="E169" s="36"/>
      <c r="F169" s="36"/>
      <c r="G169" s="36"/>
      <c r="H169" s="36"/>
      <c r="I169" s="36"/>
      <c r="J169" s="36"/>
      <c r="K169" s="36"/>
      <c r="L169" s="36"/>
    </row>
    <row r="170" spans="1:31" x14ac:dyDescent="0.2">
      <c r="A170" s="36"/>
      <c r="B170" s="36"/>
      <c r="C170" s="36"/>
      <c r="D170" s="36"/>
      <c r="E170" s="36"/>
      <c r="F170" s="36"/>
      <c r="G170" s="36"/>
      <c r="H170" s="36"/>
      <c r="I170" s="36"/>
      <c r="J170" s="36"/>
      <c r="K170" s="36"/>
      <c r="L170" s="36"/>
    </row>
    <row r="171" spans="1:31" x14ac:dyDescent="0.2">
      <c r="A171" s="36"/>
      <c r="B171" s="36"/>
      <c r="C171" s="36"/>
      <c r="D171" s="36"/>
      <c r="E171" s="36"/>
      <c r="F171" s="36"/>
      <c r="G171" s="36"/>
      <c r="H171" s="36"/>
      <c r="I171" s="36"/>
      <c r="J171" s="36"/>
      <c r="K171" s="36"/>
      <c r="L171" s="36"/>
    </row>
    <row r="172" spans="1:31" x14ac:dyDescent="0.2">
      <c r="A172" s="36"/>
      <c r="B172" s="36"/>
      <c r="C172" s="36"/>
      <c r="D172" s="36"/>
      <c r="E172" s="36"/>
      <c r="F172" s="36"/>
      <c r="G172" s="36"/>
      <c r="H172" s="36"/>
      <c r="I172" s="36"/>
      <c r="J172" s="36"/>
      <c r="K172" s="36"/>
      <c r="L172" s="36"/>
    </row>
    <row r="173" spans="1:31" x14ac:dyDescent="0.2">
      <c r="A173" s="36"/>
      <c r="B173" s="36"/>
      <c r="C173" s="36"/>
      <c r="D173" s="36"/>
      <c r="E173" s="36"/>
      <c r="F173" s="36"/>
      <c r="G173" s="36"/>
      <c r="H173" s="36"/>
      <c r="I173" s="36"/>
      <c r="J173" s="36"/>
      <c r="K173" s="36"/>
      <c r="L173" s="36"/>
    </row>
    <row r="174" spans="1:31" x14ac:dyDescent="0.2">
      <c r="A174" s="36"/>
      <c r="B174" s="36"/>
      <c r="C174" s="36"/>
      <c r="D174" s="36"/>
      <c r="E174" s="36"/>
      <c r="F174" s="36"/>
      <c r="G174" s="36"/>
      <c r="H174" s="36"/>
      <c r="I174" s="36"/>
      <c r="J174" s="36"/>
      <c r="K174" s="36"/>
      <c r="L174" s="36"/>
    </row>
    <row r="175" spans="1:31" x14ac:dyDescent="0.2">
      <c r="A175" s="36"/>
      <c r="B175" s="36"/>
      <c r="C175" s="36"/>
      <c r="D175" s="36"/>
      <c r="E175" s="36"/>
      <c r="F175" s="36"/>
      <c r="G175" s="36"/>
      <c r="H175" s="36"/>
      <c r="I175" s="36"/>
      <c r="J175" s="36"/>
      <c r="K175" s="36"/>
      <c r="L175" s="36"/>
    </row>
    <row r="176" spans="1:31" x14ac:dyDescent="0.2">
      <c r="A176" s="36"/>
      <c r="B176" s="36"/>
      <c r="C176" s="36"/>
      <c r="D176" s="36"/>
      <c r="E176" s="36"/>
      <c r="F176" s="36"/>
      <c r="G176" s="36"/>
      <c r="H176" s="36"/>
      <c r="I176" s="36"/>
      <c r="J176" s="36"/>
      <c r="K176" s="36"/>
      <c r="L176" s="36"/>
    </row>
    <row r="177" spans="1:31" x14ac:dyDescent="0.2">
      <c r="A177" s="36"/>
      <c r="B177" s="36"/>
      <c r="C177" s="36"/>
      <c r="D177" s="36"/>
      <c r="E177" s="36"/>
      <c r="F177" s="36"/>
      <c r="G177" s="36"/>
      <c r="H177" s="36"/>
      <c r="I177" s="36"/>
      <c r="J177" s="36"/>
      <c r="K177" s="36"/>
      <c r="L177" s="36"/>
    </row>
    <row r="178" spans="1:31" s="36" customFormat="1" x14ac:dyDescent="0.2">
      <c r="M178" s="54"/>
      <c r="N178" s="54"/>
      <c r="O178" s="104"/>
      <c r="P178" s="104"/>
      <c r="Q178" s="104"/>
      <c r="R178" s="104"/>
      <c r="S178" s="104"/>
      <c r="T178" s="104"/>
      <c r="U178" s="104"/>
      <c r="V178" s="104"/>
      <c r="W178" s="104"/>
      <c r="X178" s="104"/>
      <c r="Y178" s="104"/>
      <c r="Z178" s="104"/>
      <c r="AA178" s="104"/>
      <c r="AB178" s="104"/>
      <c r="AC178" s="104"/>
      <c r="AD178" s="104"/>
      <c r="AE178" s="104"/>
    </row>
    <row r="179" spans="1:31" s="36" customFormat="1" x14ac:dyDescent="0.2">
      <c r="M179" s="54"/>
      <c r="N179" s="54"/>
      <c r="O179" s="104"/>
      <c r="P179" s="104"/>
      <c r="Q179" s="104"/>
      <c r="R179" s="104"/>
      <c r="S179" s="104"/>
      <c r="T179" s="104"/>
      <c r="U179" s="104"/>
      <c r="V179" s="104"/>
      <c r="W179" s="104"/>
      <c r="X179" s="104"/>
      <c r="Y179" s="104"/>
      <c r="Z179" s="104"/>
      <c r="AA179" s="104"/>
      <c r="AB179" s="104"/>
      <c r="AC179" s="104"/>
      <c r="AD179" s="104"/>
      <c r="AE179" s="104"/>
    </row>
    <row r="180" spans="1:31" s="36" customFormat="1" x14ac:dyDescent="0.2">
      <c r="M180" s="54"/>
      <c r="N180" s="54"/>
      <c r="O180" s="104"/>
      <c r="P180" s="104"/>
      <c r="Q180" s="104"/>
      <c r="R180" s="104"/>
      <c r="S180" s="104"/>
      <c r="T180" s="104"/>
      <c r="U180" s="104"/>
      <c r="V180" s="104"/>
      <c r="W180" s="104"/>
      <c r="X180" s="104"/>
      <c r="Y180" s="104"/>
      <c r="Z180" s="104"/>
      <c r="AA180" s="104"/>
      <c r="AB180" s="104"/>
      <c r="AC180" s="104"/>
      <c r="AD180" s="104"/>
      <c r="AE180" s="104"/>
    </row>
    <row r="181" spans="1:31" s="36" customFormat="1" x14ac:dyDescent="0.2">
      <c r="M181" s="54"/>
      <c r="N181" s="54"/>
      <c r="O181" s="104"/>
      <c r="P181" s="104"/>
      <c r="Q181" s="104"/>
      <c r="R181" s="104"/>
      <c r="S181" s="104"/>
      <c r="T181" s="104"/>
      <c r="U181" s="104"/>
      <c r="V181" s="104"/>
      <c r="W181" s="104"/>
      <c r="X181" s="104"/>
      <c r="Y181" s="104"/>
      <c r="Z181" s="104"/>
      <c r="AA181" s="104"/>
      <c r="AB181" s="104"/>
      <c r="AC181" s="104"/>
      <c r="AD181" s="104"/>
      <c r="AE181" s="104"/>
    </row>
    <row r="182" spans="1:31" s="36" customFormat="1" x14ac:dyDescent="0.2">
      <c r="M182" s="54"/>
      <c r="N182" s="54"/>
      <c r="O182" s="104"/>
      <c r="P182" s="104"/>
      <c r="Q182" s="104"/>
      <c r="R182" s="104"/>
      <c r="S182" s="104"/>
      <c r="T182" s="104"/>
      <c r="U182" s="104"/>
      <c r="V182" s="104"/>
      <c r="W182" s="104"/>
      <c r="X182" s="104"/>
      <c r="Y182" s="104"/>
      <c r="Z182" s="104"/>
      <c r="AA182" s="104"/>
      <c r="AB182" s="104"/>
      <c r="AC182" s="104"/>
      <c r="AD182" s="104"/>
      <c r="AE182" s="104"/>
    </row>
    <row r="183" spans="1:31" s="36" customFormat="1" x14ac:dyDescent="0.2">
      <c r="M183" s="54"/>
      <c r="N183" s="54"/>
      <c r="O183" s="104"/>
      <c r="P183" s="104"/>
      <c r="Q183" s="104"/>
      <c r="R183" s="104"/>
      <c r="S183" s="104"/>
      <c r="T183" s="104"/>
      <c r="U183" s="104"/>
      <c r="V183" s="104"/>
      <c r="W183" s="104"/>
      <c r="X183" s="104"/>
      <c r="Y183" s="104"/>
      <c r="Z183" s="104"/>
      <c r="AA183" s="104"/>
      <c r="AB183" s="104"/>
      <c r="AC183" s="104"/>
      <c r="AD183" s="104"/>
      <c r="AE183" s="104"/>
    </row>
    <row r="184" spans="1:31" s="36" customFormat="1" x14ac:dyDescent="0.2">
      <c r="M184" s="54"/>
      <c r="N184" s="54"/>
      <c r="O184" s="104"/>
      <c r="P184" s="104"/>
      <c r="Q184" s="104"/>
      <c r="R184" s="104"/>
      <c r="S184" s="104"/>
      <c r="T184" s="104"/>
      <c r="U184" s="104"/>
      <c r="V184" s="104"/>
      <c r="W184" s="104"/>
      <c r="X184" s="104"/>
      <c r="Y184" s="104"/>
      <c r="Z184" s="104"/>
      <c r="AA184" s="104"/>
      <c r="AB184" s="104"/>
      <c r="AC184" s="104"/>
      <c r="AD184" s="104"/>
      <c r="AE184" s="104"/>
    </row>
    <row r="185" spans="1:31" s="36" customFormat="1" x14ac:dyDescent="0.2">
      <c r="M185" s="54"/>
      <c r="N185" s="54"/>
      <c r="O185" s="104"/>
      <c r="P185" s="104"/>
      <c r="Q185" s="104"/>
      <c r="R185" s="104"/>
      <c r="S185" s="104"/>
      <c r="T185" s="104"/>
      <c r="U185" s="104"/>
      <c r="V185" s="104"/>
      <c r="W185" s="104"/>
      <c r="X185" s="104"/>
      <c r="Y185" s="104"/>
      <c r="Z185" s="104"/>
      <c r="AA185" s="104"/>
      <c r="AB185" s="104"/>
      <c r="AC185" s="104"/>
      <c r="AD185" s="104"/>
      <c r="AE185" s="104"/>
    </row>
    <row r="186" spans="1:31" s="36" customFormat="1" x14ac:dyDescent="0.2">
      <c r="M186" s="54"/>
      <c r="N186" s="54"/>
      <c r="O186" s="104"/>
      <c r="P186" s="104"/>
      <c r="Q186" s="104"/>
      <c r="R186" s="104"/>
      <c r="S186" s="104"/>
      <c r="T186" s="104"/>
      <c r="U186" s="104"/>
      <c r="V186" s="104"/>
      <c r="W186" s="104"/>
      <c r="X186" s="104"/>
      <c r="Y186" s="104"/>
      <c r="Z186" s="104"/>
      <c r="AA186" s="104"/>
      <c r="AB186" s="104"/>
      <c r="AC186" s="104"/>
      <c r="AD186" s="104"/>
      <c r="AE186" s="104"/>
    </row>
    <row r="187" spans="1:31" s="36" customFormat="1" x14ac:dyDescent="0.2">
      <c r="M187" s="54"/>
      <c r="N187" s="54"/>
      <c r="O187" s="104"/>
      <c r="P187" s="104"/>
      <c r="Q187" s="104"/>
      <c r="R187" s="104"/>
      <c r="S187" s="104"/>
      <c r="T187" s="104"/>
      <c r="U187" s="104"/>
      <c r="V187" s="104"/>
      <c r="W187" s="104"/>
      <c r="X187" s="104"/>
      <c r="Y187" s="104"/>
      <c r="Z187" s="104"/>
      <c r="AA187" s="104"/>
      <c r="AB187" s="104"/>
      <c r="AC187" s="104"/>
      <c r="AD187" s="104"/>
      <c r="AE187" s="104"/>
    </row>
    <row r="188" spans="1:31" s="36" customFormat="1" x14ac:dyDescent="0.2">
      <c r="M188" s="54"/>
      <c r="N188" s="54"/>
      <c r="O188" s="104"/>
      <c r="P188" s="104"/>
      <c r="Q188" s="104"/>
      <c r="R188" s="104"/>
      <c r="S188" s="104"/>
      <c r="T188" s="104"/>
      <c r="U188" s="104"/>
      <c r="V188" s="104"/>
      <c r="W188" s="104"/>
      <c r="X188" s="104"/>
      <c r="Y188" s="104"/>
      <c r="Z188" s="104"/>
      <c r="AA188" s="104"/>
      <c r="AB188" s="104"/>
      <c r="AC188" s="104"/>
      <c r="AD188" s="104"/>
      <c r="AE188" s="104"/>
    </row>
    <row r="189" spans="1:31" s="36" customFormat="1" x14ac:dyDescent="0.2">
      <c r="M189" s="54"/>
      <c r="N189" s="54"/>
      <c r="O189" s="104"/>
      <c r="P189" s="104"/>
      <c r="Q189" s="104"/>
      <c r="R189" s="104"/>
      <c r="S189" s="104"/>
      <c r="T189" s="104"/>
      <c r="U189" s="104"/>
      <c r="V189" s="104"/>
      <c r="W189" s="104"/>
      <c r="X189" s="104"/>
      <c r="Y189" s="104"/>
      <c r="Z189" s="104"/>
      <c r="AA189" s="104"/>
      <c r="AB189" s="104"/>
      <c r="AC189" s="104"/>
      <c r="AD189" s="104"/>
      <c r="AE189" s="104"/>
    </row>
  </sheetData>
  <sheetProtection sheet="1" objects="1" scenarios="1" selectLockedCells="1"/>
  <mergeCells count="36">
    <mergeCell ref="C74:J74"/>
    <mergeCell ref="B75:B80"/>
    <mergeCell ref="B31:L31"/>
    <mergeCell ref="A33:A50"/>
    <mergeCell ref="B33:B38"/>
    <mergeCell ref="C38:J38"/>
    <mergeCell ref="B39:B44"/>
    <mergeCell ref="C44:J44"/>
    <mergeCell ref="B45:B50"/>
    <mergeCell ref="C50:J50"/>
    <mergeCell ref="C80:J80"/>
    <mergeCell ref="A81:A98"/>
    <mergeCell ref="B81:B86"/>
    <mergeCell ref="C86:J86"/>
    <mergeCell ref="B87:B92"/>
    <mergeCell ref="C92:J92"/>
    <mergeCell ref="B93:B98"/>
    <mergeCell ref="C98:J98"/>
    <mergeCell ref="A51:A80"/>
    <mergeCell ref="B51:B56"/>
    <mergeCell ref="C56:J56"/>
    <mergeCell ref="B57:B62"/>
    <mergeCell ref="C62:J62"/>
    <mergeCell ref="B63:B68"/>
    <mergeCell ref="C68:J68"/>
    <mergeCell ref="B69:B74"/>
    <mergeCell ref="A123:J123"/>
    <mergeCell ref="A99:A122"/>
    <mergeCell ref="B99:B104"/>
    <mergeCell ref="C104:J104"/>
    <mergeCell ref="B105:B110"/>
    <mergeCell ref="C110:J110"/>
    <mergeCell ref="B111:B116"/>
    <mergeCell ref="C116:J116"/>
    <mergeCell ref="B117:B122"/>
    <mergeCell ref="C122:J122"/>
  </mergeCells>
  <conditionalFormatting sqref="H42:H43">
    <cfRule type="cellIs" dxfId="719" priority="696" operator="equal">
      <formula>"sehr hoch"</formula>
    </cfRule>
    <cfRule type="cellIs" dxfId="718" priority="697" operator="equal">
      <formula>"hoch"</formula>
    </cfRule>
    <cfRule type="cellIs" dxfId="717" priority="698" operator="equal">
      <formula>"mittel"</formula>
    </cfRule>
    <cfRule type="cellIs" dxfId="716" priority="699" operator="equal">
      <formula>"gering"</formula>
    </cfRule>
    <cfRule type="cellIs" dxfId="715" priority="700" operator="equal">
      <formula>"sehr gering"</formula>
    </cfRule>
    <cfRule type="cellIs" dxfId="714" priority="701" operator="equal">
      <formula>"trifft nicht ein"</formula>
    </cfRule>
  </conditionalFormatting>
  <conditionalFormatting sqref="H39:H41">
    <cfRule type="cellIs" dxfId="713" priority="690" operator="equal">
      <formula>"sehr hoch"</formula>
    </cfRule>
    <cfRule type="cellIs" dxfId="712" priority="691" operator="equal">
      <formula>"hoch"</formula>
    </cfRule>
    <cfRule type="cellIs" dxfId="711" priority="692" operator="equal">
      <formula>"mittel"</formula>
    </cfRule>
    <cfRule type="cellIs" dxfId="710" priority="693" operator="equal">
      <formula>"gering"</formula>
    </cfRule>
    <cfRule type="cellIs" dxfId="709" priority="694" operator="equal">
      <formula>"sehr gering"</formula>
    </cfRule>
    <cfRule type="cellIs" dxfId="708" priority="695" operator="equal">
      <formula>"trifft nicht ein"</formula>
    </cfRule>
  </conditionalFormatting>
  <conditionalFormatting sqref="H66:H67">
    <cfRule type="cellIs" dxfId="707" priority="684" operator="equal">
      <formula>"sehr hoch"</formula>
    </cfRule>
    <cfRule type="cellIs" dxfId="706" priority="685" operator="equal">
      <formula>"hoch"</formula>
    </cfRule>
    <cfRule type="cellIs" dxfId="705" priority="686" operator="equal">
      <formula>"mittel"</formula>
    </cfRule>
    <cfRule type="cellIs" dxfId="704" priority="687" operator="equal">
      <formula>"gering"</formula>
    </cfRule>
    <cfRule type="cellIs" dxfId="703" priority="688" operator="equal">
      <formula>"sehr gering"</formula>
    </cfRule>
    <cfRule type="cellIs" dxfId="702" priority="689" operator="equal">
      <formula>"trifft nicht ein"</formula>
    </cfRule>
  </conditionalFormatting>
  <conditionalFormatting sqref="H63:H65">
    <cfRule type="cellIs" dxfId="701" priority="678" operator="equal">
      <formula>"sehr hoch"</formula>
    </cfRule>
    <cfRule type="cellIs" dxfId="700" priority="679" operator="equal">
      <formula>"hoch"</formula>
    </cfRule>
    <cfRule type="cellIs" dxfId="699" priority="680" operator="equal">
      <formula>"mittel"</formula>
    </cfRule>
    <cfRule type="cellIs" dxfId="698" priority="681" operator="equal">
      <formula>"gering"</formula>
    </cfRule>
    <cfRule type="cellIs" dxfId="697" priority="682" operator="equal">
      <formula>"sehr gering"</formula>
    </cfRule>
    <cfRule type="cellIs" dxfId="696" priority="683" operator="equal">
      <formula>"trifft nicht ein"</formula>
    </cfRule>
  </conditionalFormatting>
  <conditionalFormatting sqref="H72:H73">
    <cfRule type="cellIs" dxfId="695" priority="672" operator="equal">
      <formula>"sehr hoch"</formula>
    </cfRule>
    <cfRule type="cellIs" dxfId="694" priority="673" operator="equal">
      <formula>"hoch"</formula>
    </cfRule>
    <cfRule type="cellIs" dxfId="693" priority="674" operator="equal">
      <formula>"mittel"</formula>
    </cfRule>
    <cfRule type="cellIs" dxfId="692" priority="675" operator="equal">
      <formula>"gering"</formula>
    </cfRule>
    <cfRule type="cellIs" dxfId="691" priority="676" operator="equal">
      <formula>"sehr gering"</formula>
    </cfRule>
    <cfRule type="cellIs" dxfId="690" priority="677" operator="equal">
      <formula>"trifft nicht ein"</formula>
    </cfRule>
  </conditionalFormatting>
  <conditionalFormatting sqref="H69:H71">
    <cfRule type="cellIs" dxfId="689" priority="666" operator="equal">
      <formula>"sehr hoch"</formula>
    </cfRule>
    <cfRule type="cellIs" dxfId="688" priority="667" operator="equal">
      <formula>"hoch"</formula>
    </cfRule>
    <cfRule type="cellIs" dxfId="687" priority="668" operator="equal">
      <formula>"mittel"</formula>
    </cfRule>
    <cfRule type="cellIs" dxfId="686" priority="669" operator="equal">
      <formula>"gering"</formula>
    </cfRule>
    <cfRule type="cellIs" dxfId="685" priority="670" operator="equal">
      <formula>"sehr gering"</formula>
    </cfRule>
    <cfRule type="cellIs" dxfId="684" priority="671" operator="equal">
      <formula>"trifft nicht ein"</formula>
    </cfRule>
  </conditionalFormatting>
  <conditionalFormatting sqref="H78:H79">
    <cfRule type="cellIs" dxfId="683" priority="660" operator="equal">
      <formula>"sehr hoch"</formula>
    </cfRule>
    <cfRule type="cellIs" dxfId="682" priority="661" operator="equal">
      <formula>"hoch"</formula>
    </cfRule>
    <cfRule type="cellIs" dxfId="681" priority="662" operator="equal">
      <formula>"mittel"</formula>
    </cfRule>
    <cfRule type="cellIs" dxfId="680" priority="663" operator="equal">
      <formula>"gering"</formula>
    </cfRule>
    <cfRule type="cellIs" dxfId="679" priority="664" operator="equal">
      <formula>"sehr gering"</formula>
    </cfRule>
    <cfRule type="cellIs" dxfId="678" priority="665" operator="equal">
      <formula>"trifft nicht ein"</formula>
    </cfRule>
  </conditionalFormatting>
  <conditionalFormatting sqref="H75:H77">
    <cfRule type="cellIs" dxfId="677" priority="654" operator="equal">
      <formula>"sehr hoch"</formula>
    </cfRule>
    <cfRule type="cellIs" dxfId="676" priority="655" operator="equal">
      <formula>"hoch"</formula>
    </cfRule>
    <cfRule type="cellIs" dxfId="675" priority="656" operator="equal">
      <formula>"mittel"</formula>
    </cfRule>
    <cfRule type="cellIs" dxfId="674" priority="657" operator="equal">
      <formula>"gering"</formula>
    </cfRule>
    <cfRule type="cellIs" dxfId="673" priority="658" operator="equal">
      <formula>"sehr gering"</formula>
    </cfRule>
    <cfRule type="cellIs" dxfId="672" priority="659" operator="equal">
      <formula>"trifft nicht ein"</formula>
    </cfRule>
  </conditionalFormatting>
  <conditionalFormatting sqref="H84:H85">
    <cfRule type="cellIs" dxfId="671" priority="648" operator="equal">
      <formula>"sehr hoch"</formula>
    </cfRule>
    <cfRule type="cellIs" dxfId="670" priority="649" operator="equal">
      <formula>"hoch"</formula>
    </cfRule>
    <cfRule type="cellIs" dxfId="669" priority="650" operator="equal">
      <formula>"mittel"</formula>
    </cfRule>
    <cfRule type="cellIs" dxfId="668" priority="651" operator="equal">
      <formula>"gering"</formula>
    </cfRule>
    <cfRule type="cellIs" dxfId="667" priority="652" operator="equal">
      <formula>"sehr gering"</formula>
    </cfRule>
    <cfRule type="cellIs" dxfId="666" priority="653" operator="equal">
      <formula>"trifft nicht ein"</formula>
    </cfRule>
  </conditionalFormatting>
  <conditionalFormatting sqref="H81:H83">
    <cfRule type="cellIs" dxfId="665" priority="642" operator="equal">
      <formula>"sehr hoch"</formula>
    </cfRule>
    <cfRule type="cellIs" dxfId="664" priority="643" operator="equal">
      <formula>"hoch"</formula>
    </cfRule>
    <cfRule type="cellIs" dxfId="663" priority="644" operator="equal">
      <formula>"mittel"</formula>
    </cfRule>
    <cfRule type="cellIs" dxfId="662" priority="645" operator="equal">
      <formula>"gering"</formula>
    </cfRule>
    <cfRule type="cellIs" dxfId="661" priority="646" operator="equal">
      <formula>"sehr gering"</formula>
    </cfRule>
    <cfRule type="cellIs" dxfId="660" priority="647" operator="equal">
      <formula>"trifft nicht ein"</formula>
    </cfRule>
  </conditionalFormatting>
  <conditionalFormatting sqref="H90:H91">
    <cfRule type="cellIs" dxfId="659" priority="636" operator="equal">
      <formula>"sehr hoch"</formula>
    </cfRule>
    <cfRule type="cellIs" dxfId="658" priority="637" operator="equal">
      <formula>"hoch"</formula>
    </cfRule>
    <cfRule type="cellIs" dxfId="657" priority="638" operator="equal">
      <formula>"mittel"</formula>
    </cfRule>
    <cfRule type="cellIs" dxfId="656" priority="639" operator="equal">
      <formula>"gering"</formula>
    </cfRule>
    <cfRule type="cellIs" dxfId="655" priority="640" operator="equal">
      <formula>"sehr gering"</formula>
    </cfRule>
    <cfRule type="cellIs" dxfId="654" priority="641" operator="equal">
      <formula>"trifft nicht ein"</formula>
    </cfRule>
  </conditionalFormatting>
  <conditionalFormatting sqref="H87:H89">
    <cfRule type="cellIs" dxfId="653" priority="630" operator="equal">
      <formula>"sehr hoch"</formula>
    </cfRule>
    <cfRule type="cellIs" dxfId="652" priority="631" operator="equal">
      <formula>"hoch"</formula>
    </cfRule>
    <cfRule type="cellIs" dxfId="651" priority="632" operator="equal">
      <formula>"mittel"</formula>
    </cfRule>
    <cfRule type="cellIs" dxfId="650" priority="633" operator="equal">
      <formula>"gering"</formula>
    </cfRule>
    <cfRule type="cellIs" dxfId="649" priority="634" operator="equal">
      <formula>"sehr gering"</formula>
    </cfRule>
    <cfRule type="cellIs" dxfId="648" priority="635" operator="equal">
      <formula>"trifft nicht ein"</formula>
    </cfRule>
  </conditionalFormatting>
  <conditionalFormatting sqref="H96:H97">
    <cfRule type="cellIs" dxfId="647" priority="624" operator="equal">
      <formula>"sehr hoch"</formula>
    </cfRule>
    <cfRule type="cellIs" dxfId="646" priority="625" operator="equal">
      <formula>"hoch"</formula>
    </cfRule>
    <cfRule type="cellIs" dxfId="645" priority="626" operator="equal">
      <formula>"mittel"</formula>
    </cfRule>
    <cfRule type="cellIs" dxfId="644" priority="627" operator="equal">
      <formula>"gering"</formula>
    </cfRule>
    <cfRule type="cellIs" dxfId="643" priority="628" operator="equal">
      <formula>"sehr gering"</formula>
    </cfRule>
    <cfRule type="cellIs" dxfId="642" priority="629" operator="equal">
      <formula>"trifft nicht ein"</formula>
    </cfRule>
  </conditionalFormatting>
  <conditionalFormatting sqref="H93:H95">
    <cfRule type="cellIs" dxfId="641" priority="618" operator="equal">
      <formula>"sehr hoch"</formula>
    </cfRule>
    <cfRule type="cellIs" dxfId="640" priority="619" operator="equal">
      <formula>"hoch"</formula>
    </cfRule>
    <cfRule type="cellIs" dxfId="639" priority="620" operator="equal">
      <formula>"mittel"</formula>
    </cfRule>
    <cfRule type="cellIs" dxfId="638" priority="621" operator="equal">
      <formula>"gering"</formula>
    </cfRule>
    <cfRule type="cellIs" dxfId="637" priority="622" operator="equal">
      <formula>"sehr gering"</formula>
    </cfRule>
    <cfRule type="cellIs" dxfId="636" priority="623" operator="equal">
      <formula>"trifft nicht ein"</formula>
    </cfRule>
  </conditionalFormatting>
  <conditionalFormatting sqref="H102:H103">
    <cfRule type="cellIs" dxfId="635" priority="612" operator="equal">
      <formula>"sehr hoch"</formula>
    </cfRule>
    <cfRule type="cellIs" dxfId="634" priority="613" operator="equal">
      <formula>"hoch"</formula>
    </cfRule>
    <cfRule type="cellIs" dxfId="633" priority="614" operator="equal">
      <formula>"mittel"</formula>
    </cfRule>
    <cfRule type="cellIs" dxfId="632" priority="615" operator="equal">
      <formula>"gering"</formula>
    </cfRule>
    <cfRule type="cellIs" dxfId="631" priority="616" operator="equal">
      <formula>"sehr gering"</formula>
    </cfRule>
    <cfRule type="cellIs" dxfId="630" priority="617" operator="equal">
      <formula>"trifft nicht ein"</formula>
    </cfRule>
  </conditionalFormatting>
  <conditionalFormatting sqref="H99:H101">
    <cfRule type="cellIs" dxfId="629" priority="606" operator="equal">
      <formula>"sehr hoch"</formula>
    </cfRule>
    <cfRule type="cellIs" dxfId="628" priority="607" operator="equal">
      <formula>"hoch"</formula>
    </cfRule>
    <cfRule type="cellIs" dxfId="627" priority="608" operator="equal">
      <formula>"mittel"</formula>
    </cfRule>
    <cfRule type="cellIs" dxfId="626" priority="609" operator="equal">
      <formula>"gering"</formula>
    </cfRule>
    <cfRule type="cellIs" dxfId="625" priority="610" operator="equal">
      <formula>"sehr gering"</formula>
    </cfRule>
    <cfRule type="cellIs" dxfId="624" priority="611" operator="equal">
      <formula>"trifft nicht ein"</formula>
    </cfRule>
  </conditionalFormatting>
  <conditionalFormatting sqref="H108:H109">
    <cfRule type="cellIs" dxfId="623" priority="600" operator="equal">
      <formula>"sehr hoch"</formula>
    </cfRule>
    <cfRule type="cellIs" dxfId="622" priority="601" operator="equal">
      <formula>"hoch"</formula>
    </cfRule>
    <cfRule type="cellIs" dxfId="621" priority="602" operator="equal">
      <formula>"mittel"</formula>
    </cfRule>
    <cfRule type="cellIs" dxfId="620" priority="603" operator="equal">
      <formula>"gering"</formula>
    </cfRule>
    <cfRule type="cellIs" dxfId="619" priority="604" operator="equal">
      <formula>"sehr gering"</formula>
    </cfRule>
    <cfRule type="cellIs" dxfId="618" priority="605" operator="equal">
      <formula>"trifft nicht ein"</formula>
    </cfRule>
  </conditionalFormatting>
  <conditionalFormatting sqref="H105:H107">
    <cfRule type="cellIs" dxfId="617" priority="594" operator="equal">
      <formula>"sehr hoch"</formula>
    </cfRule>
    <cfRule type="cellIs" dxfId="616" priority="595" operator="equal">
      <formula>"hoch"</formula>
    </cfRule>
    <cfRule type="cellIs" dxfId="615" priority="596" operator="equal">
      <formula>"mittel"</formula>
    </cfRule>
    <cfRule type="cellIs" dxfId="614" priority="597" operator="equal">
      <formula>"gering"</formula>
    </cfRule>
    <cfRule type="cellIs" dxfId="613" priority="598" operator="equal">
      <formula>"sehr gering"</formula>
    </cfRule>
    <cfRule type="cellIs" dxfId="612" priority="599" operator="equal">
      <formula>"trifft nicht ein"</formula>
    </cfRule>
  </conditionalFormatting>
  <conditionalFormatting sqref="H114:H115">
    <cfRule type="cellIs" dxfId="611" priority="588" operator="equal">
      <formula>"sehr hoch"</formula>
    </cfRule>
    <cfRule type="cellIs" dxfId="610" priority="589" operator="equal">
      <formula>"hoch"</formula>
    </cfRule>
    <cfRule type="cellIs" dxfId="609" priority="590" operator="equal">
      <formula>"mittel"</formula>
    </cfRule>
    <cfRule type="cellIs" dxfId="608" priority="591" operator="equal">
      <formula>"gering"</formula>
    </cfRule>
    <cfRule type="cellIs" dxfId="607" priority="592" operator="equal">
      <formula>"sehr gering"</formula>
    </cfRule>
    <cfRule type="cellIs" dxfId="606" priority="593" operator="equal">
      <formula>"trifft nicht ein"</formula>
    </cfRule>
  </conditionalFormatting>
  <conditionalFormatting sqref="H111:H113">
    <cfRule type="cellIs" dxfId="605" priority="582" operator="equal">
      <formula>"sehr hoch"</formula>
    </cfRule>
    <cfRule type="cellIs" dxfId="604" priority="583" operator="equal">
      <formula>"hoch"</formula>
    </cfRule>
    <cfRule type="cellIs" dxfId="603" priority="584" operator="equal">
      <formula>"mittel"</formula>
    </cfRule>
    <cfRule type="cellIs" dxfId="602" priority="585" operator="equal">
      <formula>"gering"</formula>
    </cfRule>
    <cfRule type="cellIs" dxfId="601" priority="586" operator="equal">
      <formula>"sehr gering"</formula>
    </cfRule>
    <cfRule type="cellIs" dxfId="600" priority="587" operator="equal">
      <formula>"trifft nicht ein"</formula>
    </cfRule>
  </conditionalFormatting>
  <conditionalFormatting sqref="H120:H121">
    <cfRule type="cellIs" dxfId="599" priority="576" operator="equal">
      <formula>"sehr hoch"</formula>
    </cfRule>
    <cfRule type="cellIs" dxfId="598" priority="577" operator="equal">
      <formula>"hoch"</formula>
    </cfRule>
    <cfRule type="cellIs" dxfId="597" priority="578" operator="equal">
      <formula>"mittel"</formula>
    </cfRule>
    <cfRule type="cellIs" dxfId="596" priority="579" operator="equal">
      <formula>"gering"</formula>
    </cfRule>
    <cfRule type="cellIs" dxfId="595" priority="580" operator="equal">
      <formula>"sehr gering"</formula>
    </cfRule>
    <cfRule type="cellIs" dxfId="594" priority="581" operator="equal">
      <formula>"trifft nicht ein"</formula>
    </cfRule>
  </conditionalFormatting>
  <conditionalFormatting sqref="H117:H119">
    <cfRule type="cellIs" dxfId="593" priority="570" operator="equal">
      <formula>"sehr hoch"</formula>
    </cfRule>
    <cfRule type="cellIs" dxfId="592" priority="571" operator="equal">
      <formula>"hoch"</formula>
    </cfRule>
    <cfRule type="cellIs" dxfId="591" priority="572" operator="equal">
      <formula>"mittel"</formula>
    </cfRule>
    <cfRule type="cellIs" dxfId="590" priority="573" operator="equal">
      <formula>"gering"</formula>
    </cfRule>
    <cfRule type="cellIs" dxfId="589" priority="574" operator="equal">
      <formula>"sehr gering"</formula>
    </cfRule>
    <cfRule type="cellIs" dxfId="588" priority="575" operator="equal">
      <formula>"trifft nicht ein"</formula>
    </cfRule>
  </conditionalFormatting>
  <conditionalFormatting sqref="I42:I43">
    <cfRule type="cellIs" dxfId="587" priority="564" operator="equal">
      <formula>"führt zum Abbruch"</formula>
    </cfRule>
    <cfRule type="cellIs" dxfId="586" priority="565" operator="equal">
      <formula>"sehr hoch"</formula>
    </cfRule>
    <cfRule type="cellIs" dxfId="585" priority="566" operator="equal">
      <formula>"hoch"</formula>
    </cfRule>
    <cfRule type="cellIs" dxfId="584" priority="567" operator="equal">
      <formula>"mittel"</formula>
    </cfRule>
    <cfRule type="cellIs" dxfId="583" priority="568" operator="equal">
      <formula>"gering"</formula>
    </cfRule>
    <cfRule type="cellIs" dxfId="582" priority="569" operator="equal">
      <formula>"sehr gering"</formula>
    </cfRule>
  </conditionalFormatting>
  <conditionalFormatting sqref="I39:I41">
    <cfRule type="cellIs" dxfId="581" priority="557" operator="equal">
      <formula>"führt zum Abbruch"</formula>
    </cfRule>
    <cfRule type="cellIs" dxfId="580" priority="558" operator="equal">
      <formula>"sehr hoch"</formula>
    </cfRule>
    <cfRule type="cellIs" dxfId="579" priority="559" operator="equal">
      <formula>"hoch"</formula>
    </cfRule>
    <cfRule type="cellIs" dxfId="578" priority="560" operator="equal">
      <formula>"mittel"</formula>
    </cfRule>
    <cfRule type="cellIs" dxfId="577" priority="561" operator="equal">
      <formula>"gering"</formula>
    </cfRule>
    <cfRule type="cellIs" dxfId="576" priority="562" operator="equal">
      <formula>"sehr gering"</formula>
    </cfRule>
  </conditionalFormatting>
  <conditionalFormatting sqref="I66:I67">
    <cfRule type="cellIs" dxfId="575" priority="550" operator="equal">
      <formula>"führt zum Abbruch"</formula>
    </cfRule>
    <cfRule type="cellIs" dxfId="574" priority="551" operator="equal">
      <formula>"sehr hoch"</formula>
    </cfRule>
    <cfRule type="cellIs" dxfId="573" priority="552" operator="equal">
      <formula>"hoch"</formula>
    </cfRule>
    <cfRule type="cellIs" dxfId="572" priority="553" operator="equal">
      <formula>"mittel"</formula>
    </cfRule>
    <cfRule type="cellIs" dxfId="571" priority="554" operator="equal">
      <formula>"gering"</formula>
    </cfRule>
    <cfRule type="cellIs" dxfId="570" priority="555" operator="equal">
      <formula>"sehr gering"</formula>
    </cfRule>
  </conditionalFormatting>
  <conditionalFormatting sqref="I63:I65">
    <cfRule type="cellIs" dxfId="569" priority="543" operator="equal">
      <formula>"führt zum Abbruch"</formula>
    </cfRule>
    <cfRule type="cellIs" dxfId="568" priority="544" operator="equal">
      <formula>"sehr hoch"</formula>
    </cfRule>
    <cfRule type="cellIs" dxfId="567" priority="545" operator="equal">
      <formula>"hoch"</formula>
    </cfRule>
    <cfRule type="cellIs" dxfId="566" priority="546" operator="equal">
      <formula>"mittel"</formula>
    </cfRule>
    <cfRule type="cellIs" dxfId="565" priority="547" operator="equal">
      <formula>"gering"</formula>
    </cfRule>
    <cfRule type="cellIs" dxfId="564" priority="548" operator="equal">
      <formula>"sehr gering"</formula>
    </cfRule>
  </conditionalFormatting>
  <conditionalFormatting sqref="I72:I73">
    <cfRule type="cellIs" dxfId="563" priority="536" operator="equal">
      <formula>"führt zum Abbruch"</formula>
    </cfRule>
    <cfRule type="cellIs" dxfId="562" priority="537" operator="equal">
      <formula>"sehr hoch"</formula>
    </cfRule>
    <cfRule type="cellIs" dxfId="561" priority="538" operator="equal">
      <formula>"hoch"</formula>
    </cfRule>
    <cfRule type="cellIs" dxfId="560" priority="539" operator="equal">
      <formula>"mittel"</formula>
    </cfRule>
    <cfRule type="cellIs" dxfId="559" priority="540" operator="equal">
      <formula>"gering"</formula>
    </cfRule>
    <cfRule type="cellIs" dxfId="558" priority="541" operator="equal">
      <formula>"sehr gering"</formula>
    </cfRule>
  </conditionalFormatting>
  <conditionalFormatting sqref="I69:I71">
    <cfRule type="cellIs" dxfId="557" priority="529" operator="equal">
      <formula>"führt zum Abbruch"</formula>
    </cfRule>
    <cfRule type="cellIs" dxfId="556" priority="530" operator="equal">
      <formula>"sehr hoch"</formula>
    </cfRule>
    <cfRule type="cellIs" dxfId="555" priority="531" operator="equal">
      <formula>"hoch"</formula>
    </cfRule>
    <cfRule type="cellIs" dxfId="554" priority="532" operator="equal">
      <formula>"mittel"</formula>
    </cfRule>
    <cfRule type="cellIs" dxfId="553" priority="533" operator="equal">
      <formula>"gering"</formula>
    </cfRule>
    <cfRule type="cellIs" dxfId="552" priority="534" operator="equal">
      <formula>"sehr gering"</formula>
    </cfRule>
  </conditionalFormatting>
  <conditionalFormatting sqref="I78:I79">
    <cfRule type="cellIs" dxfId="551" priority="522" operator="equal">
      <formula>"führt zum Abbruch"</formula>
    </cfRule>
    <cfRule type="cellIs" dxfId="550" priority="523" operator="equal">
      <formula>"sehr hoch"</formula>
    </cfRule>
    <cfRule type="cellIs" dxfId="549" priority="524" operator="equal">
      <formula>"hoch"</formula>
    </cfRule>
    <cfRule type="cellIs" dxfId="548" priority="525" operator="equal">
      <formula>"mittel"</formula>
    </cfRule>
    <cfRule type="cellIs" dxfId="547" priority="526" operator="equal">
      <formula>"gering"</formula>
    </cfRule>
    <cfRule type="cellIs" dxfId="546" priority="527" operator="equal">
      <formula>"sehr gering"</formula>
    </cfRule>
  </conditionalFormatting>
  <conditionalFormatting sqref="I75:I77">
    <cfRule type="cellIs" dxfId="545" priority="515" operator="equal">
      <formula>"führt zum Abbruch"</formula>
    </cfRule>
    <cfRule type="cellIs" dxfId="544" priority="516" operator="equal">
      <formula>"sehr hoch"</formula>
    </cfRule>
    <cfRule type="cellIs" dxfId="543" priority="517" operator="equal">
      <formula>"hoch"</formula>
    </cfRule>
    <cfRule type="cellIs" dxfId="542" priority="518" operator="equal">
      <formula>"mittel"</formula>
    </cfRule>
    <cfRule type="cellIs" dxfId="541" priority="519" operator="equal">
      <formula>"gering"</formula>
    </cfRule>
    <cfRule type="cellIs" dxfId="540" priority="520" operator="equal">
      <formula>"sehr gering"</formula>
    </cfRule>
  </conditionalFormatting>
  <conditionalFormatting sqref="I84:I85">
    <cfRule type="cellIs" dxfId="539" priority="508" operator="equal">
      <formula>"führt zum Abbruch"</formula>
    </cfRule>
    <cfRule type="cellIs" dxfId="538" priority="509" operator="equal">
      <formula>"sehr hoch"</formula>
    </cfRule>
    <cfRule type="cellIs" dxfId="537" priority="510" operator="equal">
      <formula>"hoch"</formula>
    </cfRule>
    <cfRule type="cellIs" dxfId="536" priority="511" operator="equal">
      <formula>"mittel"</formula>
    </cfRule>
    <cfRule type="cellIs" dxfId="535" priority="512" operator="equal">
      <formula>"gering"</formula>
    </cfRule>
    <cfRule type="cellIs" dxfId="534" priority="513" operator="equal">
      <formula>"sehr gering"</formula>
    </cfRule>
  </conditionalFormatting>
  <conditionalFormatting sqref="I81:I83">
    <cfRule type="cellIs" dxfId="533" priority="501" operator="equal">
      <formula>"führt zum Abbruch"</formula>
    </cfRule>
    <cfRule type="cellIs" dxfId="532" priority="502" operator="equal">
      <formula>"sehr hoch"</formula>
    </cfRule>
    <cfRule type="cellIs" dxfId="531" priority="503" operator="equal">
      <formula>"hoch"</formula>
    </cfRule>
    <cfRule type="cellIs" dxfId="530" priority="504" operator="equal">
      <formula>"mittel"</formula>
    </cfRule>
    <cfRule type="cellIs" dxfId="529" priority="505" operator="equal">
      <formula>"gering"</formula>
    </cfRule>
    <cfRule type="cellIs" dxfId="528" priority="506" operator="equal">
      <formula>"sehr gering"</formula>
    </cfRule>
  </conditionalFormatting>
  <conditionalFormatting sqref="I90:I91">
    <cfRule type="cellIs" dxfId="527" priority="494" operator="equal">
      <formula>"führt zum Abbruch"</formula>
    </cfRule>
    <cfRule type="cellIs" dxfId="526" priority="495" operator="equal">
      <formula>"sehr hoch"</formula>
    </cfRule>
    <cfRule type="cellIs" dxfId="525" priority="496" operator="equal">
      <formula>"hoch"</formula>
    </cfRule>
    <cfRule type="cellIs" dxfId="524" priority="497" operator="equal">
      <formula>"mittel"</formula>
    </cfRule>
    <cfRule type="cellIs" dxfId="523" priority="498" operator="equal">
      <formula>"gering"</formula>
    </cfRule>
    <cfRule type="cellIs" dxfId="522" priority="499" operator="equal">
      <formula>"sehr gering"</formula>
    </cfRule>
  </conditionalFormatting>
  <conditionalFormatting sqref="I87:I89">
    <cfRule type="cellIs" dxfId="521" priority="487" operator="equal">
      <formula>"führt zum Abbruch"</formula>
    </cfRule>
    <cfRule type="cellIs" dxfId="520" priority="488" operator="equal">
      <formula>"sehr hoch"</formula>
    </cfRule>
    <cfRule type="cellIs" dxfId="519" priority="489" operator="equal">
      <formula>"hoch"</formula>
    </cfRule>
    <cfRule type="cellIs" dxfId="518" priority="490" operator="equal">
      <formula>"mittel"</formula>
    </cfRule>
    <cfRule type="cellIs" dxfId="517" priority="491" operator="equal">
      <formula>"gering"</formula>
    </cfRule>
    <cfRule type="cellIs" dxfId="516" priority="492" operator="equal">
      <formula>"sehr gering"</formula>
    </cfRule>
  </conditionalFormatting>
  <conditionalFormatting sqref="I96:I97">
    <cfRule type="cellIs" dxfId="515" priority="480" operator="equal">
      <formula>"führt zum Abbruch"</formula>
    </cfRule>
    <cfRule type="cellIs" dxfId="514" priority="481" operator="equal">
      <formula>"sehr hoch"</formula>
    </cfRule>
    <cfRule type="cellIs" dxfId="513" priority="482" operator="equal">
      <formula>"hoch"</formula>
    </cfRule>
    <cfRule type="cellIs" dxfId="512" priority="483" operator="equal">
      <formula>"mittel"</formula>
    </cfRule>
    <cfRule type="cellIs" dxfId="511" priority="484" operator="equal">
      <formula>"gering"</formula>
    </cfRule>
    <cfRule type="cellIs" dxfId="510" priority="485" operator="equal">
      <formula>"sehr gering"</formula>
    </cfRule>
  </conditionalFormatting>
  <conditionalFormatting sqref="I93:I95">
    <cfRule type="cellIs" dxfId="509" priority="473" operator="equal">
      <formula>"führt zum Abbruch"</formula>
    </cfRule>
    <cfRule type="cellIs" dxfId="508" priority="474" operator="equal">
      <formula>"sehr hoch"</formula>
    </cfRule>
    <cfRule type="cellIs" dxfId="507" priority="475" operator="equal">
      <formula>"hoch"</formula>
    </cfRule>
    <cfRule type="cellIs" dxfId="506" priority="476" operator="equal">
      <formula>"mittel"</formula>
    </cfRule>
    <cfRule type="cellIs" dxfId="505" priority="477" operator="equal">
      <formula>"gering"</formula>
    </cfRule>
    <cfRule type="cellIs" dxfId="504" priority="478" operator="equal">
      <formula>"sehr gering"</formula>
    </cfRule>
  </conditionalFormatting>
  <conditionalFormatting sqref="I102:I103">
    <cfRule type="cellIs" dxfId="503" priority="466" operator="equal">
      <formula>"führt zum Abbruch"</formula>
    </cfRule>
    <cfRule type="cellIs" dxfId="502" priority="467" operator="equal">
      <formula>"sehr hoch"</formula>
    </cfRule>
    <cfRule type="cellIs" dxfId="501" priority="468" operator="equal">
      <formula>"hoch"</formula>
    </cfRule>
    <cfRule type="cellIs" dxfId="500" priority="469" operator="equal">
      <formula>"mittel"</formula>
    </cfRule>
    <cfRule type="cellIs" dxfId="499" priority="470" operator="equal">
      <formula>"gering"</formula>
    </cfRule>
    <cfRule type="cellIs" dxfId="498" priority="471" operator="equal">
      <formula>"sehr gering"</formula>
    </cfRule>
  </conditionalFormatting>
  <conditionalFormatting sqref="I99:I101">
    <cfRule type="cellIs" dxfId="497" priority="459" operator="equal">
      <formula>"führt zum Abbruch"</formula>
    </cfRule>
    <cfRule type="cellIs" dxfId="496" priority="460" operator="equal">
      <formula>"sehr hoch"</formula>
    </cfRule>
    <cfRule type="cellIs" dxfId="495" priority="461" operator="equal">
      <formula>"hoch"</formula>
    </cfRule>
    <cfRule type="cellIs" dxfId="494" priority="462" operator="equal">
      <formula>"mittel"</formula>
    </cfRule>
    <cfRule type="cellIs" dxfId="493" priority="463" operator="equal">
      <formula>"gering"</formula>
    </cfRule>
    <cfRule type="cellIs" dxfId="492" priority="464" operator="equal">
      <formula>"sehr gering"</formula>
    </cfRule>
  </conditionalFormatting>
  <conditionalFormatting sqref="I108:I109">
    <cfRule type="cellIs" dxfId="491" priority="452" operator="equal">
      <formula>"führt zum Abbruch"</formula>
    </cfRule>
    <cfRule type="cellIs" dxfId="490" priority="453" operator="equal">
      <formula>"sehr hoch"</formula>
    </cfRule>
    <cfRule type="cellIs" dxfId="489" priority="454" operator="equal">
      <formula>"hoch"</formula>
    </cfRule>
    <cfRule type="cellIs" dxfId="488" priority="455" operator="equal">
      <formula>"mittel"</formula>
    </cfRule>
    <cfRule type="cellIs" dxfId="487" priority="456" operator="equal">
      <formula>"gering"</formula>
    </cfRule>
    <cfRule type="cellIs" dxfId="486" priority="457" operator="equal">
      <formula>"sehr gering"</formula>
    </cfRule>
  </conditionalFormatting>
  <conditionalFormatting sqref="I105:I107">
    <cfRule type="cellIs" dxfId="485" priority="445" operator="equal">
      <formula>"führt zum Abbruch"</formula>
    </cfRule>
    <cfRule type="cellIs" dxfId="484" priority="446" operator="equal">
      <formula>"sehr hoch"</formula>
    </cfRule>
    <cfRule type="cellIs" dxfId="483" priority="447" operator="equal">
      <formula>"hoch"</formula>
    </cfRule>
    <cfRule type="cellIs" dxfId="482" priority="448" operator="equal">
      <formula>"mittel"</formula>
    </cfRule>
    <cfRule type="cellIs" dxfId="481" priority="449" operator="equal">
      <formula>"gering"</formula>
    </cfRule>
    <cfRule type="cellIs" dxfId="480" priority="450" operator="equal">
      <formula>"sehr gering"</formula>
    </cfRule>
  </conditionalFormatting>
  <conditionalFormatting sqref="I114:I115">
    <cfRule type="cellIs" dxfId="479" priority="438" operator="equal">
      <formula>"führt zum Abbruch"</formula>
    </cfRule>
    <cfRule type="cellIs" dxfId="478" priority="439" operator="equal">
      <formula>"sehr hoch"</formula>
    </cfRule>
    <cfRule type="cellIs" dxfId="477" priority="440" operator="equal">
      <formula>"hoch"</formula>
    </cfRule>
    <cfRule type="cellIs" dxfId="476" priority="441" operator="equal">
      <formula>"mittel"</formula>
    </cfRule>
    <cfRule type="cellIs" dxfId="475" priority="442" operator="equal">
      <formula>"gering"</formula>
    </cfRule>
    <cfRule type="cellIs" dxfId="474" priority="443" operator="equal">
      <formula>"sehr gering"</formula>
    </cfRule>
  </conditionalFormatting>
  <conditionalFormatting sqref="I111:I113">
    <cfRule type="cellIs" dxfId="473" priority="431" operator="equal">
      <formula>"führt zum Abbruch"</formula>
    </cfRule>
    <cfRule type="cellIs" dxfId="472" priority="432" operator="equal">
      <formula>"sehr hoch"</formula>
    </cfRule>
    <cfRule type="cellIs" dxfId="471" priority="433" operator="equal">
      <formula>"hoch"</formula>
    </cfRule>
    <cfRule type="cellIs" dxfId="470" priority="434" operator="equal">
      <formula>"mittel"</formula>
    </cfRule>
    <cfRule type="cellIs" dxfId="469" priority="435" operator="equal">
      <formula>"gering"</formula>
    </cfRule>
    <cfRule type="cellIs" dxfId="468" priority="436" operator="equal">
      <formula>"sehr gering"</formula>
    </cfRule>
  </conditionalFormatting>
  <conditionalFormatting sqref="I120:I121">
    <cfRule type="cellIs" dxfId="467" priority="424" operator="equal">
      <formula>"führt zum Abbruch"</formula>
    </cfRule>
    <cfRule type="cellIs" dxfId="466" priority="425" operator="equal">
      <formula>"sehr hoch"</formula>
    </cfRule>
    <cfRule type="cellIs" dxfId="465" priority="426" operator="equal">
      <formula>"hoch"</formula>
    </cfRule>
    <cfRule type="cellIs" dxfId="464" priority="427" operator="equal">
      <formula>"mittel"</formula>
    </cfRule>
    <cfRule type="cellIs" dxfId="463" priority="428" operator="equal">
      <formula>"gering"</formula>
    </cfRule>
    <cfRule type="cellIs" dxfId="462" priority="429" operator="equal">
      <formula>"sehr gering"</formula>
    </cfRule>
  </conditionalFormatting>
  <conditionalFormatting sqref="I117:I119">
    <cfRule type="cellIs" dxfId="461" priority="417" operator="equal">
      <formula>"führt zum Abbruch"</formula>
    </cfRule>
    <cfRule type="cellIs" dxfId="460" priority="418" operator="equal">
      <formula>"sehr hoch"</formula>
    </cfRule>
    <cfRule type="cellIs" dxfId="459" priority="419" operator="equal">
      <formula>"hoch"</formula>
    </cfRule>
    <cfRule type="cellIs" dxfId="458" priority="420" operator="equal">
      <formula>"mittel"</formula>
    </cfRule>
    <cfRule type="cellIs" dxfId="457" priority="421" operator="equal">
      <formula>"gering"</formula>
    </cfRule>
    <cfRule type="cellIs" dxfId="456" priority="422" operator="equal">
      <formula>"sehr gering"</formula>
    </cfRule>
  </conditionalFormatting>
  <conditionalFormatting sqref="G42:G43">
    <cfRule type="cellIs" dxfId="455" priority="410" operator="equal">
      <formula>"führt zum Abbruch"</formula>
    </cfRule>
    <cfRule type="cellIs" dxfId="454" priority="411" operator="equal">
      <formula>"sehr hoch"</formula>
    </cfRule>
    <cfRule type="cellIs" dxfId="453" priority="412" operator="equal">
      <formula>"hoch"</formula>
    </cfRule>
    <cfRule type="cellIs" dxfId="452" priority="413" operator="equal">
      <formula>"mittel"</formula>
    </cfRule>
    <cfRule type="cellIs" dxfId="451" priority="414" operator="equal">
      <formula>"gering"</formula>
    </cfRule>
    <cfRule type="cellIs" dxfId="450" priority="415" operator="equal">
      <formula>"sehr gering"</formula>
    </cfRule>
  </conditionalFormatting>
  <conditionalFormatting sqref="G39:G41">
    <cfRule type="cellIs" dxfId="449" priority="403" operator="equal">
      <formula>"führt zum Abbruch"</formula>
    </cfRule>
    <cfRule type="cellIs" dxfId="448" priority="404" operator="equal">
      <formula>"sehr hoch"</formula>
    </cfRule>
    <cfRule type="cellIs" dxfId="447" priority="405" operator="equal">
      <formula>"hoch"</formula>
    </cfRule>
    <cfRule type="cellIs" dxfId="446" priority="406" operator="equal">
      <formula>"mittel"</formula>
    </cfRule>
    <cfRule type="cellIs" dxfId="445" priority="407" operator="equal">
      <formula>"gering"</formula>
    </cfRule>
    <cfRule type="cellIs" dxfId="444" priority="408" operator="equal">
      <formula>"sehr gering"</formula>
    </cfRule>
  </conditionalFormatting>
  <conditionalFormatting sqref="G66:G67">
    <cfRule type="cellIs" dxfId="443" priority="396" operator="equal">
      <formula>"führt zum Abbruch"</formula>
    </cfRule>
    <cfRule type="cellIs" dxfId="442" priority="397" operator="equal">
      <formula>"sehr hoch"</formula>
    </cfRule>
    <cfRule type="cellIs" dxfId="441" priority="398" operator="equal">
      <formula>"hoch"</formula>
    </cfRule>
    <cfRule type="cellIs" dxfId="440" priority="399" operator="equal">
      <formula>"mittel"</formula>
    </cfRule>
    <cfRule type="cellIs" dxfId="439" priority="400" operator="equal">
      <formula>"gering"</formula>
    </cfRule>
    <cfRule type="cellIs" dxfId="438" priority="401" operator="equal">
      <formula>"sehr gering"</formula>
    </cfRule>
  </conditionalFormatting>
  <conditionalFormatting sqref="G63:G65">
    <cfRule type="cellIs" dxfId="437" priority="389" operator="equal">
      <formula>"führt zum Abbruch"</formula>
    </cfRule>
    <cfRule type="cellIs" dxfId="436" priority="390" operator="equal">
      <formula>"sehr hoch"</formula>
    </cfRule>
    <cfRule type="cellIs" dxfId="435" priority="391" operator="equal">
      <formula>"hoch"</formula>
    </cfRule>
    <cfRule type="cellIs" dxfId="434" priority="392" operator="equal">
      <formula>"mittel"</formula>
    </cfRule>
    <cfRule type="cellIs" dxfId="433" priority="393" operator="equal">
      <formula>"gering"</formula>
    </cfRule>
    <cfRule type="cellIs" dxfId="432" priority="394" operator="equal">
      <formula>"sehr gering"</formula>
    </cfRule>
  </conditionalFormatting>
  <conditionalFormatting sqref="G72:G73">
    <cfRule type="cellIs" dxfId="431" priority="382" operator="equal">
      <formula>"führt zum Abbruch"</formula>
    </cfRule>
    <cfRule type="cellIs" dxfId="430" priority="383" operator="equal">
      <formula>"sehr hoch"</formula>
    </cfRule>
    <cfRule type="cellIs" dxfId="429" priority="384" operator="equal">
      <formula>"hoch"</formula>
    </cfRule>
    <cfRule type="cellIs" dxfId="428" priority="385" operator="equal">
      <formula>"mittel"</formula>
    </cfRule>
    <cfRule type="cellIs" dxfId="427" priority="386" operator="equal">
      <formula>"gering"</formula>
    </cfRule>
    <cfRule type="cellIs" dxfId="426" priority="387" operator="equal">
      <formula>"sehr gering"</formula>
    </cfRule>
  </conditionalFormatting>
  <conditionalFormatting sqref="G69:G71">
    <cfRule type="cellIs" dxfId="425" priority="375" operator="equal">
      <formula>"führt zum Abbruch"</formula>
    </cfRule>
    <cfRule type="cellIs" dxfId="424" priority="376" operator="equal">
      <formula>"sehr hoch"</formula>
    </cfRule>
    <cfRule type="cellIs" dxfId="423" priority="377" operator="equal">
      <formula>"hoch"</formula>
    </cfRule>
    <cfRule type="cellIs" dxfId="422" priority="378" operator="equal">
      <formula>"mittel"</formula>
    </cfRule>
    <cfRule type="cellIs" dxfId="421" priority="379" operator="equal">
      <formula>"gering"</formula>
    </cfRule>
    <cfRule type="cellIs" dxfId="420" priority="380" operator="equal">
      <formula>"sehr gering"</formula>
    </cfRule>
  </conditionalFormatting>
  <conditionalFormatting sqref="G78:G79">
    <cfRule type="cellIs" dxfId="419" priority="368" operator="equal">
      <formula>"führt zum Abbruch"</formula>
    </cfRule>
    <cfRule type="cellIs" dxfId="418" priority="369" operator="equal">
      <formula>"sehr hoch"</formula>
    </cfRule>
    <cfRule type="cellIs" dxfId="417" priority="370" operator="equal">
      <formula>"hoch"</formula>
    </cfRule>
    <cfRule type="cellIs" dxfId="416" priority="371" operator="equal">
      <formula>"mittel"</formula>
    </cfRule>
    <cfRule type="cellIs" dxfId="415" priority="372" operator="equal">
      <formula>"gering"</formula>
    </cfRule>
    <cfRule type="cellIs" dxfId="414" priority="373" operator="equal">
      <formula>"sehr gering"</formula>
    </cfRule>
  </conditionalFormatting>
  <conditionalFormatting sqref="G75:G77">
    <cfRule type="cellIs" dxfId="413" priority="361" operator="equal">
      <formula>"führt zum Abbruch"</formula>
    </cfRule>
    <cfRule type="cellIs" dxfId="412" priority="362" operator="equal">
      <formula>"sehr hoch"</formula>
    </cfRule>
    <cfRule type="cellIs" dxfId="411" priority="363" operator="equal">
      <formula>"hoch"</formula>
    </cfRule>
    <cfRule type="cellIs" dxfId="410" priority="364" operator="equal">
      <formula>"mittel"</formula>
    </cfRule>
    <cfRule type="cellIs" dxfId="409" priority="365" operator="equal">
      <formula>"gering"</formula>
    </cfRule>
    <cfRule type="cellIs" dxfId="408" priority="366" operator="equal">
      <formula>"sehr gering"</formula>
    </cfRule>
  </conditionalFormatting>
  <conditionalFormatting sqref="G84:G85">
    <cfRule type="cellIs" dxfId="407" priority="354" operator="equal">
      <formula>"führt zum Abbruch"</formula>
    </cfRule>
    <cfRule type="cellIs" dxfId="406" priority="355" operator="equal">
      <formula>"sehr hoch"</formula>
    </cfRule>
    <cfRule type="cellIs" dxfId="405" priority="356" operator="equal">
      <formula>"hoch"</formula>
    </cfRule>
    <cfRule type="cellIs" dxfId="404" priority="357" operator="equal">
      <formula>"mittel"</formula>
    </cfRule>
    <cfRule type="cellIs" dxfId="403" priority="358" operator="equal">
      <formula>"gering"</formula>
    </cfRule>
    <cfRule type="cellIs" dxfId="402" priority="359" operator="equal">
      <formula>"sehr gering"</formula>
    </cfRule>
  </conditionalFormatting>
  <conditionalFormatting sqref="G81:G83">
    <cfRule type="cellIs" dxfId="401" priority="347" operator="equal">
      <formula>"führt zum Abbruch"</formula>
    </cfRule>
    <cfRule type="cellIs" dxfId="400" priority="348" operator="equal">
      <formula>"sehr hoch"</formula>
    </cfRule>
    <cfRule type="cellIs" dxfId="399" priority="349" operator="equal">
      <formula>"hoch"</formula>
    </cfRule>
    <cfRule type="cellIs" dxfId="398" priority="350" operator="equal">
      <formula>"mittel"</formula>
    </cfRule>
    <cfRule type="cellIs" dxfId="397" priority="351" operator="equal">
      <formula>"gering"</formula>
    </cfRule>
    <cfRule type="cellIs" dxfId="396" priority="352" operator="equal">
      <formula>"sehr gering"</formula>
    </cfRule>
  </conditionalFormatting>
  <conditionalFormatting sqref="G90:G91">
    <cfRule type="cellIs" dxfId="395" priority="340" operator="equal">
      <formula>"führt zum Abbruch"</formula>
    </cfRule>
    <cfRule type="cellIs" dxfId="394" priority="341" operator="equal">
      <formula>"sehr hoch"</formula>
    </cfRule>
    <cfRule type="cellIs" dxfId="393" priority="342" operator="equal">
      <formula>"hoch"</formula>
    </cfRule>
    <cfRule type="cellIs" dxfId="392" priority="343" operator="equal">
      <formula>"mittel"</formula>
    </cfRule>
    <cfRule type="cellIs" dxfId="391" priority="344" operator="equal">
      <formula>"gering"</formula>
    </cfRule>
    <cfRule type="cellIs" dxfId="390" priority="345" operator="equal">
      <formula>"sehr gering"</formula>
    </cfRule>
  </conditionalFormatting>
  <conditionalFormatting sqref="G87:G89">
    <cfRule type="cellIs" dxfId="389" priority="333" operator="equal">
      <formula>"führt zum Abbruch"</formula>
    </cfRule>
    <cfRule type="cellIs" dxfId="388" priority="334" operator="equal">
      <formula>"sehr hoch"</formula>
    </cfRule>
    <cfRule type="cellIs" dxfId="387" priority="335" operator="equal">
      <formula>"hoch"</formula>
    </cfRule>
    <cfRule type="cellIs" dxfId="386" priority="336" operator="equal">
      <formula>"mittel"</formula>
    </cfRule>
    <cfRule type="cellIs" dxfId="385" priority="337" operator="equal">
      <formula>"gering"</formula>
    </cfRule>
    <cfRule type="cellIs" dxfId="384" priority="338" operator="equal">
      <formula>"sehr gering"</formula>
    </cfRule>
  </conditionalFormatting>
  <conditionalFormatting sqref="G96:G97">
    <cfRule type="cellIs" dxfId="383" priority="326" operator="equal">
      <formula>"führt zum Abbruch"</formula>
    </cfRule>
    <cfRule type="cellIs" dxfId="382" priority="327" operator="equal">
      <formula>"sehr hoch"</formula>
    </cfRule>
    <cfRule type="cellIs" dxfId="381" priority="328" operator="equal">
      <formula>"hoch"</formula>
    </cfRule>
    <cfRule type="cellIs" dxfId="380" priority="329" operator="equal">
      <formula>"mittel"</formula>
    </cfRule>
    <cfRule type="cellIs" dxfId="379" priority="330" operator="equal">
      <formula>"gering"</formula>
    </cfRule>
    <cfRule type="cellIs" dxfId="378" priority="331" operator="equal">
      <formula>"sehr gering"</formula>
    </cfRule>
  </conditionalFormatting>
  <conditionalFormatting sqref="G93:G95">
    <cfRule type="cellIs" dxfId="377" priority="319" operator="equal">
      <formula>"führt zum Abbruch"</formula>
    </cfRule>
    <cfRule type="cellIs" dxfId="376" priority="320" operator="equal">
      <formula>"sehr hoch"</formula>
    </cfRule>
    <cfRule type="cellIs" dxfId="375" priority="321" operator="equal">
      <formula>"hoch"</formula>
    </cfRule>
    <cfRule type="cellIs" dxfId="374" priority="322" operator="equal">
      <formula>"mittel"</formula>
    </cfRule>
    <cfRule type="cellIs" dxfId="373" priority="323" operator="equal">
      <formula>"gering"</formula>
    </cfRule>
    <cfRule type="cellIs" dxfId="372" priority="324" operator="equal">
      <formula>"sehr gering"</formula>
    </cfRule>
  </conditionalFormatting>
  <conditionalFormatting sqref="G102:G103">
    <cfRule type="cellIs" dxfId="371" priority="312" operator="equal">
      <formula>"führt zum Abbruch"</formula>
    </cfRule>
    <cfRule type="cellIs" dxfId="370" priority="313" operator="equal">
      <formula>"sehr hoch"</formula>
    </cfRule>
    <cfRule type="cellIs" dxfId="369" priority="314" operator="equal">
      <formula>"hoch"</formula>
    </cfRule>
    <cfRule type="cellIs" dxfId="368" priority="315" operator="equal">
      <formula>"mittel"</formula>
    </cfRule>
    <cfRule type="cellIs" dxfId="367" priority="316" operator="equal">
      <formula>"gering"</formula>
    </cfRule>
    <cfRule type="cellIs" dxfId="366" priority="317" operator="equal">
      <formula>"sehr gering"</formula>
    </cfRule>
  </conditionalFormatting>
  <conditionalFormatting sqref="G99:G101">
    <cfRule type="cellIs" dxfId="365" priority="305" operator="equal">
      <formula>"führt zum Abbruch"</formula>
    </cfRule>
    <cfRule type="cellIs" dxfId="364" priority="306" operator="equal">
      <formula>"sehr hoch"</formula>
    </cfRule>
    <cfRule type="cellIs" dxfId="363" priority="307" operator="equal">
      <formula>"hoch"</formula>
    </cfRule>
    <cfRule type="cellIs" dxfId="362" priority="308" operator="equal">
      <formula>"mittel"</formula>
    </cfRule>
    <cfRule type="cellIs" dxfId="361" priority="309" operator="equal">
      <formula>"gering"</formula>
    </cfRule>
    <cfRule type="cellIs" dxfId="360" priority="310" operator="equal">
      <formula>"sehr gering"</formula>
    </cfRule>
  </conditionalFormatting>
  <conditionalFormatting sqref="G108:G109">
    <cfRule type="cellIs" dxfId="359" priority="298" operator="equal">
      <formula>"führt zum Abbruch"</formula>
    </cfRule>
    <cfRule type="cellIs" dxfId="358" priority="299" operator="equal">
      <formula>"sehr hoch"</formula>
    </cfRule>
    <cfRule type="cellIs" dxfId="357" priority="300" operator="equal">
      <formula>"hoch"</formula>
    </cfRule>
    <cfRule type="cellIs" dxfId="356" priority="301" operator="equal">
      <formula>"mittel"</formula>
    </cfRule>
    <cfRule type="cellIs" dxfId="355" priority="302" operator="equal">
      <formula>"gering"</formula>
    </cfRule>
    <cfRule type="cellIs" dxfId="354" priority="303" operator="equal">
      <formula>"sehr gering"</formula>
    </cfRule>
  </conditionalFormatting>
  <conditionalFormatting sqref="G105:G107">
    <cfRule type="cellIs" dxfId="353" priority="291" operator="equal">
      <formula>"führt zum Abbruch"</formula>
    </cfRule>
    <cfRule type="cellIs" dxfId="352" priority="292" operator="equal">
      <formula>"sehr hoch"</formula>
    </cfRule>
    <cfRule type="cellIs" dxfId="351" priority="293" operator="equal">
      <formula>"hoch"</formula>
    </cfRule>
    <cfRule type="cellIs" dxfId="350" priority="294" operator="equal">
      <formula>"mittel"</formula>
    </cfRule>
    <cfRule type="cellIs" dxfId="349" priority="295" operator="equal">
      <formula>"gering"</formula>
    </cfRule>
    <cfRule type="cellIs" dxfId="348" priority="296" operator="equal">
      <formula>"sehr gering"</formula>
    </cfRule>
  </conditionalFormatting>
  <conditionalFormatting sqref="G114:G115">
    <cfRule type="cellIs" dxfId="347" priority="284" operator="equal">
      <formula>"führt zum Abbruch"</formula>
    </cfRule>
    <cfRule type="cellIs" dxfId="346" priority="285" operator="equal">
      <formula>"sehr hoch"</formula>
    </cfRule>
    <cfRule type="cellIs" dxfId="345" priority="286" operator="equal">
      <formula>"hoch"</formula>
    </cfRule>
    <cfRule type="cellIs" dxfId="344" priority="287" operator="equal">
      <formula>"mittel"</formula>
    </cfRule>
    <cfRule type="cellIs" dxfId="343" priority="288" operator="equal">
      <formula>"gering"</formula>
    </cfRule>
    <cfRule type="cellIs" dxfId="342" priority="289" operator="equal">
      <formula>"sehr gering"</formula>
    </cfRule>
  </conditionalFormatting>
  <conditionalFormatting sqref="G111:G113">
    <cfRule type="cellIs" dxfId="341" priority="277" operator="equal">
      <formula>"führt zum Abbruch"</formula>
    </cfRule>
    <cfRule type="cellIs" dxfId="340" priority="278" operator="equal">
      <formula>"sehr hoch"</formula>
    </cfRule>
    <cfRule type="cellIs" dxfId="339" priority="279" operator="equal">
      <formula>"hoch"</formula>
    </cfRule>
    <cfRule type="cellIs" dxfId="338" priority="280" operator="equal">
      <formula>"mittel"</formula>
    </cfRule>
    <cfRule type="cellIs" dxfId="337" priority="281" operator="equal">
      <formula>"gering"</formula>
    </cfRule>
    <cfRule type="cellIs" dxfId="336" priority="282" operator="equal">
      <formula>"sehr gering"</formula>
    </cfRule>
  </conditionalFormatting>
  <conditionalFormatting sqref="G120:G121">
    <cfRule type="cellIs" dxfId="335" priority="270" operator="equal">
      <formula>"führt zum Abbruch"</formula>
    </cfRule>
    <cfRule type="cellIs" dxfId="334" priority="271" operator="equal">
      <formula>"sehr hoch"</formula>
    </cfRule>
    <cfRule type="cellIs" dxfId="333" priority="272" operator="equal">
      <formula>"hoch"</formula>
    </cfRule>
    <cfRule type="cellIs" dxfId="332" priority="273" operator="equal">
      <formula>"mittel"</formula>
    </cfRule>
    <cfRule type="cellIs" dxfId="331" priority="274" operator="equal">
      <formula>"gering"</formula>
    </cfRule>
    <cfRule type="cellIs" dxfId="330" priority="275" operator="equal">
      <formula>"sehr gering"</formula>
    </cfRule>
  </conditionalFormatting>
  <conditionalFormatting sqref="G117:G119">
    <cfRule type="cellIs" dxfId="329" priority="263" operator="equal">
      <formula>"führt zum Abbruch"</formula>
    </cfRule>
    <cfRule type="cellIs" dxfId="328" priority="264" operator="equal">
      <formula>"sehr hoch"</formula>
    </cfRule>
    <cfRule type="cellIs" dxfId="327" priority="265" operator="equal">
      <formula>"hoch"</formula>
    </cfRule>
    <cfRule type="cellIs" dxfId="326" priority="266" operator="equal">
      <formula>"mittel"</formula>
    </cfRule>
    <cfRule type="cellIs" dxfId="325" priority="267" operator="equal">
      <formula>"gering"</formula>
    </cfRule>
    <cfRule type="cellIs" dxfId="324" priority="268" operator="equal">
      <formula>"sehr gering"</formula>
    </cfRule>
  </conditionalFormatting>
  <conditionalFormatting sqref="H48:H49">
    <cfRule type="cellIs" dxfId="323" priority="155" operator="equal">
      <formula>"sehr hoch"</formula>
    </cfRule>
    <cfRule type="cellIs" dxfId="322" priority="156" operator="equal">
      <formula>"hoch"</formula>
    </cfRule>
    <cfRule type="cellIs" dxfId="321" priority="157" operator="equal">
      <formula>"mittel"</formula>
    </cfRule>
    <cfRule type="cellIs" dxfId="320" priority="158" operator="equal">
      <formula>"gering"</formula>
    </cfRule>
    <cfRule type="cellIs" dxfId="319" priority="159" operator="equal">
      <formula>"sehr gering"</formula>
    </cfRule>
    <cfRule type="cellIs" dxfId="318" priority="160" operator="equal">
      <formula>"trifft nicht ein"</formula>
    </cfRule>
  </conditionalFormatting>
  <conditionalFormatting sqref="I48:I49">
    <cfRule type="cellIs" dxfId="317" priority="149" operator="equal">
      <formula>"führt zum Abbruch"</formula>
    </cfRule>
    <cfRule type="cellIs" dxfId="316" priority="150" operator="equal">
      <formula>"sehr hoch"</formula>
    </cfRule>
    <cfRule type="cellIs" dxfId="315" priority="151" operator="equal">
      <formula>"hoch"</formula>
    </cfRule>
    <cfRule type="cellIs" dxfId="314" priority="152" operator="equal">
      <formula>"mittel"</formula>
    </cfRule>
    <cfRule type="cellIs" dxfId="313" priority="153" operator="equal">
      <formula>"gering"</formula>
    </cfRule>
    <cfRule type="cellIs" dxfId="312" priority="154" operator="equal">
      <formula>"sehr gering"</formula>
    </cfRule>
  </conditionalFormatting>
  <conditionalFormatting sqref="G48:G49">
    <cfRule type="cellIs" dxfId="311" priority="142" operator="equal">
      <formula>"führt zum Abbruch"</formula>
    </cfRule>
    <cfRule type="cellIs" dxfId="310" priority="143" operator="equal">
      <formula>"sehr hoch"</formula>
    </cfRule>
    <cfRule type="cellIs" dxfId="309" priority="144" operator="equal">
      <formula>"hoch"</formula>
    </cfRule>
    <cfRule type="cellIs" dxfId="308" priority="145" operator="equal">
      <formula>"mittel"</formula>
    </cfRule>
    <cfRule type="cellIs" dxfId="307" priority="146" operator="equal">
      <formula>"gering"</formula>
    </cfRule>
    <cfRule type="cellIs" dxfId="306" priority="147" operator="equal">
      <formula>"sehr gering"</formula>
    </cfRule>
  </conditionalFormatting>
  <conditionalFormatting sqref="H45:H47">
    <cfRule type="cellIs" dxfId="305" priority="135" operator="equal">
      <formula>"sehr hoch"</formula>
    </cfRule>
    <cfRule type="cellIs" dxfId="304" priority="136" operator="equal">
      <formula>"hoch"</formula>
    </cfRule>
    <cfRule type="cellIs" dxfId="303" priority="137" operator="equal">
      <formula>"mittel"</formula>
    </cfRule>
    <cfRule type="cellIs" dxfId="302" priority="138" operator="equal">
      <formula>"gering"</formula>
    </cfRule>
    <cfRule type="cellIs" dxfId="301" priority="139" operator="equal">
      <formula>"sehr gering"</formula>
    </cfRule>
    <cfRule type="cellIs" dxfId="300" priority="140" operator="equal">
      <formula>"trifft nicht ein"</formula>
    </cfRule>
  </conditionalFormatting>
  <conditionalFormatting sqref="I45:I47">
    <cfRule type="cellIs" dxfId="299" priority="129" operator="equal">
      <formula>"führt zum Abbruch"</formula>
    </cfRule>
    <cfRule type="cellIs" dxfId="298" priority="130" operator="equal">
      <formula>"sehr hoch"</formula>
    </cfRule>
    <cfRule type="cellIs" dxfId="297" priority="131" operator="equal">
      <formula>"hoch"</formula>
    </cfRule>
    <cfRule type="cellIs" dxfId="296" priority="132" operator="equal">
      <formula>"mittel"</formula>
    </cfRule>
    <cfRule type="cellIs" dxfId="295" priority="133" operator="equal">
      <formula>"gering"</formula>
    </cfRule>
    <cfRule type="cellIs" dxfId="294" priority="134" operator="equal">
      <formula>"sehr gering"</formula>
    </cfRule>
  </conditionalFormatting>
  <conditionalFormatting sqref="G45:G47">
    <cfRule type="cellIs" dxfId="293" priority="122" operator="equal">
      <formula>"führt zum Abbruch"</formula>
    </cfRule>
    <cfRule type="cellIs" dxfId="292" priority="123" operator="equal">
      <formula>"sehr hoch"</formula>
    </cfRule>
    <cfRule type="cellIs" dxfId="291" priority="124" operator="equal">
      <formula>"hoch"</formula>
    </cfRule>
    <cfRule type="cellIs" dxfId="290" priority="125" operator="equal">
      <formula>"mittel"</formula>
    </cfRule>
    <cfRule type="cellIs" dxfId="289" priority="126" operator="equal">
      <formula>"gering"</formula>
    </cfRule>
    <cfRule type="cellIs" dxfId="288" priority="127" operator="equal">
      <formula>"sehr gering"</formula>
    </cfRule>
  </conditionalFormatting>
  <conditionalFormatting sqref="H54:H55">
    <cfRule type="cellIs" dxfId="287" priority="115" operator="equal">
      <formula>"sehr hoch"</formula>
    </cfRule>
    <cfRule type="cellIs" dxfId="286" priority="116" operator="equal">
      <formula>"hoch"</formula>
    </cfRule>
    <cfRule type="cellIs" dxfId="285" priority="117" operator="equal">
      <formula>"mittel"</formula>
    </cfRule>
    <cfRule type="cellIs" dxfId="284" priority="118" operator="equal">
      <formula>"gering"</formula>
    </cfRule>
    <cfRule type="cellIs" dxfId="283" priority="119" operator="equal">
      <formula>"sehr gering"</formula>
    </cfRule>
    <cfRule type="cellIs" dxfId="282" priority="120" operator="equal">
      <formula>"trifft nicht ein"</formula>
    </cfRule>
  </conditionalFormatting>
  <conditionalFormatting sqref="I54:I55">
    <cfRule type="cellIs" dxfId="281" priority="109" operator="equal">
      <formula>"führt zum Abbruch"</formula>
    </cfRule>
    <cfRule type="cellIs" dxfId="280" priority="110" operator="equal">
      <formula>"sehr hoch"</formula>
    </cfRule>
    <cfRule type="cellIs" dxfId="279" priority="111" operator="equal">
      <formula>"hoch"</formula>
    </cfRule>
    <cfRule type="cellIs" dxfId="278" priority="112" operator="equal">
      <formula>"mittel"</formula>
    </cfRule>
    <cfRule type="cellIs" dxfId="277" priority="113" operator="equal">
      <formula>"gering"</formula>
    </cfRule>
    <cfRule type="cellIs" dxfId="276" priority="114" operator="equal">
      <formula>"sehr gering"</formula>
    </cfRule>
  </conditionalFormatting>
  <conditionalFormatting sqref="G54:G55">
    <cfRule type="cellIs" dxfId="275" priority="102" operator="equal">
      <formula>"führt zum Abbruch"</formula>
    </cfRule>
    <cfRule type="cellIs" dxfId="274" priority="103" operator="equal">
      <formula>"sehr hoch"</formula>
    </cfRule>
    <cfRule type="cellIs" dxfId="273" priority="104" operator="equal">
      <formula>"hoch"</formula>
    </cfRule>
    <cfRule type="cellIs" dxfId="272" priority="105" operator="equal">
      <formula>"mittel"</formula>
    </cfRule>
    <cfRule type="cellIs" dxfId="271" priority="106" operator="equal">
      <formula>"gering"</formula>
    </cfRule>
    <cfRule type="cellIs" dxfId="270" priority="107" operator="equal">
      <formula>"sehr gering"</formula>
    </cfRule>
  </conditionalFormatting>
  <conditionalFormatting sqref="H51:H53">
    <cfRule type="cellIs" dxfId="269" priority="95" operator="equal">
      <formula>"sehr hoch"</formula>
    </cfRule>
    <cfRule type="cellIs" dxfId="268" priority="96" operator="equal">
      <formula>"hoch"</formula>
    </cfRule>
    <cfRule type="cellIs" dxfId="267" priority="97" operator="equal">
      <formula>"mittel"</formula>
    </cfRule>
    <cfRule type="cellIs" dxfId="266" priority="98" operator="equal">
      <formula>"gering"</formula>
    </cfRule>
    <cfRule type="cellIs" dxfId="265" priority="99" operator="equal">
      <formula>"sehr gering"</formula>
    </cfRule>
    <cfRule type="cellIs" dxfId="264" priority="100" operator="equal">
      <formula>"trifft nicht ein"</formula>
    </cfRule>
  </conditionalFormatting>
  <conditionalFormatting sqref="I51:I53">
    <cfRule type="cellIs" dxfId="263" priority="89" operator="equal">
      <formula>"führt zum Abbruch"</formula>
    </cfRule>
    <cfRule type="cellIs" dxfId="262" priority="90" operator="equal">
      <formula>"sehr hoch"</formula>
    </cfRule>
    <cfRule type="cellIs" dxfId="261" priority="91" operator="equal">
      <formula>"hoch"</formula>
    </cfRule>
    <cfRule type="cellIs" dxfId="260" priority="92" operator="equal">
      <formula>"mittel"</formula>
    </cfRule>
    <cfRule type="cellIs" dxfId="259" priority="93" operator="equal">
      <formula>"gering"</formula>
    </cfRule>
    <cfRule type="cellIs" dxfId="258" priority="94" operator="equal">
      <formula>"sehr gering"</formula>
    </cfRule>
  </conditionalFormatting>
  <conditionalFormatting sqref="G51:G53">
    <cfRule type="cellIs" dxfId="257" priority="82" operator="equal">
      <formula>"führt zum Abbruch"</formula>
    </cfRule>
    <cfRule type="cellIs" dxfId="256" priority="83" operator="equal">
      <formula>"sehr hoch"</formula>
    </cfRule>
    <cfRule type="cellIs" dxfId="255" priority="84" operator="equal">
      <formula>"hoch"</formula>
    </cfRule>
    <cfRule type="cellIs" dxfId="254" priority="85" operator="equal">
      <formula>"mittel"</formula>
    </cfRule>
    <cfRule type="cellIs" dxfId="253" priority="86" operator="equal">
      <formula>"gering"</formula>
    </cfRule>
    <cfRule type="cellIs" dxfId="252" priority="87" operator="equal">
      <formula>"sehr gering"</formula>
    </cfRule>
  </conditionalFormatting>
  <conditionalFormatting sqref="H60:H61">
    <cfRule type="cellIs" dxfId="251" priority="75" operator="equal">
      <formula>"sehr hoch"</formula>
    </cfRule>
    <cfRule type="cellIs" dxfId="250" priority="76" operator="equal">
      <formula>"hoch"</formula>
    </cfRule>
    <cfRule type="cellIs" dxfId="249" priority="77" operator="equal">
      <formula>"mittel"</formula>
    </cfRule>
    <cfRule type="cellIs" dxfId="248" priority="78" operator="equal">
      <formula>"gering"</formula>
    </cfRule>
    <cfRule type="cellIs" dxfId="247" priority="79" operator="equal">
      <formula>"sehr gering"</formula>
    </cfRule>
    <cfRule type="cellIs" dxfId="246" priority="80" operator="equal">
      <formula>"trifft nicht ein"</formula>
    </cfRule>
  </conditionalFormatting>
  <conditionalFormatting sqref="I60:I61">
    <cfRule type="cellIs" dxfId="245" priority="69" operator="equal">
      <formula>"führt zum Abbruch"</formula>
    </cfRule>
    <cfRule type="cellIs" dxfId="244" priority="70" operator="equal">
      <formula>"sehr hoch"</formula>
    </cfRule>
    <cfRule type="cellIs" dxfId="243" priority="71" operator="equal">
      <formula>"hoch"</formula>
    </cfRule>
    <cfRule type="cellIs" dxfId="242" priority="72" operator="equal">
      <formula>"mittel"</formula>
    </cfRule>
    <cfRule type="cellIs" dxfId="241" priority="73" operator="equal">
      <formula>"gering"</formula>
    </cfRule>
    <cfRule type="cellIs" dxfId="240" priority="74" operator="equal">
      <formula>"sehr gering"</formula>
    </cfRule>
  </conditionalFormatting>
  <conditionalFormatting sqref="G60:G61">
    <cfRule type="cellIs" dxfId="239" priority="62" operator="equal">
      <formula>"führt zum Abbruch"</formula>
    </cfRule>
    <cfRule type="cellIs" dxfId="238" priority="63" operator="equal">
      <formula>"sehr hoch"</formula>
    </cfRule>
    <cfRule type="cellIs" dxfId="237" priority="64" operator="equal">
      <formula>"hoch"</formula>
    </cfRule>
    <cfRule type="cellIs" dxfId="236" priority="65" operator="equal">
      <formula>"mittel"</formula>
    </cfRule>
    <cfRule type="cellIs" dxfId="235" priority="66" operator="equal">
      <formula>"gering"</formula>
    </cfRule>
    <cfRule type="cellIs" dxfId="234" priority="67" operator="equal">
      <formula>"sehr gering"</formula>
    </cfRule>
  </conditionalFormatting>
  <conditionalFormatting sqref="H57:H59">
    <cfRule type="cellIs" dxfId="233" priority="55" operator="equal">
      <formula>"sehr hoch"</formula>
    </cfRule>
    <cfRule type="cellIs" dxfId="232" priority="56" operator="equal">
      <formula>"hoch"</formula>
    </cfRule>
    <cfRule type="cellIs" dxfId="231" priority="57" operator="equal">
      <formula>"mittel"</formula>
    </cfRule>
    <cfRule type="cellIs" dxfId="230" priority="58" operator="equal">
      <formula>"gering"</formula>
    </cfRule>
    <cfRule type="cellIs" dxfId="229" priority="59" operator="equal">
      <formula>"sehr gering"</formula>
    </cfRule>
    <cfRule type="cellIs" dxfId="228" priority="60" operator="equal">
      <formula>"trifft nicht ein"</formula>
    </cfRule>
  </conditionalFormatting>
  <conditionalFormatting sqref="I57:I59">
    <cfRule type="cellIs" dxfId="227" priority="49" operator="equal">
      <formula>"führt zum Abbruch"</formula>
    </cfRule>
    <cfRule type="cellIs" dxfId="226" priority="50" operator="equal">
      <formula>"sehr hoch"</formula>
    </cfRule>
    <cfRule type="cellIs" dxfId="225" priority="51" operator="equal">
      <formula>"hoch"</formula>
    </cfRule>
    <cfRule type="cellIs" dxfId="224" priority="52" operator="equal">
      <formula>"mittel"</formula>
    </cfRule>
    <cfRule type="cellIs" dxfId="223" priority="53" operator="equal">
      <formula>"gering"</formula>
    </cfRule>
    <cfRule type="cellIs" dxfId="222" priority="54" operator="equal">
      <formula>"sehr gering"</formula>
    </cfRule>
  </conditionalFormatting>
  <conditionalFormatting sqref="G57:G59">
    <cfRule type="cellIs" dxfId="221" priority="42" operator="equal">
      <formula>"führt zum Abbruch"</formula>
    </cfRule>
    <cfRule type="cellIs" dxfId="220" priority="43" operator="equal">
      <formula>"sehr hoch"</formula>
    </cfRule>
    <cfRule type="cellIs" dxfId="219" priority="44" operator="equal">
      <formula>"hoch"</formula>
    </cfRule>
    <cfRule type="cellIs" dxfId="218" priority="45" operator="equal">
      <formula>"mittel"</formula>
    </cfRule>
    <cfRule type="cellIs" dxfId="217" priority="46" operator="equal">
      <formula>"gering"</formula>
    </cfRule>
    <cfRule type="cellIs" dxfId="216" priority="47" operator="equal">
      <formula>"sehr gering"</formula>
    </cfRule>
  </conditionalFormatting>
  <conditionalFormatting sqref="H36:H37">
    <cfRule type="cellIs" dxfId="215" priority="35" operator="equal">
      <formula>"sehr hoch"</formula>
    </cfRule>
    <cfRule type="cellIs" dxfId="214" priority="36" operator="equal">
      <formula>"hoch"</formula>
    </cfRule>
    <cfRule type="cellIs" dxfId="213" priority="37" operator="equal">
      <formula>"mittel"</formula>
    </cfRule>
    <cfRule type="cellIs" dxfId="212" priority="38" operator="equal">
      <formula>"gering"</formula>
    </cfRule>
    <cfRule type="cellIs" dxfId="211" priority="39" operator="equal">
      <formula>"sehr gering"</formula>
    </cfRule>
    <cfRule type="cellIs" dxfId="210" priority="40" operator="equal">
      <formula>"trifft nicht ein"</formula>
    </cfRule>
  </conditionalFormatting>
  <conditionalFormatting sqref="I36:I37">
    <cfRule type="cellIs" dxfId="209" priority="29" operator="equal">
      <formula>"führt zum Abbruch"</formula>
    </cfRule>
    <cfRule type="cellIs" dxfId="208" priority="30" operator="equal">
      <formula>"sehr hoch"</formula>
    </cfRule>
    <cfRule type="cellIs" dxfId="207" priority="31" operator="equal">
      <formula>"hoch"</formula>
    </cfRule>
    <cfRule type="cellIs" dxfId="206" priority="32" operator="equal">
      <formula>"mittel"</formula>
    </cfRule>
    <cfRule type="cellIs" dxfId="205" priority="33" operator="equal">
      <formula>"gering"</formula>
    </cfRule>
    <cfRule type="cellIs" dxfId="204" priority="34" operator="equal">
      <formula>"sehr gering"</formula>
    </cfRule>
  </conditionalFormatting>
  <conditionalFormatting sqref="G36:G37">
    <cfRule type="cellIs" dxfId="203" priority="22" operator="equal">
      <formula>"führt zum Abbruch"</formula>
    </cfRule>
    <cfRule type="cellIs" dxfId="202" priority="23" operator="equal">
      <formula>"sehr hoch"</formula>
    </cfRule>
    <cfRule type="cellIs" dxfId="201" priority="24" operator="equal">
      <formula>"hoch"</formula>
    </cfRule>
    <cfRule type="cellIs" dxfId="200" priority="25" operator="equal">
      <formula>"mittel"</formula>
    </cfRule>
    <cfRule type="cellIs" dxfId="199" priority="26" operator="equal">
      <formula>"gering"</formula>
    </cfRule>
    <cfRule type="cellIs" dxfId="198" priority="27" operator="equal">
      <formula>"sehr gering"</formula>
    </cfRule>
  </conditionalFormatting>
  <conditionalFormatting sqref="H33:H35">
    <cfRule type="cellIs" dxfId="197" priority="15" operator="equal">
      <formula>"sehr hoch"</formula>
    </cfRule>
    <cfRule type="cellIs" dxfId="196" priority="16" operator="equal">
      <formula>"hoch"</formula>
    </cfRule>
    <cfRule type="cellIs" dxfId="195" priority="17" operator="equal">
      <formula>"mittel"</formula>
    </cfRule>
    <cfRule type="cellIs" dxfId="194" priority="18" operator="equal">
      <formula>"gering"</formula>
    </cfRule>
    <cfRule type="cellIs" dxfId="193" priority="19" operator="equal">
      <formula>"sehr gering"</formula>
    </cfRule>
    <cfRule type="cellIs" dxfId="192" priority="20" operator="equal">
      <formula>"trifft nicht ein"</formula>
    </cfRule>
  </conditionalFormatting>
  <conditionalFormatting sqref="I33:I35">
    <cfRule type="cellIs" dxfId="191" priority="9" operator="equal">
      <formula>"führt zum Abbruch"</formula>
    </cfRule>
    <cfRule type="cellIs" dxfId="190" priority="10" operator="equal">
      <formula>"sehr hoch"</formula>
    </cfRule>
    <cfRule type="cellIs" dxfId="189" priority="11" operator="equal">
      <formula>"hoch"</formula>
    </cfRule>
    <cfRule type="cellIs" dxfId="188" priority="12" operator="equal">
      <formula>"mittel"</formula>
    </cfRule>
    <cfRule type="cellIs" dxfId="187" priority="13" operator="equal">
      <formula>"gering"</formula>
    </cfRule>
    <cfRule type="cellIs" dxfId="186" priority="14" operator="equal">
      <formula>"sehr gering"</formula>
    </cfRule>
  </conditionalFormatting>
  <conditionalFormatting sqref="G33:G35">
    <cfRule type="cellIs" dxfId="185" priority="2" operator="equal">
      <formula>"führt zum Abbruch"</formula>
    </cfRule>
    <cfRule type="cellIs" dxfId="184" priority="3" operator="equal">
      <formula>"sehr hoch"</formula>
    </cfRule>
    <cfRule type="cellIs" dxfId="183" priority="4" operator="equal">
      <formula>"hoch"</formula>
    </cfRule>
    <cfRule type="cellIs" dxfId="182" priority="5" operator="equal">
      <formula>"mittel"</formula>
    </cfRule>
    <cfRule type="cellIs" dxfId="181" priority="6" operator="equal">
      <formula>"gering"</formula>
    </cfRule>
    <cfRule type="cellIs" dxfId="180" priority="7" operator="equal">
      <formula>"sehr gering"</formula>
    </cfRule>
  </conditionalFormatting>
  <pageMargins left="0.70866141732283472" right="0.70866141732283472" top="0.78740157480314965" bottom="0.78740157480314965" header="0.31496062992125984" footer="0.31496062992125984"/>
  <pageSetup paperSize="8" scale="29" orientation="portrait" r:id="rId1"/>
  <headerFooter>
    <oddHeader>&amp;CSTEP-Analyse</oddHeader>
    <oddFooter xml:space="preserve">&amp;C22
</oddFooter>
  </headerFooter>
  <drawing r:id="rId2"/>
  <legacyDrawing r:id="rId3"/>
  <controls>
    <mc:AlternateContent xmlns:mc="http://schemas.openxmlformats.org/markup-compatibility/2006">
      <mc:Choice Requires="x14">
        <control shapeId="131073" r:id="rId4" name="ComboBox1">
          <controlPr defaultSize="0" autoLine="0" r:id="rId5">
            <anchor moveWithCells="1">
              <from>
                <xdr:col>3</xdr:col>
                <xdr:colOff>47625</xdr:colOff>
                <xdr:row>30</xdr:row>
                <xdr:rowOff>76200</xdr:rowOff>
              </from>
              <to>
                <xdr:col>4</xdr:col>
                <xdr:colOff>152400</xdr:colOff>
                <xdr:row>30</xdr:row>
                <xdr:rowOff>847725</xdr:rowOff>
              </to>
            </anchor>
          </controlPr>
        </control>
      </mc:Choice>
      <mc:Fallback>
        <control shapeId="131073" r:id="rId4" name="ComboBox1"/>
      </mc:Fallback>
    </mc:AlternateContent>
    <mc:AlternateContent xmlns:mc="http://schemas.openxmlformats.org/markup-compatibility/2006">
      <mc:Choice Requires="x14">
        <control shapeId="131074" r:id="rId6" name="Löschbutton">
          <controlPr defaultSize="0" autoLine="0" r:id="rId7">
            <anchor moveWithCells="1">
              <from>
                <xdr:col>0</xdr:col>
                <xdr:colOff>266700</xdr:colOff>
                <xdr:row>30</xdr:row>
                <xdr:rowOff>38100</xdr:rowOff>
              </from>
              <to>
                <xdr:col>1</xdr:col>
                <xdr:colOff>2819400</xdr:colOff>
                <xdr:row>30</xdr:row>
                <xdr:rowOff>847725</xdr:rowOff>
              </to>
            </anchor>
          </controlPr>
        </control>
      </mc:Choice>
      <mc:Fallback>
        <control shapeId="131074" r:id="rId6" name="Löschbutton"/>
      </mc:Fallback>
    </mc:AlternateContent>
    <mc:AlternateContent xmlns:mc="http://schemas.openxmlformats.org/markup-compatibility/2006">
      <mc:Choice Requires="x14">
        <control shapeId="131075" r:id="rId8" name="Portfolioview">
          <controlPr defaultSize="0" autoLine="0" r:id="rId9">
            <anchor moveWithCells="1">
              <from>
                <xdr:col>2</xdr:col>
                <xdr:colOff>28575</xdr:colOff>
                <xdr:row>30</xdr:row>
                <xdr:rowOff>47625</xdr:rowOff>
              </from>
              <to>
                <xdr:col>2</xdr:col>
                <xdr:colOff>3324225</xdr:colOff>
                <xdr:row>30</xdr:row>
                <xdr:rowOff>847725</xdr:rowOff>
              </to>
            </anchor>
          </controlPr>
        </control>
      </mc:Choice>
      <mc:Fallback>
        <control shapeId="131075" r:id="rId8" name="Portfolioview"/>
      </mc:Fallback>
    </mc:AlternateContent>
    <mc:AlternateContent xmlns:mc="http://schemas.openxmlformats.org/markup-compatibility/2006">
      <mc:Choice Requires="x14">
        <control shapeId="131076" r:id="rId10" name="Zeileneinfügen">
          <controlPr defaultSize="0" autoLine="0" r:id="rId11">
            <anchor moveWithCells="1">
              <from>
                <xdr:col>3</xdr:col>
                <xdr:colOff>19050</xdr:colOff>
                <xdr:row>30</xdr:row>
                <xdr:rowOff>47625</xdr:rowOff>
              </from>
              <to>
                <xdr:col>4</xdr:col>
                <xdr:colOff>0</xdr:colOff>
                <xdr:row>30</xdr:row>
                <xdr:rowOff>847725</xdr:rowOff>
              </to>
            </anchor>
          </controlPr>
        </control>
      </mc:Choice>
      <mc:Fallback>
        <control shapeId="131076" r:id="rId10" name="Zeileneinfügen"/>
      </mc:Fallback>
    </mc:AlternateContent>
    <mc:AlternateContent xmlns:mc="http://schemas.openxmlformats.org/markup-compatibility/2006">
      <mc:Choice Requires="x14">
        <control shapeId="131077" r:id="rId12" name="CommandButton1">
          <controlPr defaultSize="0" autoLine="0" r:id="rId13">
            <anchor moveWithCells="1">
              <from>
                <xdr:col>6</xdr:col>
                <xdr:colOff>38100</xdr:colOff>
                <xdr:row>125</xdr:row>
                <xdr:rowOff>38100</xdr:rowOff>
              </from>
              <to>
                <xdr:col>8</xdr:col>
                <xdr:colOff>533400</xdr:colOff>
                <xdr:row>128</xdr:row>
                <xdr:rowOff>104775</xdr:rowOff>
              </to>
            </anchor>
          </controlPr>
        </control>
      </mc:Choice>
      <mc:Fallback>
        <control shapeId="131077" r:id="rId12"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cellIs" priority="786" operator="between" id="{D9CB6B20-B852-42ED-BA88-D9C4E063D3A5}">
            <xm:f>'Modell-Kalibrierung'!$C$7+1%</xm:f>
            <xm:f>"0Kalibrierung!$E$8"</xm:f>
            <x14:dxf>
              <font>
                <color theme="0"/>
              </font>
              <fill>
                <patternFill>
                  <bgColor theme="5" tint="-0.499984740745262"/>
                </patternFill>
              </fill>
            </x14:dxf>
          </x14:cfRule>
          <x14:cfRule type="cellIs" priority="787" operator="between" id="{252193D5-9AD5-4D02-825A-A04C5464B22F}">
            <xm:f>'Modell-Kalibrierung'!$C$6+1%</xm:f>
            <xm:f>"0Kalibrierung!$E$7"</xm:f>
            <x14:dxf>
              <fill>
                <patternFill>
                  <bgColor theme="5" tint="-0.24994659260841701"/>
                </patternFill>
              </fill>
            </x14:dxf>
          </x14:cfRule>
          <x14:cfRule type="cellIs" priority="788" operator="between" id="{ED8E4C15-AAC3-478E-865D-EA90E54C47D7}">
            <xm:f>'Modell-Kalibrierung'!$C$5+1%</xm:f>
            <xm:f>"0Kalibrierung!$E$6"</xm:f>
            <x14:dxf>
              <fill>
                <patternFill>
                  <bgColor theme="5" tint="0.39994506668294322"/>
                </patternFill>
              </fill>
            </x14:dxf>
          </x14:cfRule>
          <x14:cfRule type="cellIs" priority="789" operator="between" id="{A76D1635-9919-484E-9197-9B8E5416D755}">
            <xm:f>'Modell-Kalibrierung'!$C$4+1%</xm:f>
            <xm:f>"0Kalibrierung!$E$5"</xm:f>
            <x14:dxf>
              <fill>
                <patternFill>
                  <bgColor theme="5" tint="0.59996337778862885"/>
                </patternFill>
              </fill>
            </x14:dxf>
          </x14:cfRule>
          <x14:cfRule type="cellIs" priority="790" operator="between" id="{1BB1E2D8-060B-4D24-B1E6-27330FDE4008}">
            <xm:f>'Modell-Kalibrierung'!$C$3+1%</xm:f>
            <xm:f>'Modell-Kalibrierung'!$C$4</xm:f>
            <x14:dxf>
              <fill>
                <patternFill>
                  <bgColor theme="5" tint="0.79998168889431442"/>
                </patternFill>
              </fill>
            </x14:dxf>
          </x14:cfRule>
          <x14:cfRule type="cellIs" priority="791" operator="equal" id="{73EF9FB4-B749-4B85-BD95-585450E06B62}">
            <xm:f>'Modell-Kalibrierung'!$C$3</xm:f>
            <x14:dxf>
              <fill>
                <patternFill>
                  <bgColor theme="0"/>
                </patternFill>
              </fill>
            </x14:dxf>
          </x14:cfRule>
          <xm:sqref>J33:J34 J36:J37</xm:sqref>
        </x14:conditionalFormatting>
        <x14:conditionalFormatting xmlns:xm="http://schemas.microsoft.com/office/excel/2006/main">
          <x14:cfRule type="cellIs" priority="780" operator="between" id="{9EFC4A20-B757-4935-852F-A7C5439A0B44}">
            <xm:f>'Modell-Kalibrierung'!$C$7+1%</xm:f>
            <xm:f>"0Kalibrierung!$E$8"</xm:f>
            <x14:dxf>
              <font>
                <color theme="0"/>
              </font>
              <fill>
                <patternFill>
                  <bgColor theme="5" tint="-0.499984740745262"/>
                </patternFill>
              </fill>
            </x14:dxf>
          </x14:cfRule>
          <x14:cfRule type="cellIs" priority="781" operator="between" id="{091E513B-A74D-4FF4-B583-3485E75C9F2D}">
            <xm:f>'Modell-Kalibrierung'!$C$6+1%</xm:f>
            <xm:f>"0Kalibrierung!$E$7"</xm:f>
            <x14:dxf>
              <fill>
                <patternFill>
                  <bgColor theme="5" tint="-0.24994659260841701"/>
                </patternFill>
              </fill>
            </x14:dxf>
          </x14:cfRule>
          <x14:cfRule type="cellIs" priority="782" operator="between" id="{C2B9B5B8-B528-46E6-950C-C1413A9F4EB2}">
            <xm:f>'Modell-Kalibrierung'!$C$5+1%</xm:f>
            <xm:f>"0Kalibrierung!$E$6"</xm:f>
            <x14:dxf>
              <fill>
                <patternFill>
                  <bgColor theme="5" tint="0.39994506668294322"/>
                </patternFill>
              </fill>
            </x14:dxf>
          </x14:cfRule>
          <x14:cfRule type="cellIs" priority="783" operator="between" id="{34C2B798-A83C-4CCE-823B-A73138B3DC8F}">
            <xm:f>'Modell-Kalibrierung'!$C$4+1%</xm:f>
            <xm:f>"0Kalibrierung!$E$5"</xm:f>
            <x14:dxf>
              <fill>
                <patternFill>
                  <bgColor theme="5" tint="0.59996337778862885"/>
                </patternFill>
              </fill>
            </x14:dxf>
          </x14:cfRule>
          <x14:cfRule type="cellIs" priority="784" operator="between" id="{CC32715A-20D2-417A-8BDA-48B7A8FEE8CB}">
            <xm:f>'Modell-Kalibrierung'!$C$3+1%</xm:f>
            <xm:f>'Modell-Kalibrierung'!$C$4</xm:f>
            <x14:dxf>
              <fill>
                <patternFill>
                  <bgColor theme="5" tint="0.79998168889431442"/>
                </patternFill>
              </fill>
            </x14:dxf>
          </x14:cfRule>
          <x14:cfRule type="cellIs" priority="785" operator="equal" id="{6F5E6863-1228-42A3-8896-425A517AE653}">
            <xm:f>'Modell-Kalibrierung'!$C$3</xm:f>
            <x14:dxf>
              <fill>
                <patternFill>
                  <bgColor theme="0"/>
                </patternFill>
              </fill>
            </x14:dxf>
          </x14:cfRule>
          <xm:sqref>J39:J43</xm:sqref>
        </x14:conditionalFormatting>
        <x14:conditionalFormatting xmlns:xm="http://schemas.microsoft.com/office/excel/2006/main">
          <x14:cfRule type="cellIs" priority="774" operator="between" id="{FD90805E-E874-4FAA-B1BA-20B748066768}">
            <xm:f>'Modell-Kalibrierung'!$C$7+1%</xm:f>
            <xm:f>"0Kalibrierung!$E$8"</xm:f>
            <x14:dxf>
              <font>
                <color theme="0"/>
              </font>
              <fill>
                <patternFill>
                  <bgColor theme="5" tint="-0.499984740745262"/>
                </patternFill>
              </fill>
            </x14:dxf>
          </x14:cfRule>
          <x14:cfRule type="cellIs" priority="775" operator="between" id="{E393D876-EC39-49F2-AAC1-0835730B1397}">
            <xm:f>'Modell-Kalibrierung'!$C$6+1%</xm:f>
            <xm:f>"0Kalibrierung!$E$7"</xm:f>
            <x14:dxf>
              <fill>
                <patternFill>
                  <bgColor theme="5" tint="-0.24994659260841701"/>
                </patternFill>
              </fill>
            </x14:dxf>
          </x14:cfRule>
          <x14:cfRule type="cellIs" priority="776" operator="between" id="{F8C7F649-8F06-48B3-A083-DEB0F4435983}">
            <xm:f>'Modell-Kalibrierung'!$C$5+1%</xm:f>
            <xm:f>"0Kalibrierung!$E$6"</xm:f>
            <x14:dxf>
              <fill>
                <patternFill>
                  <bgColor theme="5" tint="0.39994506668294322"/>
                </patternFill>
              </fill>
            </x14:dxf>
          </x14:cfRule>
          <x14:cfRule type="cellIs" priority="777" operator="between" id="{9B00BB5A-6117-4699-97AB-B170779ADE59}">
            <xm:f>'Modell-Kalibrierung'!$C$4+1%</xm:f>
            <xm:f>"0Kalibrierung!$E$5"</xm:f>
            <x14:dxf>
              <fill>
                <patternFill>
                  <bgColor theme="5" tint="0.59996337778862885"/>
                </patternFill>
              </fill>
            </x14:dxf>
          </x14:cfRule>
          <x14:cfRule type="cellIs" priority="778" operator="between" id="{912AFC23-ABB5-4EE1-8980-64448FE6BFB0}">
            <xm:f>'Modell-Kalibrierung'!$C$3+1%</xm:f>
            <xm:f>'Modell-Kalibrierung'!$C$4</xm:f>
            <x14:dxf>
              <fill>
                <patternFill>
                  <bgColor theme="5" tint="0.79998168889431442"/>
                </patternFill>
              </fill>
            </x14:dxf>
          </x14:cfRule>
          <x14:cfRule type="cellIs" priority="779" operator="equal" id="{B21FA03E-AC4B-4699-B87C-6AFFCA645B49}">
            <xm:f>'Modell-Kalibrierung'!$C$3</xm:f>
            <x14:dxf>
              <fill>
                <patternFill>
                  <bgColor theme="0"/>
                </patternFill>
              </fill>
            </x14:dxf>
          </x14:cfRule>
          <xm:sqref>J45:J49</xm:sqref>
        </x14:conditionalFormatting>
        <x14:conditionalFormatting xmlns:xm="http://schemas.microsoft.com/office/excel/2006/main">
          <x14:cfRule type="cellIs" priority="768" operator="between" id="{A4EC6678-1FD4-4A99-952E-FBF1564FCB21}">
            <xm:f>'Modell-Kalibrierung'!$C$7+1%</xm:f>
            <xm:f>"0Kalibrierung!$E$8"</xm:f>
            <x14:dxf>
              <font>
                <color theme="0"/>
              </font>
              <fill>
                <patternFill>
                  <bgColor theme="5" tint="-0.499984740745262"/>
                </patternFill>
              </fill>
            </x14:dxf>
          </x14:cfRule>
          <x14:cfRule type="cellIs" priority="769" operator="between" id="{DFEB077F-96F2-42A5-BE2F-41DB70887EE1}">
            <xm:f>'Modell-Kalibrierung'!$C$6+1%</xm:f>
            <xm:f>"0Kalibrierung!$E$7"</xm:f>
            <x14:dxf>
              <fill>
                <patternFill>
                  <bgColor theme="5" tint="-0.24994659260841701"/>
                </patternFill>
              </fill>
            </x14:dxf>
          </x14:cfRule>
          <x14:cfRule type="cellIs" priority="770" operator="between" id="{BB4B85DC-BBA2-4AD7-8FEE-2DF0E2DEBCDC}">
            <xm:f>'Modell-Kalibrierung'!$C$5+1%</xm:f>
            <xm:f>"0Kalibrierung!$E$6"</xm:f>
            <x14:dxf>
              <fill>
                <patternFill>
                  <bgColor theme="5" tint="0.39994506668294322"/>
                </patternFill>
              </fill>
            </x14:dxf>
          </x14:cfRule>
          <x14:cfRule type="cellIs" priority="771" operator="between" id="{377528F5-7B9A-446E-A7B9-80AF2D99121D}">
            <xm:f>'Modell-Kalibrierung'!$C$4+1%</xm:f>
            <xm:f>"0Kalibrierung!$E$5"</xm:f>
            <x14:dxf>
              <fill>
                <patternFill>
                  <bgColor theme="5" tint="0.59996337778862885"/>
                </patternFill>
              </fill>
            </x14:dxf>
          </x14:cfRule>
          <x14:cfRule type="cellIs" priority="772" operator="between" id="{EB668268-849E-4284-8BF3-66F99515FEAD}">
            <xm:f>'Modell-Kalibrierung'!$C$3+1%</xm:f>
            <xm:f>'Modell-Kalibrierung'!$C$4</xm:f>
            <x14:dxf>
              <fill>
                <patternFill>
                  <bgColor theme="5" tint="0.79998168889431442"/>
                </patternFill>
              </fill>
            </x14:dxf>
          </x14:cfRule>
          <x14:cfRule type="cellIs" priority="773" operator="equal" id="{AE47DD9A-6272-45D4-A0E2-AC37D34A1AE7}">
            <xm:f>'Modell-Kalibrierung'!$C$3</xm:f>
            <x14:dxf>
              <fill>
                <patternFill>
                  <bgColor theme="0"/>
                </patternFill>
              </fill>
            </x14:dxf>
          </x14:cfRule>
          <xm:sqref>J51:J55</xm:sqref>
        </x14:conditionalFormatting>
        <x14:conditionalFormatting xmlns:xm="http://schemas.microsoft.com/office/excel/2006/main">
          <x14:cfRule type="cellIs" priority="762" operator="between" id="{68497A77-24C9-49B2-84B0-CBD038AA812F}">
            <xm:f>'Modell-Kalibrierung'!$C$7+1%</xm:f>
            <xm:f>"0Kalibrierung!$E$8"</xm:f>
            <x14:dxf>
              <font>
                <color theme="0"/>
              </font>
              <fill>
                <patternFill>
                  <bgColor theme="5" tint="-0.499984740745262"/>
                </patternFill>
              </fill>
            </x14:dxf>
          </x14:cfRule>
          <x14:cfRule type="cellIs" priority="763" operator="between" id="{4225EA1E-9E8A-4615-ADFA-9AC045CD827D}">
            <xm:f>'Modell-Kalibrierung'!$C$6+1%</xm:f>
            <xm:f>"0Kalibrierung!$E$7"</xm:f>
            <x14:dxf>
              <fill>
                <patternFill>
                  <bgColor theme="5" tint="-0.24994659260841701"/>
                </patternFill>
              </fill>
            </x14:dxf>
          </x14:cfRule>
          <x14:cfRule type="cellIs" priority="764" operator="between" id="{5CAE0ED5-6847-438A-A835-C2150CB4AA70}">
            <xm:f>'Modell-Kalibrierung'!$C$5+1%</xm:f>
            <xm:f>"0Kalibrierung!$E$6"</xm:f>
            <x14:dxf>
              <fill>
                <patternFill>
                  <bgColor theme="5" tint="0.39994506668294322"/>
                </patternFill>
              </fill>
            </x14:dxf>
          </x14:cfRule>
          <x14:cfRule type="cellIs" priority="765" operator="between" id="{0C4696D5-AA07-4D5D-AC1F-D9B8665EF073}">
            <xm:f>'Modell-Kalibrierung'!$C$4+1%</xm:f>
            <xm:f>"0Kalibrierung!$E$5"</xm:f>
            <x14:dxf>
              <fill>
                <patternFill>
                  <bgColor theme="5" tint="0.59996337778862885"/>
                </patternFill>
              </fill>
            </x14:dxf>
          </x14:cfRule>
          <x14:cfRule type="cellIs" priority="766" operator="between" id="{5D322935-07B5-4994-BF70-C4AB06DB74CB}">
            <xm:f>'Modell-Kalibrierung'!$C$3+1%</xm:f>
            <xm:f>'Modell-Kalibrierung'!$C$4</xm:f>
            <x14:dxf>
              <fill>
                <patternFill>
                  <bgColor theme="5" tint="0.79998168889431442"/>
                </patternFill>
              </fill>
            </x14:dxf>
          </x14:cfRule>
          <x14:cfRule type="cellIs" priority="767" operator="equal" id="{B1D8201D-9A85-40C7-B637-9C8D898A6393}">
            <xm:f>'Modell-Kalibrierung'!$C$3</xm:f>
            <x14:dxf>
              <fill>
                <patternFill>
                  <bgColor theme="0"/>
                </patternFill>
              </fill>
            </x14:dxf>
          </x14:cfRule>
          <xm:sqref>J57:J61</xm:sqref>
        </x14:conditionalFormatting>
        <x14:conditionalFormatting xmlns:xm="http://schemas.microsoft.com/office/excel/2006/main">
          <x14:cfRule type="cellIs" priority="756" operator="between" id="{26A34075-CB0F-4100-967A-2794B99EE122}">
            <xm:f>'Modell-Kalibrierung'!$C$7+1%</xm:f>
            <xm:f>"0Kalibrierung!$E$8"</xm:f>
            <x14:dxf>
              <font>
                <color theme="0"/>
              </font>
              <fill>
                <patternFill>
                  <bgColor theme="5" tint="-0.499984740745262"/>
                </patternFill>
              </fill>
            </x14:dxf>
          </x14:cfRule>
          <x14:cfRule type="cellIs" priority="757" operator="between" id="{A994BC3D-4CE0-403F-A201-30CAF65FAC00}">
            <xm:f>'Modell-Kalibrierung'!$C$6+1%</xm:f>
            <xm:f>"0Kalibrierung!$E$7"</xm:f>
            <x14:dxf>
              <fill>
                <patternFill>
                  <bgColor theme="5" tint="-0.24994659260841701"/>
                </patternFill>
              </fill>
            </x14:dxf>
          </x14:cfRule>
          <x14:cfRule type="cellIs" priority="758" operator="between" id="{706D0247-2A9E-4319-A082-62042AE3DF34}">
            <xm:f>'Modell-Kalibrierung'!$C$5+1%</xm:f>
            <xm:f>"0Kalibrierung!$E$6"</xm:f>
            <x14:dxf>
              <fill>
                <patternFill>
                  <bgColor theme="5" tint="0.39994506668294322"/>
                </patternFill>
              </fill>
            </x14:dxf>
          </x14:cfRule>
          <x14:cfRule type="cellIs" priority="759" operator="between" id="{9D11263F-31FB-4721-9505-E91C6F177F22}">
            <xm:f>'Modell-Kalibrierung'!$C$4+1%</xm:f>
            <xm:f>"0Kalibrierung!$E$5"</xm:f>
            <x14:dxf>
              <fill>
                <patternFill>
                  <bgColor theme="5" tint="0.59996337778862885"/>
                </patternFill>
              </fill>
            </x14:dxf>
          </x14:cfRule>
          <x14:cfRule type="cellIs" priority="760" operator="between" id="{F1421015-C30D-473E-A46F-03D1C690F016}">
            <xm:f>'Modell-Kalibrierung'!$C$3+1%</xm:f>
            <xm:f>'Modell-Kalibrierung'!$C$4</xm:f>
            <x14:dxf>
              <fill>
                <patternFill>
                  <bgColor theme="5" tint="0.79998168889431442"/>
                </patternFill>
              </fill>
            </x14:dxf>
          </x14:cfRule>
          <x14:cfRule type="cellIs" priority="761" operator="equal" id="{43E88EA2-9904-4690-85AC-F7D4E6DA967B}">
            <xm:f>'Modell-Kalibrierung'!$C$3</xm:f>
            <x14:dxf>
              <fill>
                <patternFill>
                  <bgColor theme="0"/>
                </patternFill>
              </fill>
            </x14:dxf>
          </x14:cfRule>
          <xm:sqref>J63:J67</xm:sqref>
        </x14:conditionalFormatting>
        <x14:conditionalFormatting xmlns:xm="http://schemas.microsoft.com/office/excel/2006/main">
          <x14:cfRule type="cellIs" priority="750" operator="between" id="{8CF4EB2A-2689-44BF-9B80-A67A70E55C16}">
            <xm:f>'Modell-Kalibrierung'!$C$7+1%</xm:f>
            <xm:f>"0Kalibrierung!$E$8"</xm:f>
            <x14:dxf>
              <font>
                <color theme="0"/>
              </font>
              <fill>
                <patternFill>
                  <bgColor theme="5" tint="-0.499984740745262"/>
                </patternFill>
              </fill>
            </x14:dxf>
          </x14:cfRule>
          <x14:cfRule type="cellIs" priority="751" operator="between" id="{F74B8670-BC7F-4C6A-B82D-6BFEF13E7B8A}">
            <xm:f>'Modell-Kalibrierung'!$C$6+1%</xm:f>
            <xm:f>"0Kalibrierung!$E$7"</xm:f>
            <x14:dxf>
              <fill>
                <patternFill>
                  <bgColor theme="5" tint="-0.24994659260841701"/>
                </patternFill>
              </fill>
            </x14:dxf>
          </x14:cfRule>
          <x14:cfRule type="cellIs" priority="752" operator="between" id="{8FE8578A-B373-405A-AC05-2BB306E48EFC}">
            <xm:f>'Modell-Kalibrierung'!$C$5+1%</xm:f>
            <xm:f>"0Kalibrierung!$E$6"</xm:f>
            <x14:dxf>
              <fill>
                <patternFill>
                  <bgColor theme="5" tint="0.39994506668294322"/>
                </patternFill>
              </fill>
            </x14:dxf>
          </x14:cfRule>
          <x14:cfRule type="cellIs" priority="753" operator="between" id="{C81F7DF2-B5FF-4BF1-A200-1A888A662188}">
            <xm:f>'Modell-Kalibrierung'!$C$4+1%</xm:f>
            <xm:f>"0Kalibrierung!$E$5"</xm:f>
            <x14:dxf>
              <fill>
                <patternFill>
                  <bgColor theme="5" tint="0.59996337778862885"/>
                </patternFill>
              </fill>
            </x14:dxf>
          </x14:cfRule>
          <x14:cfRule type="cellIs" priority="754" operator="between" id="{64FF44C0-DBC2-4EE4-AC31-BD3D9F2D6AD4}">
            <xm:f>'Modell-Kalibrierung'!$C$3+1%</xm:f>
            <xm:f>'Modell-Kalibrierung'!$C$4</xm:f>
            <x14:dxf>
              <fill>
                <patternFill>
                  <bgColor theme="5" tint="0.79998168889431442"/>
                </patternFill>
              </fill>
            </x14:dxf>
          </x14:cfRule>
          <x14:cfRule type="cellIs" priority="755" operator="equal" id="{ED98DBA0-A0BD-49D8-91BA-6D7FC608D88B}">
            <xm:f>'Modell-Kalibrierung'!$C$3</xm:f>
            <x14:dxf>
              <fill>
                <patternFill>
                  <bgColor theme="0"/>
                </patternFill>
              </fill>
            </x14:dxf>
          </x14:cfRule>
          <xm:sqref>J69:J73</xm:sqref>
        </x14:conditionalFormatting>
        <x14:conditionalFormatting xmlns:xm="http://schemas.microsoft.com/office/excel/2006/main">
          <x14:cfRule type="cellIs" priority="744" operator="between" id="{62DA2078-7F83-493F-A83C-45DAB84A2B92}">
            <xm:f>'Modell-Kalibrierung'!$C$7+1%</xm:f>
            <xm:f>"0Kalibrierung!$E$8"</xm:f>
            <x14:dxf>
              <font>
                <color theme="0"/>
              </font>
              <fill>
                <patternFill>
                  <bgColor theme="5" tint="-0.499984740745262"/>
                </patternFill>
              </fill>
            </x14:dxf>
          </x14:cfRule>
          <x14:cfRule type="cellIs" priority="745" operator="between" id="{4993133B-80D3-4E24-A9E1-FCCC1F78E345}">
            <xm:f>'Modell-Kalibrierung'!$C$6+1%</xm:f>
            <xm:f>"0Kalibrierung!$E$7"</xm:f>
            <x14:dxf>
              <fill>
                <patternFill>
                  <bgColor theme="5" tint="-0.24994659260841701"/>
                </patternFill>
              </fill>
            </x14:dxf>
          </x14:cfRule>
          <x14:cfRule type="cellIs" priority="746" operator="between" id="{BE46DC9D-C4E5-4084-8C18-EE303129933C}">
            <xm:f>'Modell-Kalibrierung'!$C$5+1%</xm:f>
            <xm:f>"0Kalibrierung!$E$6"</xm:f>
            <x14:dxf>
              <fill>
                <patternFill>
                  <bgColor theme="5" tint="0.39994506668294322"/>
                </patternFill>
              </fill>
            </x14:dxf>
          </x14:cfRule>
          <x14:cfRule type="cellIs" priority="747" operator="between" id="{791C88A4-0269-4521-BF09-5BF06F68D911}">
            <xm:f>'Modell-Kalibrierung'!$C$4+1%</xm:f>
            <xm:f>"0Kalibrierung!$E$5"</xm:f>
            <x14:dxf>
              <fill>
                <patternFill>
                  <bgColor theme="5" tint="0.59996337778862885"/>
                </patternFill>
              </fill>
            </x14:dxf>
          </x14:cfRule>
          <x14:cfRule type="cellIs" priority="748" operator="between" id="{F4DF0F93-6D4D-4586-A416-31C34DE96C8E}">
            <xm:f>'Modell-Kalibrierung'!$C$3+1%</xm:f>
            <xm:f>'Modell-Kalibrierung'!$C$4</xm:f>
            <x14:dxf>
              <fill>
                <patternFill>
                  <bgColor theme="5" tint="0.79998168889431442"/>
                </patternFill>
              </fill>
            </x14:dxf>
          </x14:cfRule>
          <x14:cfRule type="cellIs" priority="749" operator="equal" id="{1CA087A0-2698-4C6D-82AB-ACE5784BEBC5}">
            <xm:f>'Modell-Kalibrierung'!$C$3</xm:f>
            <x14:dxf>
              <fill>
                <patternFill>
                  <bgColor theme="0"/>
                </patternFill>
              </fill>
            </x14:dxf>
          </x14:cfRule>
          <xm:sqref>J75:J79</xm:sqref>
        </x14:conditionalFormatting>
        <x14:conditionalFormatting xmlns:xm="http://schemas.microsoft.com/office/excel/2006/main">
          <x14:cfRule type="cellIs" priority="738" operator="between" id="{7230C0AD-63B2-42CD-9907-EBDCBD400CED}">
            <xm:f>'Modell-Kalibrierung'!$C$7+1%</xm:f>
            <xm:f>"0Kalibrierung!$E$8"</xm:f>
            <x14:dxf>
              <font>
                <color theme="0"/>
              </font>
              <fill>
                <patternFill>
                  <bgColor theme="5" tint="-0.499984740745262"/>
                </patternFill>
              </fill>
            </x14:dxf>
          </x14:cfRule>
          <x14:cfRule type="cellIs" priority="739" operator="between" id="{17BB569C-A8D0-4EC0-BE1F-443CBA666849}">
            <xm:f>'Modell-Kalibrierung'!$C$6+1%</xm:f>
            <xm:f>"0Kalibrierung!$E$7"</xm:f>
            <x14:dxf>
              <fill>
                <patternFill>
                  <bgColor theme="5" tint="-0.24994659260841701"/>
                </patternFill>
              </fill>
            </x14:dxf>
          </x14:cfRule>
          <x14:cfRule type="cellIs" priority="740" operator="between" id="{6EDB4071-57E7-49D6-8BC5-588ACE14F08F}">
            <xm:f>'Modell-Kalibrierung'!$C$5+1%</xm:f>
            <xm:f>"0Kalibrierung!$E$6"</xm:f>
            <x14:dxf>
              <fill>
                <patternFill>
                  <bgColor theme="5" tint="0.39994506668294322"/>
                </patternFill>
              </fill>
            </x14:dxf>
          </x14:cfRule>
          <x14:cfRule type="cellIs" priority="741" operator="between" id="{4CC3BF1B-8CBC-4D58-BBB9-BC6F93D35C12}">
            <xm:f>'Modell-Kalibrierung'!$C$4+1%</xm:f>
            <xm:f>"0Kalibrierung!$E$5"</xm:f>
            <x14:dxf>
              <fill>
                <patternFill>
                  <bgColor theme="5" tint="0.59996337778862885"/>
                </patternFill>
              </fill>
            </x14:dxf>
          </x14:cfRule>
          <x14:cfRule type="cellIs" priority="742" operator="between" id="{FBA36108-B260-4836-AD7B-E3B076EE003A}">
            <xm:f>'Modell-Kalibrierung'!$C$3+1%</xm:f>
            <xm:f>'Modell-Kalibrierung'!$C$4</xm:f>
            <x14:dxf>
              <fill>
                <patternFill>
                  <bgColor theme="5" tint="0.79998168889431442"/>
                </patternFill>
              </fill>
            </x14:dxf>
          </x14:cfRule>
          <x14:cfRule type="cellIs" priority="743" operator="equal" id="{F0D32F5F-8161-4FC1-9E58-5BA25F468F92}">
            <xm:f>'Modell-Kalibrierung'!$C$3</xm:f>
            <x14:dxf>
              <fill>
                <patternFill>
                  <bgColor theme="0"/>
                </patternFill>
              </fill>
            </x14:dxf>
          </x14:cfRule>
          <xm:sqref>J81:J85</xm:sqref>
        </x14:conditionalFormatting>
        <x14:conditionalFormatting xmlns:xm="http://schemas.microsoft.com/office/excel/2006/main">
          <x14:cfRule type="cellIs" priority="732" operator="between" id="{CE6D72C7-52B2-4EE3-99B7-1351E844388C}">
            <xm:f>'Modell-Kalibrierung'!$C$7+1%</xm:f>
            <xm:f>"0Kalibrierung!$E$8"</xm:f>
            <x14:dxf>
              <font>
                <color theme="0"/>
              </font>
              <fill>
                <patternFill>
                  <bgColor theme="5" tint="-0.499984740745262"/>
                </patternFill>
              </fill>
            </x14:dxf>
          </x14:cfRule>
          <x14:cfRule type="cellIs" priority="733" operator="between" id="{73385F0A-A8AB-45B6-9986-E3E0D1EC6B7A}">
            <xm:f>'Modell-Kalibrierung'!$C$6+1%</xm:f>
            <xm:f>"0Kalibrierung!$E$7"</xm:f>
            <x14:dxf>
              <fill>
                <patternFill>
                  <bgColor theme="5" tint="-0.24994659260841701"/>
                </patternFill>
              </fill>
            </x14:dxf>
          </x14:cfRule>
          <x14:cfRule type="cellIs" priority="734" operator="between" id="{F4B991BC-4947-42D7-B79C-8468E4B1469F}">
            <xm:f>'Modell-Kalibrierung'!$C$5+1%</xm:f>
            <xm:f>"0Kalibrierung!$E$6"</xm:f>
            <x14:dxf>
              <fill>
                <patternFill>
                  <bgColor theme="5" tint="0.39994506668294322"/>
                </patternFill>
              </fill>
            </x14:dxf>
          </x14:cfRule>
          <x14:cfRule type="cellIs" priority="735" operator="between" id="{E808AA11-6F8F-47A2-9D3A-C686B3115F8D}">
            <xm:f>'Modell-Kalibrierung'!$C$4+1%</xm:f>
            <xm:f>"0Kalibrierung!$E$5"</xm:f>
            <x14:dxf>
              <fill>
                <patternFill>
                  <bgColor theme="5" tint="0.59996337778862885"/>
                </patternFill>
              </fill>
            </x14:dxf>
          </x14:cfRule>
          <x14:cfRule type="cellIs" priority="736" operator="between" id="{64209CC2-FBD8-4C1D-A9EF-2FE5C752ACF4}">
            <xm:f>'Modell-Kalibrierung'!$C$3+1%</xm:f>
            <xm:f>'Modell-Kalibrierung'!$C$4</xm:f>
            <x14:dxf>
              <fill>
                <patternFill>
                  <bgColor theme="5" tint="0.79998168889431442"/>
                </patternFill>
              </fill>
            </x14:dxf>
          </x14:cfRule>
          <x14:cfRule type="cellIs" priority="737" operator="equal" id="{311CB705-7D7A-40E1-8B33-965978BFF556}">
            <xm:f>'Modell-Kalibrierung'!$C$3</xm:f>
            <x14:dxf>
              <fill>
                <patternFill>
                  <bgColor theme="0"/>
                </patternFill>
              </fill>
            </x14:dxf>
          </x14:cfRule>
          <xm:sqref>J87:J91</xm:sqref>
        </x14:conditionalFormatting>
        <x14:conditionalFormatting xmlns:xm="http://schemas.microsoft.com/office/excel/2006/main">
          <x14:cfRule type="cellIs" priority="726" operator="between" id="{B3871CE3-0335-4993-8604-485087AAA8C3}">
            <xm:f>'Modell-Kalibrierung'!$C$7+1%</xm:f>
            <xm:f>"0Kalibrierung!$E$8"</xm:f>
            <x14:dxf>
              <font>
                <color theme="0"/>
              </font>
              <fill>
                <patternFill>
                  <bgColor theme="5" tint="-0.499984740745262"/>
                </patternFill>
              </fill>
            </x14:dxf>
          </x14:cfRule>
          <x14:cfRule type="cellIs" priority="727" operator="between" id="{37F597BA-F8B0-4185-8443-FC67039FBF77}">
            <xm:f>'Modell-Kalibrierung'!$C$6+1%</xm:f>
            <xm:f>"0Kalibrierung!$E$7"</xm:f>
            <x14:dxf>
              <fill>
                <patternFill>
                  <bgColor theme="5" tint="-0.24994659260841701"/>
                </patternFill>
              </fill>
            </x14:dxf>
          </x14:cfRule>
          <x14:cfRule type="cellIs" priority="728" operator="between" id="{8F59565B-ABAD-4CA7-BA25-474EDDF6F0F6}">
            <xm:f>'Modell-Kalibrierung'!$C$5+1%</xm:f>
            <xm:f>"0Kalibrierung!$E$6"</xm:f>
            <x14:dxf>
              <fill>
                <patternFill>
                  <bgColor theme="5" tint="0.39994506668294322"/>
                </patternFill>
              </fill>
            </x14:dxf>
          </x14:cfRule>
          <x14:cfRule type="cellIs" priority="729" operator="between" id="{FE9E716D-8294-4538-A281-96D2BBE4B7D5}">
            <xm:f>'Modell-Kalibrierung'!$C$4+1%</xm:f>
            <xm:f>"0Kalibrierung!$E$5"</xm:f>
            <x14:dxf>
              <fill>
                <patternFill>
                  <bgColor theme="5" tint="0.59996337778862885"/>
                </patternFill>
              </fill>
            </x14:dxf>
          </x14:cfRule>
          <x14:cfRule type="cellIs" priority="730" operator="between" id="{2FCA4DAB-D1BF-40D2-90A0-1264AD56610D}">
            <xm:f>'Modell-Kalibrierung'!$C$3+1%</xm:f>
            <xm:f>'Modell-Kalibrierung'!$C$4</xm:f>
            <x14:dxf>
              <fill>
                <patternFill>
                  <bgColor theme="5" tint="0.79998168889431442"/>
                </patternFill>
              </fill>
            </x14:dxf>
          </x14:cfRule>
          <x14:cfRule type="cellIs" priority="731" operator="equal" id="{9ED39906-2F1A-49DA-BDA1-46C589152BD0}">
            <xm:f>'Modell-Kalibrierung'!$C$3</xm:f>
            <x14:dxf>
              <fill>
                <patternFill>
                  <bgColor theme="0"/>
                </patternFill>
              </fill>
            </x14:dxf>
          </x14:cfRule>
          <xm:sqref>J93:J97</xm:sqref>
        </x14:conditionalFormatting>
        <x14:conditionalFormatting xmlns:xm="http://schemas.microsoft.com/office/excel/2006/main">
          <x14:cfRule type="cellIs" priority="720" operator="between" id="{F45AEC39-BFE1-4D04-A2FD-2723679840D1}">
            <xm:f>'Modell-Kalibrierung'!$C$7+1%</xm:f>
            <xm:f>"0Kalibrierung!$E$8"</xm:f>
            <x14:dxf>
              <font>
                <color theme="0"/>
              </font>
              <fill>
                <patternFill>
                  <bgColor theme="5" tint="-0.499984740745262"/>
                </patternFill>
              </fill>
            </x14:dxf>
          </x14:cfRule>
          <x14:cfRule type="cellIs" priority="721" operator="between" id="{B5D4249B-BDF1-461A-A91C-0C6F17CBEFD4}">
            <xm:f>'Modell-Kalibrierung'!$C$6+1%</xm:f>
            <xm:f>"0Kalibrierung!$E$7"</xm:f>
            <x14:dxf>
              <fill>
                <patternFill>
                  <bgColor theme="5" tint="-0.24994659260841701"/>
                </patternFill>
              </fill>
            </x14:dxf>
          </x14:cfRule>
          <x14:cfRule type="cellIs" priority="722" operator="between" id="{00CA2F03-1201-4DCF-A133-ACF799D10007}">
            <xm:f>'Modell-Kalibrierung'!$C$5+1%</xm:f>
            <xm:f>"0Kalibrierung!$E$6"</xm:f>
            <x14:dxf>
              <fill>
                <patternFill>
                  <bgColor theme="5" tint="0.39994506668294322"/>
                </patternFill>
              </fill>
            </x14:dxf>
          </x14:cfRule>
          <x14:cfRule type="cellIs" priority="723" operator="between" id="{6B6DA6CB-0EF4-470A-A33F-32FF79847569}">
            <xm:f>'Modell-Kalibrierung'!$C$4+1%</xm:f>
            <xm:f>"0Kalibrierung!$E$5"</xm:f>
            <x14:dxf>
              <fill>
                <patternFill>
                  <bgColor theme="5" tint="0.59996337778862885"/>
                </patternFill>
              </fill>
            </x14:dxf>
          </x14:cfRule>
          <x14:cfRule type="cellIs" priority="724" operator="between" id="{98809D49-0F25-42A3-B27D-161BA984CE99}">
            <xm:f>'Modell-Kalibrierung'!$C$3+1%</xm:f>
            <xm:f>'Modell-Kalibrierung'!$C$4</xm:f>
            <x14:dxf>
              <fill>
                <patternFill>
                  <bgColor theme="5" tint="0.79998168889431442"/>
                </patternFill>
              </fill>
            </x14:dxf>
          </x14:cfRule>
          <x14:cfRule type="cellIs" priority="725" operator="equal" id="{88288BCE-EF16-4E55-AA0F-2E3D9C589F44}">
            <xm:f>'Modell-Kalibrierung'!$C$3</xm:f>
            <x14:dxf>
              <fill>
                <patternFill>
                  <bgColor theme="0"/>
                </patternFill>
              </fill>
            </x14:dxf>
          </x14:cfRule>
          <xm:sqref>J99:J103</xm:sqref>
        </x14:conditionalFormatting>
        <x14:conditionalFormatting xmlns:xm="http://schemas.microsoft.com/office/excel/2006/main">
          <x14:cfRule type="cellIs" priority="714" operator="between" id="{F59E5C63-7612-40B9-9C6D-DA005413A976}">
            <xm:f>'Modell-Kalibrierung'!$C$7+1%</xm:f>
            <xm:f>"0Kalibrierung!$E$8"</xm:f>
            <x14:dxf>
              <font>
                <color theme="0"/>
              </font>
              <fill>
                <patternFill>
                  <bgColor theme="5" tint="-0.499984740745262"/>
                </patternFill>
              </fill>
            </x14:dxf>
          </x14:cfRule>
          <x14:cfRule type="cellIs" priority="715" operator="between" id="{CE072510-01AE-4D81-B618-02D01323364C}">
            <xm:f>'Modell-Kalibrierung'!$C$6+1%</xm:f>
            <xm:f>"0Kalibrierung!$E$7"</xm:f>
            <x14:dxf>
              <fill>
                <patternFill>
                  <bgColor theme="5" tint="-0.24994659260841701"/>
                </patternFill>
              </fill>
            </x14:dxf>
          </x14:cfRule>
          <x14:cfRule type="cellIs" priority="716" operator="between" id="{812D6E97-ACA0-4631-8BD4-F1176D1EFBF3}">
            <xm:f>'Modell-Kalibrierung'!$C$5+1%</xm:f>
            <xm:f>"0Kalibrierung!$E$6"</xm:f>
            <x14:dxf>
              <fill>
                <patternFill>
                  <bgColor theme="5" tint="0.39994506668294322"/>
                </patternFill>
              </fill>
            </x14:dxf>
          </x14:cfRule>
          <x14:cfRule type="cellIs" priority="717" operator="between" id="{9CCD291C-A9C4-47A6-B153-E9CFA481C185}">
            <xm:f>'Modell-Kalibrierung'!$C$4+1%</xm:f>
            <xm:f>"0Kalibrierung!$E$5"</xm:f>
            <x14:dxf>
              <fill>
                <patternFill>
                  <bgColor theme="5" tint="0.59996337778862885"/>
                </patternFill>
              </fill>
            </x14:dxf>
          </x14:cfRule>
          <x14:cfRule type="cellIs" priority="718" operator="between" id="{99A6F7A1-ABED-4649-8433-09CB670BED6A}">
            <xm:f>'Modell-Kalibrierung'!$C$3+1%</xm:f>
            <xm:f>'Modell-Kalibrierung'!$C$4</xm:f>
            <x14:dxf>
              <fill>
                <patternFill>
                  <bgColor theme="5" tint="0.79998168889431442"/>
                </patternFill>
              </fill>
            </x14:dxf>
          </x14:cfRule>
          <x14:cfRule type="cellIs" priority="719" operator="equal" id="{31C604EB-A5A9-4282-ADF4-D0731B2A9279}">
            <xm:f>'Modell-Kalibrierung'!$C$3</xm:f>
            <x14:dxf>
              <fill>
                <patternFill>
                  <bgColor theme="0"/>
                </patternFill>
              </fill>
            </x14:dxf>
          </x14:cfRule>
          <xm:sqref>J105:J109</xm:sqref>
        </x14:conditionalFormatting>
        <x14:conditionalFormatting xmlns:xm="http://schemas.microsoft.com/office/excel/2006/main">
          <x14:cfRule type="cellIs" priority="708" operator="between" id="{A5F8A64A-3F34-47B8-BBA8-11C3E962B95D}">
            <xm:f>'Modell-Kalibrierung'!$C$7+1%</xm:f>
            <xm:f>"0Kalibrierung!$E$8"</xm:f>
            <x14:dxf>
              <font>
                <color theme="0"/>
              </font>
              <fill>
                <patternFill>
                  <bgColor theme="5" tint="-0.499984740745262"/>
                </patternFill>
              </fill>
            </x14:dxf>
          </x14:cfRule>
          <x14:cfRule type="cellIs" priority="709" operator="between" id="{92A1A3E7-316B-4E06-8D98-98334ACB4873}">
            <xm:f>'Modell-Kalibrierung'!$C$6+1%</xm:f>
            <xm:f>"0Kalibrierung!$E$7"</xm:f>
            <x14:dxf>
              <fill>
                <patternFill>
                  <bgColor theme="5" tint="-0.24994659260841701"/>
                </patternFill>
              </fill>
            </x14:dxf>
          </x14:cfRule>
          <x14:cfRule type="cellIs" priority="710" operator="between" id="{FE321C91-BAAB-438E-AEAC-9F3E60F80C23}">
            <xm:f>'Modell-Kalibrierung'!$C$5+1%</xm:f>
            <xm:f>"0Kalibrierung!$E$6"</xm:f>
            <x14:dxf>
              <fill>
                <patternFill>
                  <bgColor theme="5" tint="0.39994506668294322"/>
                </patternFill>
              </fill>
            </x14:dxf>
          </x14:cfRule>
          <x14:cfRule type="cellIs" priority="711" operator="between" id="{649E58FD-B9CA-4A63-9488-41EC8E8775AD}">
            <xm:f>'Modell-Kalibrierung'!$C$4+1%</xm:f>
            <xm:f>"0Kalibrierung!$E$5"</xm:f>
            <x14:dxf>
              <fill>
                <patternFill>
                  <bgColor theme="5" tint="0.59996337778862885"/>
                </patternFill>
              </fill>
            </x14:dxf>
          </x14:cfRule>
          <x14:cfRule type="cellIs" priority="712" operator="between" id="{6D2903F5-A886-4306-BBDB-4189EFD819A0}">
            <xm:f>'Modell-Kalibrierung'!$C$3+1%</xm:f>
            <xm:f>'Modell-Kalibrierung'!$C$4</xm:f>
            <x14:dxf>
              <fill>
                <patternFill>
                  <bgColor theme="5" tint="0.79998168889431442"/>
                </patternFill>
              </fill>
            </x14:dxf>
          </x14:cfRule>
          <x14:cfRule type="cellIs" priority="713" operator="equal" id="{71441FA6-10FF-4BB7-867B-E26F234C7664}">
            <xm:f>'Modell-Kalibrierung'!$C$3</xm:f>
            <x14:dxf>
              <fill>
                <patternFill>
                  <bgColor theme="0"/>
                </patternFill>
              </fill>
            </x14:dxf>
          </x14:cfRule>
          <xm:sqref>J111:J115</xm:sqref>
        </x14:conditionalFormatting>
        <x14:conditionalFormatting xmlns:xm="http://schemas.microsoft.com/office/excel/2006/main">
          <x14:cfRule type="cellIs" priority="702" operator="between" id="{5E1FE909-6FC1-4524-8A91-73D593E95153}">
            <xm:f>'Modell-Kalibrierung'!$C$7+1%</xm:f>
            <xm:f>"0Kalibrierung!$E$8"</xm:f>
            <x14:dxf>
              <font>
                <color theme="0"/>
              </font>
              <fill>
                <patternFill>
                  <bgColor theme="5" tint="-0.499984740745262"/>
                </patternFill>
              </fill>
            </x14:dxf>
          </x14:cfRule>
          <x14:cfRule type="cellIs" priority="703" operator="between" id="{D454E9BE-6F0A-4100-B279-7D72F4777E2B}">
            <xm:f>'Modell-Kalibrierung'!$C$6+1%</xm:f>
            <xm:f>"0Kalibrierung!$E$7"</xm:f>
            <x14:dxf>
              <fill>
                <patternFill>
                  <bgColor theme="5" tint="-0.24994659260841701"/>
                </patternFill>
              </fill>
            </x14:dxf>
          </x14:cfRule>
          <x14:cfRule type="cellIs" priority="704" operator="between" id="{EC7DB987-91FC-44DF-9247-DD9EAFAAA992}">
            <xm:f>'Modell-Kalibrierung'!$C$5+1%</xm:f>
            <xm:f>"0Kalibrierung!$E$6"</xm:f>
            <x14:dxf>
              <fill>
                <patternFill>
                  <bgColor theme="5" tint="0.39994506668294322"/>
                </patternFill>
              </fill>
            </x14:dxf>
          </x14:cfRule>
          <x14:cfRule type="cellIs" priority="705" operator="between" id="{8BB2F262-D70C-4527-8D56-33F217B79EC6}">
            <xm:f>'Modell-Kalibrierung'!$C$4+1%</xm:f>
            <xm:f>"0Kalibrierung!$E$5"</xm:f>
            <x14:dxf>
              <fill>
                <patternFill>
                  <bgColor theme="5" tint="0.59996337778862885"/>
                </patternFill>
              </fill>
            </x14:dxf>
          </x14:cfRule>
          <x14:cfRule type="cellIs" priority="706" operator="between" id="{9C7098EB-59D2-419A-A931-E6E63356D8E0}">
            <xm:f>'Modell-Kalibrierung'!$C$3+1%</xm:f>
            <xm:f>'Modell-Kalibrierung'!$C$4</xm:f>
            <x14:dxf>
              <fill>
                <patternFill>
                  <bgColor theme="5" tint="0.79998168889431442"/>
                </patternFill>
              </fill>
            </x14:dxf>
          </x14:cfRule>
          <x14:cfRule type="cellIs" priority="707" operator="equal" id="{1ED667E5-89A6-4F97-AE51-6E54AD0D08CE}">
            <xm:f>'Modell-Kalibrierung'!$C$3</xm:f>
            <x14:dxf>
              <fill>
                <patternFill>
                  <bgColor theme="0"/>
                </patternFill>
              </fill>
            </x14:dxf>
          </x14:cfRule>
          <xm:sqref>J117:J121</xm:sqref>
        </x14:conditionalFormatting>
        <x14:conditionalFormatting xmlns:xm="http://schemas.microsoft.com/office/excel/2006/main">
          <x14:cfRule type="cellIs" priority="563" operator="equal" id="{DD6C3BE7-D2EA-472B-8DBC-C6B4EF41DA31}">
            <xm:f>'Modell-Kalibrierung'!$B$16</xm:f>
            <x14:dxf>
              <fill>
                <patternFill>
                  <bgColor theme="0"/>
                </patternFill>
              </fill>
            </x14:dxf>
          </x14:cfRule>
          <xm:sqref>I42:I43</xm:sqref>
        </x14:conditionalFormatting>
        <x14:conditionalFormatting xmlns:xm="http://schemas.microsoft.com/office/excel/2006/main">
          <x14:cfRule type="cellIs" priority="556" operator="equal" id="{30360A85-B16C-4076-B3F3-42E0AC33E16A}">
            <xm:f>'Modell-Kalibrierung'!$B$16</xm:f>
            <x14:dxf>
              <fill>
                <patternFill>
                  <bgColor theme="0"/>
                </patternFill>
              </fill>
            </x14:dxf>
          </x14:cfRule>
          <xm:sqref>I39:I41</xm:sqref>
        </x14:conditionalFormatting>
        <x14:conditionalFormatting xmlns:xm="http://schemas.microsoft.com/office/excel/2006/main">
          <x14:cfRule type="cellIs" priority="549" operator="equal" id="{B67212CC-C171-49BB-9CF2-73CDA8E0579D}">
            <xm:f>'Modell-Kalibrierung'!$B$16</xm:f>
            <x14:dxf>
              <fill>
                <patternFill>
                  <bgColor theme="0"/>
                </patternFill>
              </fill>
            </x14:dxf>
          </x14:cfRule>
          <xm:sqref>I66:I67</xm:sqref>
        </x14:conditionalFormatting>
        <x14:conditionalFormatting xmlns:xm="http://schemas.microsoft.com/office/excel/2006/main">
          <x14:cfRule type="cellIs" priority="542" operator="equal" id="{82F64383-5088-4984-829C-133C34B02140}">
            <xm:f>'Modell-Kalibrierung'!$B$16</xm:f>
            <x14:dxf>
              <fill>
                <patternFill>
                  <bgColor theme="0"/>
                </patternFill>
              </fill>
            </x14:dxf>
          </x14:cfRule>
          <xm:sqref>I63:I65</xm:sqref>
        </x14:conditionalFormatting>
        <x14:conditionalFormatting xmlns:xm="http://schemas.microsoft.com/office/excel/2006/main">
          <x14:cfRule type="cellIs" priority="535" operator="equal" id="{E2EE4480-B68E-41D6-BC29-A394B7C5ADD6}">
            <xm:f>'Modell-Kalibrierung'!$B$16</xm:f>
            <x14:dxf>
              <fill>
                <patternFill>
                  <bgColor theme="0"/>
                </patternFill>
              </fill>
            </x14:dxf>
          </x14:cfRule>
          <xm:sqref>I72:I73</xm:sqref>
        </x14:conditionalFormatting>
        <x14:conditionalFormatting xmlns:xm="http://schemas.microsoft.com/office/excel/2006/main">
          <x14:cfRule type="cellIs" priority="528" operator="equal" id="{DD9C707F-2DCF-494A-8AE9-604F790A32FF}">
            <xm:f>'Modell-Kalibrierung'!$B$16</xm:f>
            <x14:dxf>
              <fill>
                <patternFill>
                  <bgColor theme="0"/>
                </patternFill>
              </fill>
            </x14:dxf>
          </x14:cfRule>
          <xm:sqref>I69:I71</xm:sqref>
        </x14:conditionalFormatting>
        <x14:conditionalFormatting xmlns:xm="http://schemas.microsoft.com/office/excel/2006/main">
          <x14:cfRule type="cellIs" priority="521" operator="equal" id="{4317E0F9-9CB1-49B1-B50B-8DED32B8BD3C}">
            <xm:f>'Modell-Kalibrierung'!$B$16</xm:f>
            <x14:dxf>
              <fill>
                <patternFill>
                  <bgColor theme="0"/>
                </patternFill>
              </fill>
            </x14:dxf>
          </x14:cfRule>
          <xm:sqref>I78:I79</xm:sqref>
        </x14:conditionalFormatting>
        <x14:conditionalFormatting xmlns:xm="http://schemas.microsoft.com/office/excel/2006/main">
          <x14:cfRule type="cellIs" priority="514" operator="equal" id="{46C592BA-947C-4E15-9C88-8A04D5C87C06}">
            <xm:f>'Modell-Kalibrierung'!$B$16</xm:f>
            <x14:dxf>
              <fill>
                <patternFill>
                  <bgColor theme="0"/>
                </patternFill>
              </fill>
            </x14:dxf>
          </x14:cfRule>
          <xm:sqref>I75:I77</xm:sqref>
        </x14:conditionalFormatting>
        <x14:conditionalFormatting xmlns:xm="http://schemas.microsoft.com/office/excel/2006/main">
          <x14:cfRule type="cellIs" priority="507" operator="equal" id="{A14C2E5D-A38F-4A84-87BF-72D1DFD5C8AE}">
            <xm:f>'Modell-Kalibrierung'!$B$16</xm:f>
            <x14:dxf>
              <fill>
                <patternFill>
                  <bgColor theme="0"/>
                </patternFill>
              </fill>
            </x14:dxf>
          </x14:cfRule>
          <xm:sqref>I84:I85</xm:sqref>
        </x14:conditionalFormatting>
        <x14:conditionalFormatting xmlns:xm="http://schemas.microsoft.com/office/excel/2006/main">
          <x14:cfRule type="cellIs" priority="500" operator="equal" id="{84743268-2CDF-4D72-A889-0839EABB3A4C}">
            <xm:f>'Modell-Kalibrierung'!$B$16</xm:f>
            <x14:dxf>
              <fill>
                <patternFill>
                  <bgColor theme="0"/>
                </patternFill>
              </fill>
            </x14:dxf>
          </x14:cfRule>
          <xm:sqref>I81:I83</xm:sqref>
        </x14:conditionalFormatting>
        <x14:conditionalFormatting xmlns:xm="http://schemas.microsoft.com/office/excel/2006/main">
          <x14:cfRule type="cellIs" priority="493" operator="equal" id="{D5364797-0D4B-4C18-9AD0-0D744E6CAA1A}">
            <xm:f>'Modell-Kalibrierung'!$B$16</xm:f>
            <x14:dxf>
              <fill>
                <patternFill>
                  <bgColor theme="0"/>
                </patternFill>
              </fill>
            </x14:dxf>
          </x14:cfRule>
          <xm:sqref>I90:I91</xm:sqref>
        </x14:conditionalFormatting>
        <x14:conditionalFormatting xmlns:xm="http://schemas.microsoft.com/office/excel/2006/main">
          <x14:cfRule type="cellIs" priority="486" operator="equal" id="{040072F1-CA1C-4E29-89AA-78490A616A3A}">
            <xm:f>'Modell-Kalibrierung'!$B$16</xm:f>
            <x14:dxf>
              <fill>
                <patternFill>
                  <bgColor theme="0"/>
                </patternFill>
              </fill>
            </x14:dxf>
          </x14:cfRule>
          <xm:sqref>I87:I89</xm:sqref>
        </x14:conditionalFormatting>
        <x14:conditionalFormatting xmlns:xm="http://schemas.microsoft.com/office/excel/2006/main">
          <x14:cfRule type="cellIs" priority="479" operator="equal" id="{626C5B8D-62B2-4AB5-99FE-B28ED32E2259}">
            <xm:f>'Modell-Kalibrierung'!$B$16</xm:f>
            <x14:dxf>
              <fill>
                <patternFill>
                  <bgColor theme="0"/>
                </patternFill>
              </fill>
            </x14:dxf>
          </x14:cfRule>
          <xm:sqref>I96:I97</xm:sqref>
        </x14:conditionalFormatting>
        <x14:conditionalFormatting xmlns:xm="http://schemas.microsoft.com/office/excel/2006/main">
          <x14:cfRule type="cellIs" priority="472" operator="equal" id="{09641285-20B3-4DD6-ADB5-A7AD3F27E2CC}">
            <xm:f>'Modell-Kalibrierung'!$B$16</xm:f>
            <x14:dxf>
              <fill>
                <patternFill>
                  <bgColor theme="0"/>
                </patternFill>
              </fill>
            </x14:dxf>
          </x14:cfRule>
          <xm:sqref>I93:I95</xm:sqref>
        </x14:conditionalFormatting>
        <x14:conditionalFormatting xmlns:xm="http://schemas.microsoft.com/office/excel/2006/main">
          <x14:cfRule type="cellIs" priority="465" operator="equal" id="{BA8FB695-E989-4087-8646-9BE3E3FBA288}">
            <xm:f>'Modell-Kalibrierung'!$B$16</xm:f>
            <x14:dxf>
              <fill>
                <patternFill>
                  <bgColor theme="0"/>
                </patternFill>
              </fill>
            </x14:dxf>
          </x14:cfRule>
          <xm:sqref>I102:I103</xm:sqref>
        </x14:conditionalFormatting>
        <x14:conditionalFormatting xmlns:xm="http://schemas.microsoft.com/office/excel/2006/main">
          <x14:cfRule type="cellIs" priority="458" operator="equal" id="{97807271-84B4-41CD-94BD-73D8F5C65F0B}">
            <xm:f>'Modell-Kalibrierung'!$B$16</xm:f>
            <x14:dxf>
              <fill>
                <patternFill>
                  <bgColor theme="0"/>
                </patternFill>
              </fill>
            </x14:dxf>
          </x14:cfRule>
          <xm:sqref>I99:I101</xm:sqref>
        </x14:conditionalFormatting>
        <x14:conditionalFormatting xmlns:xm="http://schemas.microsoft.com/office/excel/2006/main">
          <x14:cfRule type="cellIs" priority="451" operator="equal" id="{593D3090-1C1A-4C2A-8227-650EAC37A140}">
            <xm:f>'Modell-Kalibrierung'!$B$16</xm:f>
            <x14:dxf>
              <fill>
                <patternFill>
                  <bgColor theme="0"/>
                </patternFill>
              </fill>
            </x14:dxf>
          </x14:cfRule>
          <xm:sqref>I108:I109</xm:sqref>
        </x14:conditionalFormatting>
        <x14:conditionalFormatting xmlns:xm="http://schemas.microsoft.com/office/excel/2006/main">
          <x14:cfRule type="cellIs" priority="444" operator="equal" id="{9D0B01C9-6D40-4418-BFD1-6BAACD0D3020}">
            <xm:f>'Modell-Kalibrierung'!$B$16</xm:f>
            <x14:dxf>
              <fill>
                <patternFill>
                  <bgColor theme="0"/>
                </patternFill>
              </fill>
            </x14:dxf>
          </x14:cfRule>
          <xm:sqref>I105:I107</xm:sqref>
        </x14:conditionalFormatting>
        <x14:conditionalFormatting xmlns:xm="http://schemas.microsoft.com/office/excel/2006/main">
          <x14:cfRule type="cellIs" priority="437" operator="equal" id="{BAA6D6F9-C355-40A5-A264-70C9F7B91F26}">
            <xm:f>'Modell-Kalibrierung'!$B$16</xm:f>
            <x14:dxf>
              <fill>
                <patternFill>
                  <bgColor theme="0"/>
                </patternFill>
              </fill>
            </x14:dxf>
          </x14:cfRule>
          <xm:sqref>I114:I115</xm:sqref>
        </x14:conditionalFormatting>
        <x14:conditionalFormatting xmlns:xm="http://schemas.microsoft.com/office/excel/2006/main">
          <x14:cfRule type="cellIs" priority="430" operator="equal" id="{DCF40BA1-44DC-4ABA-959D-839CA9730A70}">
            <xm:f>'Modell-Kalibrierung'!$B$16</xm:f>
            <x14:dxf>
              <fill>
                <patternFill>
                  <bgColor theme="0"/>
                </patternFill>
              </fill>
            </x14:dxf>
          </x14:cfRule>
          <xm:sqref>I111:I113</xm:sqref>
        </x14:conditionalFormatting>
        <x14:conditionalFormatting xmlns:xm="http://schemas.microsoft.com/office/excel/2006/main">
          <x14:cfRule type="cellIs" priority="423" operator="equal" id="{62B298E7-80B4-4D41-89A8-328F3C57A83F}">
            <xm:f>'Modell-Kalibrierung'!$B$16</xm:f>
            <x14:dxf>
              <fill>
                <patternFill>
                  <bgColor theme="0"/>
                </patternFill>
              </fill>
            </x14:dxf>
          </x14:cfRule>
          <xm:sqref>I120:I121</xm:sqref>
        </x14:conditionalFormatting>
        <x14:conditionalFormatting xmlns:xm="http://schemas.microsoft.com/office/excel/2006/main">
          <x14:cfRule type="cellIs" priority="416" operator="equal" id="{85E8FC8E-6350-49CA-98EA-6B5FB26DD308}">
            <xm:f>'Modell-Kalibrierung'!$B$16</xm:f>
            <x14:dxf>
              <fill>
                <patternFill>
                  <bgColor theme="0"/>
                </patternFill>
              </fill>
            </x14:dxf>
          </x14:cfRule>
          <xm:sqref>I117:I119</xm:sqref>
        </x14:conditionalFormatting>
        <x14:conditionalFormatting xmlns:xm="http://schemas.microsoft.com/office/excel/2006/main">
          <x14:cfRule type="cellIs" priority="409" operator="equal" id="{3F91B2BC-B1DB-4DD2-9B56-3738E253C168}">
            <xm:f>'Modell-Kalibrierung'!$B$16</xm:f>
            <x14:dxf>
              <fill>
                <patternFill>
                  <bgColor theme="0"/>
                </patternFill>
              </fill>
            </x14:dxf>
          </x14:cfRule>
          <xm:sqref>G42:G43</xm:sqref>
        </x14:conditionalFormatting>
        <x14:conditionalFormatting xmlns:xm="http://schemas.microsoft.com/office/excel/2006/main">
          <x14:cfRule type="cellIs" priority="402" operator="equal" id="{5EF46565-2550-415A-A80C-5BB0948D26AB}">
            <xm:f>'Modell-Kalibrierung'!$B$16</xm:f>
            <x14:dxf>
              <fill>
                <patternFill>
                  <bgColor theme="0"/>
                </patternFill>
              </fill>
            </x14:dxf>
          </x14:cfRule>
          <xm:sqref>G39:G41</xm:sqref>
        </x14:conditionalFormatting>
        <x14:conditionalFormatting xmlns:xm="http://schemas.microsoft.com/office/excel/2006/main">
          <x14:cfRule type="cellIs" priority="395" operator="equal" id="{4C043596-853B-49E3-AA46-464C8916A1D1}">
            <xm:f>'Modell-Kalibrierung'!$B$16</xm:f>
            <x14:dxf>
              <fill>
                <patternFill>
                  <bgColor theme="0"/>
                </patternFill>
              </fill>
            </x14:dxf>
          </x14:cfRule>
          <xm:sqref>G66:G67</xm:sqref>
        </x14:conditionalFormatting>
        <x14:conditionalFormatting xmlns:xm="http://schemas.microsoft.com/office/excel/2006/main">
          <x14:cfRule type="cellIs" priority="388" operator="equal" id="{9D9A1277-A9C3-40BF-9BCF-DFDA156AD74A}">
            <xm:f>'Modell-Kalibrierung'!$B$16</xm:f>
            <x14:dxf>
              <fill>
                <patternFill>
                  <bgColor theme="0"/>
                </patternFill>
              </fill>
            </x14:dxf>
          </x14:cfRule>
          <xm:sqref>G63:G65</xm:sqref>
        </x14:conditionalFormatting>
        <x14:conditionalFormatting xmlns:xm="http://schemas.microsoft.com/office/excel/2006/main">
          <x14:cfRule type="cellIs" priority="381" operator="equal" id="{CF98536B-D61B-4285-AECC-38A9AF56E28E}">
            <xm:f>'Modell-Kalibrierung'!$B$16</xm:f>
            <x14:dxf>
              <fill>
                <patternFill>
                  <bgColor theme="0"/>
                </patternFill>
              </fill>
            </x14:dxf>
          </x14:cfRule>
          <xm:sqref>G72:G73</xm:sqref>
        </x14:conditionalFormatting>
        <x14:conditionalFormatting xmlns:xm="http://schemas.microsoft.com/office/excel/2006/main">
          <x14:cfRule type="cellIs" priority="374" operator="equal" id="{8684BCEB-E6CC-4EFC-9408-F18DCAB517D3}">
            <xm:f>'Modell-Kalibrierung'!$B$16</xm:f>
            <x14:dxf>
              <fill>
                <patternFill>
                  <bgColor theme="0"/>
                </patternFill>
              </fill>
            </x14:dxf>
          </x14:cfRule>
          <xm:sqref>G69:G71</xm:sqref>
        </x14:conditionalFormatting>
        <x14:conditionalFormatting xmlns:xm="http://schemas.microsoft.com/office/excel/2006/main">
          <x14:cfRule type="cellIs" priority="367" operator="equal" id="{B2A8E89C-9DF2-4638-BA27-7EAC05CD7515}">
            <xm:f>'Modell-Kalibrierung'!$B$16</xm:f>
            <x14:dxf>
              <fill>
                <patternFill>
                  <bgColor theme="0"/>
                </patternFill>
              </fill>
            </x14:dxf>
          </x14:cfRule>
          <xm:sqref>G78:G79</xm:sqref>
        </x14:conditionalFormatting>
        <x14:conditionalFormatting xmlns:xm="http://schemas.microsoft.com/office/excel/2006/main">
          <x14:cfRule type="cellIs" priority="360" operator="equal" id="{B73F955A-2C74-4784-86DC-77C9E5EF9AA2}">
            <xm:f>'Modell-Kalibrierung'!$B$16</xm:f>
            <x14:dxf>
              <fill>
                <patternFill>
                  <bgColor theme="0"/>
                </patternFill>
              </fill>
            </x14:dxf>
          </x14:cfRule>
          <xm:sqref>G75:G77</xm:sqref>
        </x14:conditionalFormatting>
        <x14:conditionalFormatting xmlns:xm="http://schemas.microsoft.com/office/excel/2006/main">
          <x14:cfRule type="cellIs" priority="353" operator="equal" id="{33B714FF-CAC7-42A3-B3E3-2E8E7B5F4943}">
            <xm:f>'Modell-Kalibrierung'!$B$16</xm:f>
            <x14:dxf>
              <fill>
                <patternFill>
                  <bgColor theme="0"/>
                </patternFill>
              </fill>
            </x14:dxf>
          </x14:cfRule>
          <xm:sqref>G84:G85</xm:sqref>
        </x14:conditionalFormatting>
        <x14:conditionalFormatting xmlns:xm="http://schemas.microsoft.com/office/excel/2006/main">
          <x14:cfRule type="cellIs" priority="346" operator="equal" id="{5663A55E-CA4A-429F-974A-0F57C43F10AF}">
            <xm:f>'Modell-Kalibrierung'!$B$16</xm:f>
            <x14:dxf>
              <fill>
                <patternFill>
                  <bgColor theme="0"/>
                </patternFill>
              </fill>
            </x14:dxf>
          </x14:cfRule>
          <xm:sqref>G81:G83</xm:sqref>
        </x14:conditionalFormatting>
        <x14:conditionalFormatting xmlns:xm="http://schemas.microsoft.com/office/excel/2006/main">
          <x14:cfRule type="cellIs" priority="339" operator="equal" id="{BEE63949-EFD0-45CB-B8DB-A1A2726990F8}">
            <xm:f>'Modell-Kalibrierung'!$B$16</xm:f>
            <x14:dxf>
              <fill>
                <patternFill>
                  <bgColor theme="0"/>
                </patternFill>
              </fill>
            </x14:dxf>
          </x14:cfRule>
          <xm:sqref>G90:G91</xm:sqref>
        </x14:conditionalFormatting>
        <x14:conditionalFormatting xmlns:xm="http://schemas.microsoft.com/office/excel/2006/main">
          <x14:cfRule type="cellIs" priority="332" operator="equal" id="{12B1AC56-CB6C-4DBF-9BFE-0CC4D2340E49}">
            <xm:f>'Modell-Kalibrierung'!$B$16</xm:f>
            <x14:dxf>
              <fill>
                <patternFill>
                  <bgColor theme="0"/>
                </patternFill>
              </fill>
            </x14:dxf>
          </x14:cfRule>
          <xm:sqref>G87:G89</xm:sqref>
        </x14:conditionalFormatting>
        <x14:conditionalFormatting xmlns:xm="http://schemas.microsoft.com/office/excel/2006/main">
          <x14:cfRule type="cellIs" priority="325" operator="equal" id="{0180BAE6-24BC-4635-BE88-8D5713C1F68C}">
            <xm:f>'Modell-Kalibrierung'!$B$16</xm:f>
            <x14:dxf>
              <fill>
                <patternFill>
                  <bgColor theme="0"/>
                </patternFill>
              </fill>
            </x14:dxf>
          </x14:cfRule>
          <xm:sqref>G96:G97</xm:sqref>
        </x14:conditionalFormatting>
        <x14:conditionalFormatting xmlns:xm="http://schemas.microsoft.com/office/excel/2006/main">
          <x14:cfRule type="cellIs" priority="318" operator="equal" id="{2D4AF79C-EA6C-4F52-BCF7-5C2AC35D8013}">
            <xm:f>'Modell-Kalibrierung'!$B$16</xm:f>
            <x14:dxf>
              <fill>
                <patternFill>
                  <bgColor theme="0"/>
                </patternFill>
              </fill>
            </x14:dxf>
          </x14:cfRule>
          <xm:sqref>G93:G95</xm:sqref>
        </x14:conditionalFormatting>
        <x14:conditionalFormatting xmlns:xm="http://schemas.microsoft.com/office/excel/2006/main">
          <x14:cfRule type="cellIs" priority="311" operator="equal" id="{634CA94F-5C70-4F27-B5C6-E93CC841581B}">
            <xm:f>'Modell-Kalibrierung'!$B$16</xm:f>
            <x14:dxf>
              <fill>
                <patternFill>
                  <bgColor theme="0"/>
                </patternFill>
              </fill>
            </x14:dxf>
          </x14:cfRule>
          <xm:sqref>G102:G103</xm:sqref>
        </x14:conditionalFormatting>
        <x14:conditionalFormatting xmlns:xm="http://schemas.microsoft.com/office/excel/2006/main">
          <x14:cfRule type="cellIs" priority="304" operator="equal" id="{D9F39CFF-3BE6-40D4-9B4C-5E37AC5158FC}">
            <xm:f>'Modell-Kalibrierung'!$B$16</xm:f>
            <x14:dxf>
              <fill>
                <patternFill>
                  <bgColor theme="0"/>
                </patternFill>
              </fill>
            </x14:dxf>
          </x14:cfRule>
          <xm:sqref>G99:G101</xm:sqref>
        </x14:conditionalFormatting>
        <x14:conditionalFormatting xmlns:xm="http://schemas.microsoft.com/office/excel/2006/main">
          <x14:cfRule type="cellIs" priority="297" operator="equal" id="{F4FD6E18-761F-4AE2-8B5B-9356884F50D1}">
            <xm:f>'Modell-Kalibrierung'!$B$16</xm:f>
            <x14:dxf>
              <fill>
                <patternFill>
                  <bgColor theme="0"/>
                </patternFill>
              </fill>
            </x14:dxf>
          </x14:cfRule>
          <xm:sqref>G108:G109</xm:sqref>
        </x14:conditionalFormatting>
        <x14:conditionalFormatting xmlns:xm="http://schemas.microsoft.com/office/excel/2006/main">
          <x14:cfRule type="cellIs" priority="290" operator="equal" id="{62C35178-7A2B-411A-A8B3-96C3514B76C4}">
            <xm:f>'Modell-Kalibrierung'!$B$16</xm:f>
            <x14:dxf>
              <fill>
                <patternFill>
                  <bgColor theme="0"/>
                </patternFill>
              </fill>
            </x14:dxf>
          </x14:cfRule>
          <xm:sqref>G105:G107</xm:sqref>
        </x14:conditionalFormatting>
        <x14:conditionalFormatting xmlns:xm="http://schemas.microsoft.com/office/excel/2006/main">
          <x14:cfRule type="cellIs" priority="283" operator="equal" id="{DE0CC39B-F86B-43F5-BC0C-C8027E6854C2}">
            <xm:f>'Modell-Kalibrierung'!$B$16</xm:f>
            <x14:dxf>
              <fill>
                <patternFill>
                  <bgColor theme="0"/>
                </patternFill>
              </fill>
            </x14:dxf>
          </x14:cfRule>
          <xm:sqref>G114:G115</xm:sqref>
        </x14:conditionalFormatting>
        <x14:conditionalFormatting xmlns:xm="http://schemas.microsoft.com/office/excel/2006/main">
          <x14:cfRule type="cellIs" priority="276" operator="equal" id="{695648BE-796A-4C25-BAD3-415950201C30}">
            <xm:f>'Modell-Kalibrierung'!$B$16</xm:f>
            <x14:dxf>
              <fill>
                <patternFill>
                  <bgColor theme="0"/>
                </patternFill>
              </fill>
            </x14:dxf>
          </x14:cfRule>
          <xm:sqref>G111:G113</xm:sqref>
        </x14:conditionalFormatting>
        <x14:conditionalFormatting xmlns:xm="http://schemas.microsoft.com/office/excel/2006/main">
          <x14:cfRule type="cellIs" priority="269" operator="equal" id="{27B4D02F-C2B0-4FE2-895B-C4EB5BA6C486}">
            <xm:f>'Modell-Kalibrierung'!$B$16</xm:f>
            <x14:dxf>
              <fill>
                <patternFill>
                  <bgColor theme="0"/>
                </patternFill>
              </fill>
            </x14:dxf>
          </x14:cfRule>
          <xm:sqref>G120:G121</xm:sqref>
        </x14:conditionalFormatting>
        <x14:conditionalFormatting xmlns:xm="http://schemas.microsoft.com/office/excel/2006/main">
          <x14:cfRule type="cellIs" priority="262" operator="equal" id="{658B71C6-335D-4877-A9A6-F865F8245410}">
            <xm:f>'Modell-Kalibrierung'!$B$16</xm:f>
            <x14:dxf>
              <fill>
                <patternFill>
                  <bgColor theme="0"/>
                </patternFill>
              </fill>
            </x14:dxf>
          </x14:cfRule>
          <xm:sqref>G117:G119</xm:sqref>
        </x14:conditionalFormatting>
        <x14:conditionalFormatting xmlns:xm="http://schemas.microsoft.com/office/excel/2006/main">
          <x14:cfRule type="iconSet" priority="792" id="{61021A16-97BF-43ED-8EEE-0262CB3C5C5F}">
            <x14:iconSet iconSet="3TrafficLights2" reverse="1">
              <x14:cfvo type="percent">
                <xm:f>0</xm:f>
              </x14:cfvo>
              <x14:cfvo type="num" gte="0">
                <xm:f>'Modell-Kalibrierung'!$C$18</xm:f>
              </x14:cfvo>
              <x14:cfvo type="num">
                <xm:f>'Modell-Kalibrierung'!$C$20</xm:f>
              </x14:cfvo>
            </x14:iconSet>
          </x14:cfRule>
          <xm:sqref>K33</xm:sqref>
        </x14:conditionalFormatting>
        <x14:conditionalFormatting xmlns:xm="http://schemas.microsoft.com/office/excel/2006/main">
          <x14:cfRule type="cellIs" priority="256" operator="between" id="{F7CF7CEF-A57C-48DF-851B-8FA408C184E4}">
            <xm:f>'Modell-Kalibrierung'!$C$7+1%</xm:f>
            <xm:f>"0Kalibrierung!$E$8"</xm:f>
            <x14:dxf>
              <font>
                <color theme="0"/>
              </font>
              <fill>
                <patternFill>
                  <bgColor theme="5" tint="-0.499984740745262"/>
                </patternFill>
              </fill>
            </x14:dxf>
          </x14:cfRule>
          <x14:cfRule type="cellIs" priority="257" operator="between" id="{CFF8AA10-9017-4459-87DA-20B0A8FB2407}">
            <xm:f>'Modell-Kalibrierung'!$C$6+1%</xm:f>
            <xm:f>"0Kalibrierung!$E$7"</xm:f>
            <x14:dxf>
              <fill>
                <patternFill>
                  <bgColor theme="5" tint="-0.24994659260841701"/>
                </patternFill>
              </fill>
            </x14:dxf>
          </x14:cfRule>
          <x14:cfRule type="cellIs" priority="258" operator="between" id="{F600F87C-AF42-426A-B128-C729008A899D}">
            <xm:f>'Modell-Kalibrierung'!$C$5+1%</xm:f>
            <xm:f>"0Kalibrierung!$E$6"</xm:f>
            <x14:dxf>
              <fill>
                <patternFill>
                  <bgColor theme="5" tint="0.39994506668294322"/>
                </patternFill>
              </fill>
            </x14:dxf>
          </x14:cfRule>
          <x14:cfRule type="cellIs" priority="259" operator="between" id="{B09B1A54-8E01-42AD-882C-4D43040B727A}">
            <xm:f>'Modell-Kalibrierung'!$C$4+1%</xm:f>
            <xm:f>"0Kalibrierung!$E$5"</xm:f>
            <x14:dxf>
              <fill>
                <patternFill>
                  <bgColor theme="5" tint="0.59996337778862885"/>
                </patternFill>
              </fill>
            </x14:dxf>
          </x14:cfRule>
          <x14:cfRule type="cellIs" priority="260" operator="between" id="{D6B40089-BFED-4200-A94C-A62861FCF54F}">
            <xm:f>'Modell-Kalibrierung'!$C$3+1%</xm:f>
            <xm:f>'Modell-Kalibrierung'!$C$4</xm:f>
            <x14:dxf>
              <fill>
                <patternFill>
                  <bgColor theme="5" tint="0.79998168889431442"/>
                </patternFill>
              </fill>
            </x14:dxf>
          </x14:cfRule>
          <x14:cfRule type="cellIs" priority="261" operator="equal" id="{D64B96D6-703F-4227-A264-80D8178D938A}">
            <xm:f>'Modell-Kalibrierung'!$C$3</xm:f>
            <x14:dxf>
              <fill>
                <patternFill>
                  <bgColor theme="0"/>
                </patternFill>
              </fill>
            </x14:dxf>
          </x14:cfRule>
          <xm:sqref>J35</xm:sqref>
        </x14:conditionalFormatting>
        <x14:conditionalFormatting xmlns:xm="http://schemas.microsoft.com/office/excel/2006/main">
          <x14:cfRule type="iconSet" priority="255" id="{A8F7754D-9620-4AC9-8EA2-D665725C4DC3}">
            <x14:iconSet iconSet="3TrafficLights2" reverse="1">
              <x14:cfvo type="percent">
                <xm:f>0</xm:f>
              </x14:cfvo>
              <x14:cfvo type="num" gte="0">
                <xm:f>'Modell-Kalibrierung'!$C$18</xm:f>
              </x14:cfvo>
              <x14:cfvo type="num">
                <xm:f>'Modell-Kalibrierung'!$C$20</xm:f>
              </x14:cfvo>
            </x14:iconSet>
          </x14:cfRule>
          <xm:sqref>K126</xm:sqref>
        </x14:conditionalFormatting>
        <x14:conditionalFormatting xmlns:xm="http://schemas.microsoft.com/office/excel/2006/main">
          <x14:cfRule type="cellIs" priority="249" operator="between" id="{054D4F51-6D39-43B6-8083-2E3B09B7108B}">
            <xm:f>'Modell-Kalibrierung'!$C$7+1%</xm:f>
            <xm:f>"0Kalibrierung!$E$8"</xm:f>
            <x14:dxf>
              <font>
                <color theme="0"/>
              </font>
              <fill>
                <patternFill>
                  <bgColor theme="5" tint="-0.499984740745262"/>
                </patternFill>
              </fill>
            </x14:dxf>
          </x14:cfRule>
          <x14:cfRule type="cellIs" priority="250" operator="between" id="{828172D1-3625-4489-9307-0381E5809C7A}">
            <xm:f>'Modell-Kalibrierung'!$C$6+1%</xm:f>
            <xm:f>"0Kalibrierung!$E$7"</xm:f>
            <x14:dxf>
              <fill>
                <patternFill>
                  <bgColor theme="5" tint="-0.24994659260841701"/>
                </patternFill>
              </fill>
            </x14:dxf>
          </x14:cfRule>
          <x14:cfRule type="cellIs" priority="251" operator="between" id="{DE1865F3-D748-4EB3-879F-2DAFDC832B97}">
            <xm:f>'Modell-Kalibrierung'!$C$5+1%</xm:f>
            <xm:f>"0Kalibrierung!$E$6"</xm:f>
            <x14:dxf>
              <fill>
                <patternFill>
                  <bgColor theme="5" tint="0.39994506668294322"/>
                </patternFill>
              </fill>
            </x14:dxf>
          </x14:cfRule>
          <x14:cfRule type="cellIs" priority="252" operator="between" id="{E44D52E4-EA9D-4000-89AF-7A69984F5885}">
            <xm:f>'Modell-Kalibrierung'!$C$4+1%</xm:f>
            <xm:f>"0Kalibrierung!$E$5"</xm:f>
            <x14:dxf>
              <fill>
                <patternFill>
                  <bgColor theme="5" tint="0.59996337778862885"/>
                </patternFill>
              </fill>
            </x14:dxf>
          </x14:cfRule>
          <x14:cfRule type="cellIs" priority="253" operator="between" id="{32FBD95D-6C50-4BC4-8AED-0AC9F28E2B2B}">
            <xm:f>'Modell-Kalibrierung'!$C$3+1%</xm:f>
            <xm:f>'Modell-Kalibrierung'!$C$4</xm:f>
            <x14:dxf>
              <fill>
                <patternFill>
                  <bgColor theme="5" tint="0.79998168889431442"/>
                </patternFill>
              </fill>
            </x14:dxf>
          </x14:cfRule>
          <x14:cfRule type="cellIs" priority="254" operator="equal" id="{D344AFD8-4853-408A-A494-BF29820F6519}">
            <xm:f>'Modell-Kalibrierung'!$C$3</xm:f>
            <x14:dxf>
              <fill>
                <patternFill>
                  <bgColor theme="0"/>
                </patternFill>
              </fill>
            </x14:dxf>
          </x14:cfRule>
          <xm:sqref>J126</xm:sqref>
        </x14:conditionalFormatting>
        <x14:conditionalFormatting xmlns:xm="http://schemas.microsoft.com/office/excel/2006/main">
          <x14:cfRule type="iconSet" priority="248" id="{43B55FA9-2F06-4DCB-A441-D3F5033548BF}">
            <x14:iconSet iconSet="3TrafficLights2" reverse="1">
              <x14:cfvo type="percent">
                <xm:f>0</xm:f>
              </x14:cfvo>
              <x14:cfvo type="num" gte="0">
                <xm:f>'Modell-Kalibrierung'!$C$18</xm:f>
              </x14:cfvo>
              <x14:cfvo type="num">
                <xm:f>'Modell-Kalibrierung'!$C$20</xm:f>
              </x14:cfvo>
            </x14:iconSet>
          </x14:cfRule>
          <xm:sqref>K133</xm:sqref>
        </x14:conditionalFormatting>
        <x14:conditionalFormatting xmlns:xm="http://schemas.microsoft.com/office/excel/2006/main">
          <x14:cfRule type="cellIs" priority="242" operator="between" id="{AD7A0408-4BC8-4857-BA8A-41CDE3C85D7D}">
            <xm:f>'Modell-Kalibrierung'!$C$7+1%</xm:f>
            <xm:f>"0Kalibrierung!$E$8"</xm:f>
            <x14:dxf>
              <font>
                <color theme="0"/>
              </font>
              <fill>
                <patternFill>
                  <bgColor theme="5" tint="-0.499984740745262"/>
                </patternFill>
              </fill>
            </x14:dxf>
          </x14:cfRule>
          <x14:cfRule type="cellIs" priority="243" operator="between" id="{8777B1BC-4BD5-45C1-BF9C-B250A9EDB1E5}">
            <xm:f>'Modell-Kalibrierung'!$C$6+1%</xm:f>
            <xm:f>"0Kalibrierung!$E$7"</xm:f>
            <x14:dxf>
              <fill>
                <patternFill>
                  <bgColor theme="5" tint="-0.24994659260841701"/>
                </patternFill>
              </fill>
            </x14:dxf>
          </x14:cfRule>
          <x14:cfRule type="cellIs" priority="244" operator="between" id="{3C0425D4-5932-42CB-BFA7-EC2932BC6D22}">
            <xm:f>'Modell-Kalibrierung'!$C$5+1%</xm:f>
            <xm:f>"0Kalibrierung!$E$6"</xm:f>
            <x14:dxf>
              <fill>
                <patternFill>
                  <bgColor theme="5" tint="0.39994506668294322"/>
                </patternFill>
              </fill>
            </x14:dxf>
          </x14:cfRule>
          <x14:cfRule type="cellIs" priority="245" operator="between" id="{2896330E-DAB4-4B7E-8A09-E5E2A8F47160}">
            <xm:f>'Modell-Kalibrierung'!$C$4+1%</xm:f>
            <xm:f>"0Kalibrierung!$E$5"</xm:f>
            <x14:dxf>
              <fill>
                <patternFill>
                  <bgColor theme="5" tint="0.59996337778862885"/>
                </patternFill>
              </fill>
            </x14:dxf>
          </x14:cfRule>
          <x14:cfRule type="cellIs" priority="246" operator="between" id="{E3953A7F-563B-48F7-ACBC-6A58D0F5EEBE}">
            <xm:f>'Modell-Kalibrierung'!$C$3+1%</xm:f>
            <xm:f>'Modell-Kalibrierung'!$C$4</xm:f>
            <x14:dxf>
              <fill>
                <patternFill>
                  <bgColor theme="5" tint="0.79998168889431442"/>
                </patternFill>
              </fill>
            </x14:dxf>
          </x14:cfRule>
          <x14:cfRule type="cellIs" priority="247" operator="equal" id="{18B45631-E953-44DD-B1F1-F016C74C2332}">
            <xm:f>'Modell-Kalibrierung'!$C$3</xm:f>
            <x14:dxf>
              <fill>
                <patternFill>
                  <bgColor theme="0"/>
                </patternFill>
              </fill>
            </x14:dxf>
          </x14:cfRule>
          <xm:sqref>J133</xm:sqref>
        </x14:conditionalFormatting>
        <x14:conditionalFormatting xmlns:xm="http://schemas.microsoft.com/office/excel/2006/main">
          <x14:cfRule type="iconSet" priority="241" id="{F0FD6D34-DE54-4C7E-AE7B-09AC10A8A103}">
            <x14:iconSet iconSet="3TrafficLights2" reverse="1">
              <x14:cfvo type="percent">
                <xm:f>0</xm:f>
              </x14:cfvo>
              <x14:cfvo type="num" gte="0">
                <xm:f>'Modell-Kalibrierung'!$C$18</xm:f>
              </x14:cfvo>
              <x14:cfvo type="num">
                <xm:f>'Modell-Kalibrierung'!$C$20</xm:f>
              </x14:cfvo>
            </x14:iconSet>
          </x14:cfRule>
          <xm:sqref>K140</xm:sqref>
        </x14:conditionalFormatting>
        <x14:conditionalFormatting xmlns:xm="http://schemas.microsoft.com/office/excel/2006/main">
          <x14:cfRule type="cellIs" priority="235" operator="between" id="{0BF1A69E-4EA9-4CEB-B228-85E85357CAED}">
            <xm:f>'Modell-Kalibrierung'!$C$7+1%</xm:f>
            <xm:f>"0Kalibrierung!$E$8"</xm:f>
            <x14:dxf>
              <font>
                <color theme="0"/>
              </font>
              <fill>
                <patternFill>
                  <bgColor theme="5" tint="-0.499984740745262"/>
                </patternFill>
              </fill>
            </x14:dxf>
          </x14:cfRule>
          <x14:cfRule type="cellIs" priority="236" operator="between" id="{C4FF8901-ED4A-4F5B-AAF9-046262926D52}">
            <xm:f>'Modell-Kalibrierung'!$C$6+1%</xm:f>
            <xm:f>"0Kalibrierung!$E$7"</xm:f>
            <x14:dxf>
              <fill>
                <patternFill>
                  <bgColor theme="5" tint="-0.24994659260841701"/>
                </patternFill>
              </fill>
            </x14:dxf>
          </x14:cfRule>
          <x14:cfRule type="cellIs" priority="237" operator="between" id="{32C54C94-A203-4759-8F8F-C48D02D8DB9C}">
            <xm:f>'Modell-Kalibrierung'!$C$5+1%</xm:f>
            <xm:f>"0Kalibrierung!$E$6"</xm:f>
            <x14:dxf>
              <fill>
                <patternFill>
                  <bgColor theme="5" tint="0.39994506668294322"/>
                </patternFill>
              </fill>
            </x14:dxf>
          </x14:cfRule>
          <x14:cfRule type="cellIs" priority="238" operator="between" id="{12D5F4DC-54BB-4FA5-9742-5B922230D0BF}">
            <xm:f>'Modell-Kalibrierung'!$C$4+1%</xm:f>
            <xm:f>"0Kalibrierung!$E$5"</xm:f>
            <x14:dxf>
              <fill>
                <patternFill>
                  <bgColor theme="5" tint="0.59996337778862885"/>
                </patternFill>
              </fill>
            </x14:dxf>
          </x14:cfRule>
          <x14:cfRule type="cellIs" priority="239" operator="between" id="{7B08176C-9F80-4DBB-B86D-0556A033791F}">
            <xm:f>'Modell-Kalibrierung'!$C$3+1%</xm:f>
            <xm:f>'Modell-Kalibrierung'!$C$4</xm:f>
            <x14:dxf>
              <fill>
                <patternFill>
                  <bgColor theme="5" tint="0.79998168889431442"/>
                </patternFill>
              </fill>
            </x14:dxf>
          </x14:cfRule>
          <x14:cfRule type="cellIs" priority="240" operator="equal" id="{0464903A-374C-416D-B4F9-43D3EECA1616}">
            <xm:f>'Modell-Kalibrierung'!$C$3</xm:f>
            <x14:dxf>
              <fill>
                <patternFill>
                  <bgColor theme="0"/>
                </patternFill>
              </fill>
            </x14:dxf>
          </x14:cfRule>
          <xm:sqref>J140</xm:sqref>
        </x14:conditionalFormatting>
        <x14:conditionalFormatting xmlns:xm="http://schemas.microsoft.com/office/excel/2006/main">
          <x14:cfRule type="iconSet" priority="234" id="{65509179-3ECF-4EDD-9CBB-A22CF4A3EE7F}">
            <x14:iconSet iconSet="3TrafficLights2" reverse="1">
              <x14:cfvo type="percent">
                <xm:f>0</xm:f>
              </x14:cfvo>
              <x14:cfvo type="num" gte="0">
                <xm:f>'Modell-Kalibrierung'!$C$18</xm:f>
              </x14:cfvo>
              <x14:cfvo type="num">
                <xm:f>'Modell-Kalibrierung'!$C$20</xm:f>
              </x14:cfvo>
            </x14:iconSet>
          </x14:cfRule>
          <xm:sqref>K34</xm:sqref>
        </x14:conditionalFormatting>
        <x14:conditionalFormatting xmlns:xm="http://schemas.microsoft.com/office/excel/2006/main">
          <x14:cfRule type="iconSet" priority="233" id="{A815D956-0A6D-4151-A867-10B26414840E}">
            <x14:iconSet iconSet="3TrafficLights2" reverse="1">
              <x14:cfvo type="percent">
                <xm:f>0</xm:f>
              </x14:cfvo>
              <x14:cfvo type="num" gte="0">
                <xm:f>'Modell-Kalibrierung'!$C$18</xm:f>
              </x14:cfvo>
              <x14:cfvo type="num">
                <xm:f>'Modell-Kalibrierung'!$C$20</xm:f>
              </x14:cfvo>
            </x14:iconSet>
          </x14:cfRule>
          <xm:sqref>K35</xm:sqref>
        </x14:conditionalFormatting>
        <x14:conditionalFormatting xmlns:xm="http://schemas.microsoft.com/office/excel/2006/main">
          <x14:cfRule type="iconSet" priority="232" id="{3A56E587-6D60-462C-B2C9-409CEE3F504F}">
            <x14:iconSet iconSet="3TrafficLights2" reverse="1">
              <x14:cfvo type="percent">
                <xm:f>0</xm:f>
              </x14:cfvo>
              <x14:cfvo type="num" gte="0">
                <xm:f>'Modell-Kalibrierung'!$C$18</xm:f>
              </x14:cfvo>
              <x14:cfvo type="num">
                <xm:f>'Modell-Kalibrierung'!$C$20</xm:f>
              </x14:cfvo>
            </x14:iconSet>
          </x14:cfRule>
          <xm:sqref>K36</xm:sqref>
        </x14:conditionalFormatting>
        <x14:conditionalFormatting xmlns:xm="http://schemas.microsoft.com/office/excel/2006/main">
          <x14:cfRule type="iconSet" priority="231" id="{8183E058-05E0-4FC4-B0E3-0A6AFEEE4772}">
            <x14:iconSet iconSet="3TrafficLights2" reverse="1">
              <x14:cfvo type="percent">
                <xm:f>0</xm:f>
              </x14:cfvo>
              <x14:cfvo type="num" gte="0">
                <xm:f>'Modell-Kalibrierung'!$C$18</xm:f>
              </x14:cfvo>
              <x14:cfvo type="num">
                <xm:f>'Modell-Kalibrierung'!$C$20</xm:f>
              </x14:cfvo>
            </x14:iconSet>
          </x14:cfRule>
          <xm:sqref>K37</xm:sqref>
        </x14:conditionalFormatting>
        <x14:conditionalFormatting xmlns:xm="http://schemas.microsoft.com/office/excel/2006/main">
          <x14:cfRule type="iconSet" priority="230" id="{3B23E451-682A-471C-B468-97BC2D9FC2E6}">
            <x14:iconSet iconSet="3TrafficLights2" reverse="1">
              <x14:cfvo type="percent">
                <xm:f>0</xm:f>
              </x14:cfvo>
              <x14:cfvo type="num" gte="0">
                <xm:f>'Modell-Kalibrierung'!$C$18</xm:f>
              </x14:cfvo>
              <x14:cfvo type="num">
                <xm:f>'Modell-Kalibrierung'!$C$20</xm:f>
              </x14:cfvo>
            </x14:iconSet>
          </x14:cfRule>
          <xm:sqref>K39</xm:sqref>
        </x14:conditionalFormatting>
        <x14:conditionalFormatting xmlns:xm="http://schemas.microsoft.com/office/excel/2006/main">
          <x14:cfRule type="iconSet" priority="229" id="{DEA6AD50-D4CD-49C2-93A0-2B203B15636C}">
            <x14:iconSet iconSet="3TrafficLights2" reverse="1">
              <x14:cfvo type="percent">
                <xm:f>0</xm:f>
              </x14:cfvo>
              <x14:cfvo type="num" gte="0">
                <xm:f>'Modell-Kalibrierung'!$C$18</xm:f>
              </x14:cfvo>
              <x14:cfvo type="num">
                <xm:f>'Modell-Kalibrierung'!$C$20</xm:f>
              </x14:cfvo>
            </x14:iconSet>
          </x14:cfRule>
          <xm:sqref>K40</xm:sqref>
        </x14:conditionalFormatting>
        <x14:conditionalFormatting xmlns:xm="http://schemas.microsoft.com/office/excel/2006/main">
          <x14:cfRule type="iconSet" priority="228" id="{1D48F5D8-8EFD-45BF-87EB-30FFE8BB757F}">
            <x14:iconSet iconSet="3TrafficLights2" reverse="1">
              <x14:cfvo type="percent">
                <xm:f>0</xm:f>
              </x14:cfvo>
              <x14:cfvo type="num" gte="0">
                <xm:f>'Modell-Kalibrierung'!$C$18</xm:f>
              </x14:cfvo>
              <x14:cfvo type="num">
                <xm:f>'Modell-Kalibrierung'!$C$20</xm:f>
              </x14:cfvo>
            </x14:iconSet>
          </x14:cfRule>
          <xm:sqref>K41</xm:sqref>
        </x14:conditionalFormatting>
        <x14:conditionalFormatting xmlns:xm="http://schemas.microsoft.com/office/excel/2006/main">
          <x14:cfRule type="iconSet" priority="227" id="{7FAB7169-58CF-48AA-9F3F-E807217EF29C}">
            <x14:iconSet iconSet="3TrafficLights2" reverse="1">
              <x14:cfvo type="percent">
                <xm:f>0</xm:f>
              </x14:cfvo>
              <x14:cfvo type="num" gte="0">
                <xm:f>'Modell-Kalibrierung'!$C$18</xm:f>
              </x14:cfvo>
              <x14:cfvo type="num">
                <xm:f>'Modell-Kalibrierung'!$C$20</xm:f>
              </x14:cfvo>
            </x14:iconSet>
          </x14:cfRule>
          <xm:sqref>K42</xm:sqref>
        </x14:conditionalFormatting>
        <x14:conditionalFormatting xmlns:xm="http://schemas.microsoft.com/office/excel/2006/main">
          <x14:cfRule type="iconSet" priority="226" id="{EF1C0CDE-BED4-4773-A819-A650513F7D17}">
            <x14:iconSet iconSet="3TrafficLights2" reverse="1">
              <x14:cfvo type="percent">
                <xm:f>0</xm:f>
              </x14:cfvo>
              <x14:cfvo type="num" gte="0">
                <xm:f>'Modell-Kalibrierung'!$C$18</xm:f>
              </x14:cfvo>
              <x14:cfvo type="num">
                <xm:f>'Modell-Kalibrierung'!$C$20</xm:f>
              </x14:cfvo>
            </x14:iconSet>
          </x14:cfRule>
          <xm:sqref>K43</xm:sqref>
        </x14:conditionalFormatting>
        <x14:conditionalFormatting xmlns:xm="http://schemas.microsoft.com/office/excel/2006/main">
          <x14:cfRule type="iconSet" priority="225" id="{0B55CF60-FCD4-4C93-8B41-E6555B6046BD}">
            <x14:iconSet iconSet="3TrafficLights2" reverse="1">
              <x14:cfvo type="percent">
                <xm:f>0</xm:f>
              </x14:cfvo>
              <x14:cfvo type="num" gte="0">
                <xm:f>'Modell-Kalibrierung'!$C$18</xm:f>
              </x14:cfvo>
              <x14:cfvo type="num">
                <xm:f>'Modell-Kalibrierung'!$C$20</xm:f>
              </x14:cfvo>
            </x14:iconSet>
          </x14:cfRule>
          <xm:sqref>K45</xm:sqref>
        </x14:conditionalFormatting>
        <x14:conditionalFormatting xmlns:xm="http://schemas.microsoft.com/office/excel/2006/main">
          <x14:cfRule type="iconSet" priority="224" id="{A4D6EA67-6F6E-48B0-9F0F-54FDAE3732C8}">
            <x14:iconSet iconSet="3TrafficLights2" reverse="1">
              <x14:cfvo type="percent">
                <xm:f>0</xm:f>
              </x14:cfvo>
              <x14:cfvo type="num" gte="0">
                <xm:f>'Modell-Kalibrierung'!$C$18</xm:f>
              </x14:cfvo>
              <x14:cfvo type="num">
                <xm:f>'Modell-Kalibrierung'!$C$20</xm:f>
              </x14:cfvo>
            </x14:iconSet>
          </x14:cfRule>
          <xm:sqref>K46</xm:sqref>
        </x14:conditionalFormatting>
        <x14:conditionalFormatting xmlns:xm="http://schemas.microsoft.com/office/excel/2006/main">
          <x14:cfRule type="iconSet" priority="223" id="{56D8DD8B-A847-4894-A4CB-7E663076C837}">
            <x14:iconSet iconSet="3TrafficLights2" reverse="1">
              <x14:cfvo type="percent">
                <xm:f>0</xm:f>
              </x14:cfvo>
              <x14:cfvo type="num" gte="0">
                <xm:f>'Modell-Kalibrierung'!$C$18</xm:f>
              </x14:cfvo>
              <x14:cfvo type="num">
                <xm:f>'Modell-Kalibrierung'!$C$20</xm:f>
              </x14:cfvo>
            </x14:iconSet>
          </x14:cfRule>
          <xm:sqref>K47</xm:sqref>
        </x14:conditionalFormatting>
        <x14:conditionalFormatting xmlns:xm="http://schemas.microsoft.com/office/excel/2006/main">
          <x14:cfRule type="iconSet" priority="222" id="{DF781106-964A-47D0-AE46-14DF18AF27D1}">
            <x14:iconSet iconSet="3TrafficLights2" reverse="1">
              <x14:cfvo type="percent">
                <xm:f>0</xm:f>
              </x14:cfvo>
              <x14:cfvo type="num" gte="0">
                <xm:f>'Modell-Kalibrierung'!$C$18</xm:f>
              </x14:cfvo>
              <x14:cfvo type="num">
                <xm:f>'Modell-Kalibrierung'!$C$20</xm:f>
              </x14:cfvo>
            </x14:iconSet>
          </x14:cfRule>
          <xm:sqref>K48</xm:sqref>
        </x14:conditionalFormatting>
        <x14:conditionalFormatting xmlns:xm="http://schemas.microsoft.com/office/excel/2006/main">
          <x14:cfRule type="iconSet" priority="221" id="{3B782EDB-4455-4029-8808-3D858DB4BABC}">
            <x14:iconSet iconSet="3TrafficLights2" reverse="1">
              <x14:cfvo type="percent">
                <xm:f>0</xm:f>
              </x14:cfvo>
              <x14:cfvo type="num" gte="0">
                <xm:f>'Modell-Kalibrierung'!$C$18</xm:f>
              </x14:cfvo>
              <x14:cfvo type="num">
                <xm:f>'Modell-Kalibrierung'!$C$20</xm:f>
              </x14:cfvo>
            </x14:iconSet>
          </x14:cfRule>
          <xm:sqref>K49</xm:sqref>
        </x14:conditionalFormatting>
        <x14:conditionalFormatting xmlns:xm="http://schemas.microsoft.com/office/excel/2006/main">
          <x14:cfRule type="iconSet" priority="220" id="{68D0E82E-F08B-4C27-9FE6-77247BB6A4F2}">
            <x14:iconSet iconSet="3TrafficLights2" reverse="1">
              <x14:cfvo type="percent">
                <xm:f>0</xm:f>
              </x14:cfvo>
              <x14:cfvo type="num" gte="0">
                <xm:f>'Modell-Kalibrierung'!$C$18</xm:f>
              </x14:cfvo>
              <x14:cfvo type="num">
                <xm:f>'Modell-Kalibrierung'!$C$20</xm:f>
              </x14:cfvo>
            </x14:iconSet>
          </x14:cfRule>
          <xm:sqref>K51</xm:sqref>
        </x14:conditionalFormatting>
        <x14:conditionalFormatting xmlns:xm="http://schemas.microsoft.com/office/excel/2006/main">
          <x14:cfRule type="iconSet" priority="219" id="{842214B5-5294-42B7-BA09-7E05AC5E8336}">
            <x14:iconSet iconSet="3TrafficLights2" reverse="1">
              <x14:cfvo type="percent">
                <xm:f>0</xm:f>
              </x14:cfvo>
              <x14:cfvo type="num" gte="0">
                <xm:f>'Modell-Kalibrierung'!$C$18</xm:f>
              </x14:cfvo>
              <x14:cfvo type="num">
                <xm:f>'Modell-Kalibrierung'!$C$20</xm:f>
              </x14:cfvo>
            </x14:iconSet>
          </x14:cfRule>
          <xm:sqref>K52</xm:sqref>
        </x14:conditionalFormatting>
        <x14:conditionalFormatting xmlns:xm="http://schemas.microsoft.com/office/excel/2006/main">
          <x14:cfRule type="iconSet" priority="218" id="{12432641-682E-4C91-BDF3-300B2908E6EE}">
            <x14:iconSet iconSet="3TrafficLights2" reverse="1">
              <x14:cfvo type="percent">
                <xm:f>0</xm:f>
              </x14:cfvo>
              <x14:cfvo type="num" gte="0">
                <xm:f>'Modell-Kalibrierung'!$C$18</xm:f>
              </x14:cfvo>
              <x14:cfvo type="num">
                <xm:f>'Modell-Kalibrierung'!$C$20</xm:f>
              </x14:cfvo>
            </x14:iconSet>
          </x14:cfRule>
          <xm:sqref>K53</xm:sqref>
        </x14:conditionalFormatting>
        <x14:conditionalFormatting xmlns:xm="http://schemas.microsoft.com/office/excel/2006/main">
          <x14:cfRule type="iconSet" priority="217" id="{3519A94B-136E-4A09-9763-CB1B2AA6B933}">
            <x14:iconSet iconSet="3TrafficLights2" reverse="1">
              <x14:cfvo type="percent">
                <xm:f>0</xm:f>
              </x14:cfvo>
              <x14:cfvo type="num" gte="0">
                <xm:f>'Modell-Kalibrierung'!$C$18</xm:f>
              </x14:cfvo>
              <x14:cfvo type="num">
                <xm:f>'Modell-Kalibrierung'!$C$20</xm:f>
              </x14:cfvo>
            </x14:iconSet>
          </x14:cfRule>
          <xm:sqref>K54</xm:sqref>
        </x14:conditionalFormatting>
        <x14:conditionalFormatting xmlns:xm="http://schemas.microsoft.com/office/excel/2006/main">
          <x14:cfRule type="iconSet" priority="216" id="{9E1454F1-CEEE-4185-A54C-B756845489D1}">
            <x14:iconSet iconSet="3TrafficLights2" reverse="1">
              <x14:cfvo type="percent">
                <xm:f>0</xm:f>
              </x14:cfvo>
              <x14:cfvo type="num" gte="0">
                <xm:f>'Modell-Kalibrierung'!$C$18</xm:f>
              </x14:cfvo>
              <x14:cfvo type="num">
                <xm:f>'Modell-Kalibrierung'!$C$20</xm:f>
              </x14:cfvo>
            </x14:iconSet>
          </x14:cfRule>
          <xm:sqref>K55</xm:sqref>
        </x14:conditionalFormatting>
        <x14:conditionalFormatting xmlns:xm="http://schemas.microsoft.com/office/excel/2006/main">
          <x14:cfRule type="iconSet" priority="215" id="{0800F879-A2DF-4027-8463-526B179693CC}">
            <x14:iconSet iconSet="3TrafficLights2" reverse="1">
              <x14:cfvo type="percent">
                <xm:f>0</xm:f>
              </x14:cfvo>
              <x14:cfvo type="num" gte="0">
                <xm:f>'Modell-Kalibrierung'!$C$18</xm:f>
              </x14:cfvo>
              <x14:cfvo type="num">
                <xm:f>'Modell-Kalibrierung'!$C$20</xm:f>
              </x14:cfvo>
            </x14:iconSet>
          </x14:cfRule>
          <xm:sqref>K57</xm:sqref>
        </x14:conditionalFormatting>
        <x14:conditionalFormatting xmlns:xm="http://schemas.microsoft.com/office/excel/2006/main">
          <x14:cfRule type="iconSet" priority="214" id="{4C1475D7-C87D-4D9A-8518-193119072AF5}">
            <x14:iconSet iconSet="3TrafficLights2" reverse="1">
              <x14:cfvo type="percent">
                <xm:f>0</xm:f>
              </x14:cfvo>
              <x14:cfvo type="num" gte="0">
                <xm:f>'Modell-Kalibrierung'!$C$18</xm:f>
              </x14:cfvo>
              <x14:cfvo type="num">
                <xm:f>'Modell-Kalibrierung'!$C$20</xm:f>
              </x14:cfvo>
            </x14:iconSet>
          </x14:cfRule>
          <xm:sqref>K58</xm:sqref>
        </x14:conditionalFormatting>
        <x14:conditionalFormatting xmlns:xm="http://schemas.microsoft.com/office/excel/2006/main">
          <x14:cfRule type="iconSet" priority="213" id="{C6A6ABED-6D1F-49A6-BB71-4BD3E2E4A704}">
            <x14:iconSet iconSet="3TrafficLights2" reverse="1">
              <x14:cfvo type="percent">
                <xm:f>0</xm:f>
              </x14:cfvo>
              <x14:cfvo type="num" gte="0">
                <xm:f>'Modell-Kalibrierung'!$C$18</xm:f>
              </x14:cfvo>
              <x14:cfvo type="num">
                <xm:f>'Modell-Kalibrierung'!$C$20</xm:f>
              </x14:cfvo>
            </x14:iconSet>
          </x14:cfRule>
          <xm:sqref>K59</xm:sqref>
        </x14:conditionalFormatting>
        <x14:conditionalFormatting xmlns:xm="http://schemas.microsoft.com/office/excel/2006/main">
          <x14:cfRule type="iconSet" priority="212" id="{998120FE-1DD2-4B7A-ACFC-23231C39F5F7}">
            <x14:iconSet iconSet="3TrafficLights2" reverse="1">
              <x14:cfvo type="percent">
                <xm:f>0</xm:f>
              </x14:cfvo>
              <x14:cfvo type="num" gte="0">
                <xm:f>'Modell-Kalibrierung'!$C$18</xm:f>
              </x14:cfvo>
              <x14:cfvo type="num">
                <xm:f>'Modell-Kalibrierung'!$C$20</xm:f>
              </x14:cfvo>
            </x14:iconSet>
          </x14:cfRule>
          <xm:sqref>K60</xm:sqref>
        </x14:conditionalFormatting>
        <x14:conditionalFormatting xmlns:xm="http://schemas.microsoft.com/office/excel/2006/main">
          <x14:cfRule type="iconSet" priority="211" id="{54B448FF-0687-4C10-8328-3D28E29AAF84}">
            <x14:iconSet iconSet="3TrafficLights2" reverse="1">
              <x14:cfvo type="percent">
                <xm:f>0</xm:f>
              </x14:cfvo>
              <x14:cfvo type="num" gte="0">
                <xm:f>'Modell-Kalibrierung'!$C$18</xm:f>
              </x14:cfvo>
              <x14:cfvo type="num">
                <xm:f>'Modell-Kalibrierung'!$C$20</xm:f>
              </x14:cfvo>
            </x14:iconSet>
          </x14:cfRule>
          <xm:sqref>K61</xm:sqref>
        </x14:conditionalFormatting>
        <x14:conditionalFormatting xmlns:xm="http://schemas.microsoft.com/office/excel/2006/main">
          <x14:cfRule type="iconSet" priority="210" id="{5005FEEB-22B1-4407-A353-748C4440287E}">
            <x14:iconSet iconSet="3TrafficLights2" reverse="1">
              <x14:cfvo type="percent">
                <xm:f>0</xm:f>
              </x14:cfvo>
              <x14:cfvo type="num" gte="0">
                <xm:f>'Modell-Kalibrierung'!$C$18</xm:f>
              </x14:cfvo>
              <x14:cfvo type="num">
                <xm:f>'Modell-Kalibrierung'!$C$20</xm:f>
              </x14:cfvo>
            </x14:iconSet>
          </x14:cfRule>
          <xm:sqref>K63</xm:sqref>
        </x14:conditionalFormatting>
        <x14:conditionalFormatting xmlns:xm="http://schemas.microsoft.com/office/excel/2006/main">
          <x14:cfRule type="iconSet" priority="209" id="{AF51EB56-A956-4FDE-B0F3-FFE761F287E0}">
            <x14:iconSet iconSet="3TrafficLights2" reverse="1">
              <x14:cfvo type="percent">
                <xm:f>0</xm:f>
              </x14:cfvo>
              <x14:cfvo type="num" gte="0">
                <xm:f>'Modell-Kalibrierung'!$C$18</xm:f>
              </x14:cfvo>
              <x14:cfvo type="num">
                <xm:f>'Modell-Kalibrierung'!$C$20</xm:f>
              </x14:cfvo>
            </x14:iconSet>
          </x14:cfRule>
          <xm:sqref>K64</xm:sqref>
        </x14:conditionalFormatting>
        <x14:conditionalFormatting xmlns:xm="http://schemas.microsoft.com/office/excel/2006/main">
          <x14:cfRule type="iconSet" priority="208" id="{E8FC488F-B37B-4ED7-B8C7-436054D6D178}">
            <x14:iconSet iconSet="3TrafficLights2" reverse="1">
              <x14:cfvo type="percent">
                <xm:f>0</xm:f>
              </x14:cfvo>
              <x14:cfvo type="num" gte="0">
                <xm:f>'Modell-Kalibrierung'!$C$18</xm:f>
              </x14:cfvo>
              <x14:cfvo type="num">
                <xm:f>'Modell-Kalibrierung'!$C$20</xm:f>
              </x14:cfvo>
            </x14:iconSet>
          </x14:cfRule>
          <xm:sqref>K65</xm:sqref>
        </x14:conditionalFormatting>
        <x14:conditionalFormatting xmlns:xm="http://schemas.microsoft.com/office/excel/2006/main">
          <x14:cfRule type="iconSet" priority="207" id="{CA9ABDBD-01FF-4C32-B27D-17701B7E65DE}">
            <x14:iconSet iconSet="3TrafficLights2" reverse="1">
              <x14:cfvo type="percent">
                <xm:f>0</xm:f>
              </x14:cfvo>
              <x14:cfvo type="num" gte="0">
                <xm:f>'Modell-Kalibrierung'!$C$18</xm:f>
              </x14:cfvo>
              <x14:cfvo type="num">
                <xm:f>'Modell-Kalibrierung'!$C$20</xm:f>
              </x14:cfvo>
            </x14:iconSet>
          </x14:cfRule>
          <xm:sqref>K66</xm:sqref>
        </x14:conditionalFormatting>
        <x14:conditionalFormatting xmlns:xm="http://schemas.microsoft.com/office/excel/2006/main">
          <x14:cfRule type="iconSet" priority="206" id="{12A33A47-D247-411E-9786-156141E4EA41}">
            <x14:iconSet iconSet="3TrafficLights2" reverse="1">
              <x14:cfvo type="percent">
                <xm:f>0</xm:f>
              </x14:cfvo>
              <x14:cfvo type="num" gte="0">
                <xm:f>'Modell-Kalibrierung'!$C$18</xm:f>
              </x14:cfvo>
              <x14:cfvo type="num">
                <xm:f>'Modell-Kalibrierung'!$C$20</xm:f>
              </x14:cfvo>
            </x14:iconSet>
          </x14:cfRule>
          <xm:sqref>K67</xm:sqref>
        </x14:conditionalFormatting>
        <x14:conditionalFormatting xmlns:xm="http://schemas.microsoft.com/office/excel/2006/main">
          <x14:cfRule type="iconSet" priority="205" id="{3B5675BC-CE8C-4685-9032-9B5D5859613E}">
            <x14:iconSet iconSet="3TrafficLights2" reverse="1">
              <x14:cfvo type="percent">
                <xm:f>0</xm:f>
              </x14:cfvo>
              <x14:cfvo type="num" gte="0">
                <xm:f>'Modell-Kalibrierung'!$C$18</xm:f>
              </x14:cfvo>
              <x14:cfvo type="num">
                <xm:f>'Modell-Kalibrierung'!$C$20</xm:f>
              </x14:cfvo>
            </x14:iconSet>
          </x14:cfRule>
          <xm:sqref>K69</xm:sqref>
        </x14:conditionalFormatting>
        <x14:conditionalFormatting xmlns:xm="http://schemas.microsoft.com/office/excel/2006/main">
          <x14:cfRule type="iconSet" priority="204" id="{AB2CF449-8344-4034-8374-D243D0B442D1}">
            <x14:iconSet iconSet="3TrafficLights2" reverse="1">
              <x14:cfvo type="percent">
                <xm:f>0</xm:f>
              </x14:cfvo>
              <x14:cfvo type="num" gte="0">
                <xm:f>'Modell-Kalibrierung'!$C$18</xm:f>
              </x14:cfvo>
              <x14:cfvo type="num">
                <xm:f>'Modell-Kalibrierung'!$C$20</xm:f>
              </x14:cfvo>
            </x14:iconSet>
          </x14:cfRule>
          <xm:sqref>K70</xm:sqref>
        </x14:conditionalFormatting>
        <x14:conditionalFormatting xmlns:xm="http://schemas.microsoft.com/office/excel/2006/main">
          <x14:cfRule type="iconSet" priority="203" id="{29807692-226A-43EB-8654-E965B56F9150}">
            <x14:iconSet iconSet="3TrafficLights2" reverse="1">
              <x14:cfvo type="percent">
                <xm:f>0</xm:f>
              </x14:cfvo>
              <x14:cfvo type="num" gte="0">
                <xm:f>'Modell-Kalibrierung'!$C$18</xm:f>
              </x14:cfvo>
              <x14:cfvo type="num">
                <xm:f>'Modell-Kalibrierung'!$C$20</xm:f>
              </x14:cfvo>
            </x14:iconSet>
          </x14:cfRule>
          <xm:sqref>K71</xm:sqref>
        </x14:conditionalFormatting>
        <x14:conditionalFormatting xmlns:xm="http://schemas.microsoft.com/office/excel/2006/main">
          <x14:cfRule type="iconSet" priority="202" id="{B68FE40C-877B-4F9F-BA5A-E0DBA599BC00}">
            <x14:iconSet iconSet="3TrafficLights2" reverse="1">
              <x14:cfvo type="percent">
                <xm:f>0</xm:f>
              </x14:cfvo>
              <x14:cfvo type="num" gte="0">
                <xm:f>'Modell-Kalibrierung'!$C$18</xm:f>
              </x14:cfvo>
              <x14:cfvo type="num">
                <xm:f>'Modell-Kalibrierung'!$C$20</xm:f>
              </x14:cfvo>
            </x14:iconSet>
          </x14:cfRule>
          <xm:sqref>K72</xm:sqref>
        </x14:conditionalFormatting>
        <x14:conditionalFormatting xmlns:xm="http://schemas.microsoft.com/office/excel/2006/main">
          <x14:cfRule type="iconSet" priority="201" id="{CF751E43-92BD-422B-9515-6EB2C3CDA4C4}">
            <x14:iconSet iconSet="3TrafficLights2" reverse="1">
              <x14:cfvo type="percent">
                <xm:f>0</xm:f>
              </x14:cfvo>
              <x14:cfvo type="num" gte="0">
                <xm:f>'Modell-Kalibrierung'!$C$18</xm:f>
              </x14:cfvo>
              <x14:cfvo type="num">
                <xm:f>'Modell-Kalibrierung'!$C$20</xm:f>
              </x14:cfvo>
            </x14:iconSet>
          </x14:cfRule>
          <xm:sqref>K73</xm:sqref>
        </x14:conditionalFormatting>
        <x14:conditionalFormatting xmlns:xm="http://schemas.microsoft.com/office/excel/2006/main">
          <x14:cfRule type="iconSet" priority="200" id="{61BC66DD-D708-47BE-9B7F-A01754003292}">
            <x14:iconSet iconSet="3TrafficLights2" reverse="1">
              <x14:cfvo type="percent">
                <xm:f>0</xm:f>
              </x14:cfvo>
              <x14:cfvo type="num" gte="0">
                <xm:f>'Modell-Kalibrierung'!$C$18</xm:f>
              </x14:cfvo>
              <x14:cfvo type="num">
                <xm:f>'Modell-Kalibrierung'!$C$20</xm:f>
              </x14:cfvo>
            </x14:iconSet>
          </x14:cfRule>
          <xm:sqref>K75</xm:sqref>
        </x14:conditionalFormatting>
        <x14:conditionalFormatting xmlns:xm="http://schemas.microsoft.com/office/excel/2006/main">
          <x14:cfRule type="iconSet" priority="199" id="{F8AAD733-E152-4E32-9B3F-C53F7AB7A96B}">
            <x14:iconSet iconSet="3TrafficLights2" reverse="1">
              <x14:cfvo type="percent">
                <xm:f>0</xm:f>
              </x14:cfvo>
              <x14:cfvo type="num" gte="0">
                <xm:f>'Modell-Kalibrierung'!$C$18</xm:f>
              </x14:cfvo>
              <x14:cfvo type="num">
                <xm:f>'Modell-Kalibrierung'!$C$20</xm:f>
              </x14:cfvo>
            </x14:iconSet>
          </x14:cfRule>
          <xm:sqref>K76</xm:sqref>
        </x14:conditionalFormatting>
        <x14:conditionalFormatting xmlns:xm="http://schemas.microsoft.com/office/excel/2006/main">
          <x14:cfRule type="iconSet" priority="198" id="{63BDB7F4-3CE9-41ED-BFAA-C68A705C0AF6}">
            <x14:iconSet iconSet="3TrafficLights2" reverse="1">
              <x14:cfvo type="percent">
                <xm:f>0</xm:f>
              </x14:cfvo>
              <x14:cfvo type="num" gte="0">
                <xm:f>'Modell-Kalibrierung'!$C$18</xm:f>
              </x14:cfvo>
              <x14:cfvo type="num">
                <xm:f>'Modell-Kalibrierung'!$C$20</xm:f>
              </x14:cfvo>
            </x14:iconSet>
          </x14:cfRule>
          <xm:sqref>K77</xm:sqref>
        </x14:conditionalFormatting>
        <x14:conditionalFormatting xmlns:xm="http://schemas.microsoft.com/office/excel/2006/main">
          <x14:cfRule type="iconSet" priority="197" id="{8B4105CE-08F8-4E3A-A5BC-8C19740C58C6}">
            <x14:iconSet iconSet="3TrafficLights2" reverse="1">
              <x14:cfvo type="percent">
                <xm:f>0</xm:f>
              </x14:cfvo>
              <x14:cfvo type="num" gte="0">
                <xm:f>'Modell-Kalibrierung'!$C$18</xm:f>
              </x14:cfvo>
              <x14:cfvo type="num">
                <xm:f>'Modell-Kalibrierung'!$C$20</xm:f>
              </x14:cfvo>
            </x14:iconSet>
          </x14:cfRule>
          <xm:sqref>K78</xm:sqref>
        </x14:conditionalFormatting>
        <x14:conditionalFormatting xmlns:xm="http://schemas.microsoft.com/office/excel/2006/main">
          <x14:cfRule type="iconSet" priority="196" id="{4F9C997B-EDA2-481E-B8B0-670217E5AC13}">
            <x14:iconSet iconSet="3TrafficLights2" reverse="1">
              <x14:cfvo type="percent">
                <xm:f>0</xm:f>
              </x14:cfvo>
              <x14:cfvo type="num" gte="0">
                <xm:f>'Modell-Kalibrierung'!$C$18</xm:f>
              </x14:cfvo>
              <x14:cfvo type="num">
                <xm:f>'Modell-Kalibrierung'!$C$20</xm:f>
              </x14:cfvo>
            </x14:iconSet>
          </x14:cfRule>
          <xm:sqref>K79</xm:sqref>
        </x14:conditionalFormatting>
        <x14:conditionalFormatting xmlns:xm="http://schemas.microsoft.com/office/excel/2006/main">
          <x14:cfRule type="iconSet" priority="195" id="{08225316-C780-4CC5-AC3F-711D8622553A}">
            <x14:iconSet iconSet="3TrafficLights2" reverse="1">
              <x14:cfvo type="percent">
                <xm:f>0</xm:f>
              </x14:cfvo>
              <x14:cfvo type="num" gte="0">
                <xm:f>'Modell-Kalibrierung'!$C$18</xm:f>
              </x14:cfvo>
              <x14:cfvo type="num">
                <xm:f>'Modell-Kalibrierung'!$C$20</xm:f>
              </x14:cfvo>
            </x14:iconSet>
          </x14:cfRule>
          <xm:sqref>K81</xm:sqref>
        </x14:conditionalFormatting>
        <x14:conditionalFormatting xmlns:xm="http://schemas.microsoft.com/office/excel/2006/main">
          <x14:cfRule type="iconSet" priority="194" id="{96C6487B-61B7-4CD7-8F97-0B564028248A}">
            <x14:iconSet iconSet="3TrafficLights2" reverse="1">
              <x14:cfvo type="percent">
                <xm:f>0</xm:f>
              </x14:cfvo>
              <x14:cfvo type="num" gte="0">
                <xm:f>'Modell-Kalibrierung'!$C$18</xm:f>
              </x14:cfvo>
              <x14:cfvo type="num">
                <xm:f>'Modell-Kalibrierung'!$C$20</xm:f>
              </x14:cfvo>
            </x14:iconSet>
          </x14:cfRule>
          <xm:sqref>K82</xm:sqref>
        </x14:conditionalFormatting>
        <x14:conditionalFormatting xmlns:xm="http://schemas.microsoft.com/office/excel/2006/main">
          <x14:cfRule type="iconSet" priority="193" id="{171D4462-571E-4DFC-A43A-FEFAD3E21E34}">
            <x14:iconSet iconSet="3TrafficLights2" reverse="1">
              <x14:cfvo type="percent">
                <xm:f>0</xm:f>
              </x14:cfvo>
              <x14:cfvo type="num" gte="0">
                <xm:f>'Modell-Kalibrierung'!$C$18</xm:f>
              </x14:cfvo>
              <x14:cfvo type="num">
                <xm:f>'Modell-Kalibrierung'!$C$20</xm:f>
              </x14:cfvo>
            </x14:iconSet>
          </x14:cfRule>
          <xm:sqref>K83</xm:sqref>
        </x14:conditionalFormatting>
        <x14:conditionalFormatting xmlns:xm="http://schemas.microsoft.com/office/excel/2006/main">
          <x14:cfRule type="iconSet" priority="192" id="{D4B9FE17-F44B-4B81-9757-D2D0AD8C9994}">
            <x14:iconSet iconSet="3TrafficLights2" reverse="1">
              <x14:cfvo type="percent">
                <xm:f>0</xm:f>
              </x14:cfvo>
              <x14:cfvo type="num" gte="0">
                <xm:f>'Modell-Kalibrierung'!$C$18</xm:f>
              </x14:cfvo>
              <x14:cfvo type="num">
                <xm:f>'Modell-Kalibrierung'!$C$20</xm:f>
              </x14:cfvo>
            </x14:iconSet>
          </x14:cfRule>
          <xm:sqref>K84</xm:sqref>
        </x14:conditionalFormatting>
        <x14:conditionalFormatting xmlns:xm="http://schemas.microsoft.com/office/excel/2006/main">
          <x14:cfRule type="iconSet" priority="191" id="{86F0E08E-953E-4727-92B5-04EE599A41F1}">
            <x14:iconSet iconSet="3TrafficLights2" reverse="1">
              <x14:cfvo type="percent">
                <xm:f>0</xm:f>
              </x14:cfvo>
              <x14:cfvo type="num" gte="0">
                <xm:f>'Modell-Kalibrierung'!$C$18</xm:f>
              </x14:cfvo>
              <x14:cfvo type="num">
                <xm:f>'Modell-Kalibrierung'!$C$20</xm:f>
              </x14:cfvo>
            </x14:iconSet>
          </x14:cfRule>
          <xm:sqref>K85</xm:sqref>
        </x14:conditionalFormatting>
        <x14:conditionalFormatting xmlns:xm="http://schemas.microsoft.com/office/excel/2006/main">
          <x14:cfRule type="iconSet" priority="190" id="{313C20CE-CDCD-4202-8939-EFFC8BE0B542}">
            <x14:iconSet iconSet="3TrafficLights2" reverse="1">
              <x14:cfvo type="percent">
                <xm:f>0</xm:f>
              </x14:cfvo>
              <x14:cfvo type="num" gte="0">
                <xm:f>'Modell-Kalibrierung'!$C$18</xm:f>
              </x14:cfvo>
              <x14:cfvo type="num">
                <xm:f>'Modell-Kalibrierung'!$C$20</xm:f>
              </x14:cfvo>
            </x14:iconSet>
          </x14:cfRule>
          <xm:sqref>K87</xm:sqref>
        </x14:conditionalFormatting>
        <x14:conditionalFormatting xmlns:xm="http://schemas.microsoft.com/office/excel/2006/main">
          <x14:cfRule type="iconSet" priority="189" id="{D7EC7091-9BDF-465A-A3BF-509AAA34D68D}">
            <x14:iconSet iconSet="3TrafficLights2" reverse="1">
              <x14:cfvo type="percent">
                <xm:f>0</xm:f>
              </x14:cfvo>
              <x14:cfvo type="num" gte="0">
                <xm:f>'Modell-Kalibrierung'!$C$18</xm:f>
              </x14:cfvo>
              <x14:cfvo type="num">
                <xm:f>'Modell-Kalibrierung'!$C$20</xm:f>
              </x14:cfvo>
            </x14:iconSet>
          </x14:cfRule>
          <xm:sqref>K88</xm:sqref>
        </x14:conditionalFormatting>
        <x14:conditionalFormatting xmlns:xm="http://schemas.microsoft.com/office/excel/2006/main">
          <x14:cfRule type="iconSet" priority="188" id="{A6AA8C76-9CD9-4F4F-878D-EFE6FAF2B9DC}">
            <x14:iconSet iconSet="3TrafficLights2" reverse="1">
              <x14:cfvo type="percent">
                <xm:f>0</xm:f>
              </x14:cfvo>
              <x14:cfvo type="num" gte="0">
                <xm:f>'Modell-Kalibrierung'!$C$18</xm:f>
              </x14:cfvo>
              <x14:cfvo type="num">
                <xm:f>'Modell-Kalibrierung'!$C$20</xm:f>
              </x14:cfvo>
            </x14:iconSet>
          </x14:cfRule>
          <xm:sqref>K89</xm:sqref>
        </x14:conditionalFormatting>
        <x14:conditionalFormatting xmlns:xm="http://schemas.microsoft.com/office/excel/2006/main">
          <x14:cfRule type="iconSet" priority="187" id="{8FD5FD19-EC00-4DCD-8D62-1F9CE1BB008D}">
            <x14:iconSet iconSet="3TrafficLights2" reverse="1">
              <x14:cfvo type="percent">
                <xm:f>0</xm:f>
              </x14:cfvo>
              <x14:cfvo type="num" gte="0">
                <xm:f>'Modell-Kalibrierung'!$C$18</xm:f>
              </x14:cfvo>
              <x14:cfvo type="num">
                <xm:f>'Modell-Kalibrierung'!$C$20</xm:f>
              </x14:cfvo>
            </x14:iconSet>
          </x14:cfRule>
          <xm:sqref>K90</xm:sqref>
        </x14:conditionalFormatting>
        <x14:conditionalFormatting xmlns:xm="http://schemas.microsoft.com/office/excel/2006/main">
          <x14:cfRule type="iconSet" priority="186" id="{D48654EF-D1E3-4C04-994A-6DBF72092808}">
            <x14:iconSet iconSet="3TrafficLights2" reverse="1">
              <x14:cfvo type="percent">
                <xm:f>0</xm:f>
              </x14:cfvo>
              <x14:cfvo type="num" gte="0">
                <xm:f>'Modell-Kalibrierung'!$C$18</xm:f>
              </x14:cfvo>
              <x14:cfvo type="num">
                <xm:f>'Modell-Kalibrierung'!$C$20</xm:f>
              </x14:cfvo>
            </x14:iconSet>
          </x14:cfRule>
          <xm:sqref>K91</xm:sqref>
        </x14:conditionalFormatting>
        <x14:conditionalFormatting xmlns:xm="http://schemas.microsoft.com/office/excel/2006/main">
          <x14:cfRule type="iconSet" priority="185" id="{7AF00B2C-9053-416F-A3F4-510C95B52471}">
            <x14:iconSet iconSet="3TrafficLights2" reverse="1">
              <x14:cfvo type="percent">
                <xm:f>0</xm:f>
              </x14:cfvo>
              <x14:cfvo type="num" gte="0">
                <xm:f>'Modell-Kalibrierung'!$C$18</xm:f>
              </x14:cfvo>
              <x14:cfvo type="num">
                <xm:f>'Modell-Kalibrierung'!$C$20</xm:f>
              </x14:cfvo>
            </x14:iconSet>
          </x14:cfRule>
          <xm:sqref>K93</xm:sqref>
        </x14:conditionalFormatting>
        <x14:conditionalFormatting xmlns:xm="http://schemas.microsoft.com/office/excel/2006/main">
          <x14:cfRule type="iconSet" priority="184" id="{909CC45D-5151-4E65-B54A-DEB42E2375F3}">
            <x14:iconSet iconSet="3TrafficLights2" reverse="1">
              <x14:cfvo type="percent">
                <xm:f>0</xm:f>
              </x14:cfvo>
              <x14:cfvo type="num" gte="0">
                <xm:f>'Modell-Kalibrierung'!$C$18</xm:f>
              </x14:cfvo>
              <x14:cfvo type="num">
                <xm:f>'Modell-Kalibrierung'!$C$20</xm:f>
              </x14:cfvo>
            </x14:iconSet>
          </x14:cfRule>
          <xm:sqref>K94</xm:sqref>
        </x14:conditionalFormatting>
        <x14:conditionalFormatting xmlns:xm="http://schemas.microsoft.com/office/excel/2006/main">
          <x14:cfRule type="iconSet" priority="183" id="{EEDDC02E-5A2C-4BCD-A199-115151E5A324}">
            <x14:iconSet iconSet="3TrafficLights2" reverse="1">
              <x14:cfvo type="percent">
                <xm:f>0</xm:f>
              </x14:cfvo>
              <x14:cfvo type="num" gte="0">
                <xm:f>'Modell-Kalibrierung'!$C$18</xm:f>
              </x14:cfvo>
              <x14:cfvo type="num">
                <xm:f>'Modell-Kalibrierung'!$C$20</xm:f>
              </x14:cfvo>
            </x14:iconSet>
          </x14:cfRule>
          <xm:sqref>K95</xm:sqref>
        </x14:conditionalFormatting>
        <x14:conditionalFormatting xmlns:xm="http://schemas.microsoft.com/office/excel/2006/main">
          <x14:cfRule type="iconSet" priority="182" id="{A82B0421-D08F-40D5-9979-4D9D05330ABA}">
            <x14:iconSet iconSet="3TrafficLights2" reverse="1">
              <x14:cfvo type="percent">
                <xm:f>0</xm:f>
              </x14:cfvo>
              <x14:cfvo type="num" gte="0">
                <xm:f>'Modell-Kalibrierung'!$C$18</xm:f>
              </x14:cfvo>
              <x14:cfvo type="num">
                <xm:f>'Modell-Kalibrierung'!$C$20</xm:f>
              </x14:cfvo>
            </x14:iconSet>
          </x14:cfRule>
          <xm:sqref>K96</xm:sqref>
        </x14:conditionalFormatting>
        <x14:conditionalFormatting xmlns:xm="http://schemas.microsoft.com/office/excel/2006/main">
          <x14:cfRule type="iconSet" priority="181" id="{9B4711C5-CAB7-4B08-882A-C8DB335D1910}">
            <x14:iconSet iconSet="3TrafficLights2" reverse="1">
              <x14:cfvo type="percent">
                <xm:f>0</xm:f>
              </x14:cfvo>
              <x14:cfvo type="num" gte="0">
                <xm:f>'Modell-Kalibrierung'!$C$18</xm:f>
              </x14:cfvo>
              <x14:cfvo type="num">
                <xm:f>'Modell-Kalibrierung'!$C$20</xm:f>
              </x14:cfvo>
            </x14:iconSet>
          </x14:cfRule>
          <xm:sqref>K97</xm:sqref>
        </x14:conditionalFormatting>
        <x14:conditionalFormatting xmlns:xm="http://schemas.microsoft.com/office/excel/2006/main">
          <x14:cfRule type="iconSet" priority="180" id="{920C42A8-B584-4B1E-9D8A-289D24B1AF88}">
            <x14:iconSet iconSet="3TrafficLights2" reverse="1">
              <x14:cfvo type="percent">
                <xm:f>0</xm:f>
              </x14:cfvo>
              <x14:cfvo type="num" gte="0">
                <xm:f>'Modell-Kalibrierung'!$C$18</xm:f>
              </x14:cfvo>
              <x14:cfvo type="num">
                <xm:f>'Modell-Kalibrierung'!$C$20</xm:f>
              </x14:cfvo>
            </x14:iconSet>
          </x14:cfRule>
          <xm:sqref>K99</xm:sqref>
        </x14:conditionalFormatting>
        <x14:conditionalFormatting xmlns:xm="http://schemas.microsoft.com/office/excel/2006/main">
          <x14:cfRule type="iconSet" priority="179" id="{56DBAF4B-4D74-477B-A146-2EB39894B4C3}">
            <x14:iconSet iconSet="3TrafficLights2" reverse="1">
              <x14:cfvo type="percent">
                <xm:f>0</xm:f>
              </x14:cfvo>
              <x14:cfvo type="num" gte="0">
                <xm:f>'Modell-Kalibrierung'!$C$18</xm:f>
              </x14:cfvo>
              <x14:cfvo type="num">
                <xm:f>'Modell-Kalibrierung'!$C$20</xm:f>
              </x14:cfvo>
            </x14:iconSet>
          </x14:cfRule>
          <xm:sqref>K100</xm:sqref>
        </x14:conditionalFormatting>
        <x14:conditionalFormatting xmlns:xm="http://schemas.microsoft.com/office/excel/2006/main">
          <x14:cfRule type="iconSet" priority="178" id="{645FC0F7-F7E1-47E9-A833-7352494A63DF}">
            <x14:iconSet iconSet="3TrafficLights2" reverse="1">
              <x14:cfvo type="percent">
                <xm:f>0</xm:f>
              </x14:cfvo>
              <x14:cfvo type="num" gte="0">
                <xm:f>'Modell-Kalibrierung'!$C$18</xm:f>
              </x14:cfvo>
              <x14:cfvo type="num">
                <xm:f>'Modell-Kalibrierung'!$C$20</xm:f>
              </x14:cfvo>
            </x14:iconSet>
          </x14:cfRule>
          <xm:sqref>K101</xm:sqref>
        </x14:conditionalFormatting>
        <x14:conditionalFormatting xmlns:xm="http://schemas.microsoft.com/office/excel/2006/main">
          <x14:cfRule type="iconSet" priority="177" id="{66AABF75-9A30-486F-AF15-5E239AD9BE39}">
            <x14:iconSet iconSet="3TrafficLights2" reverse="1">
              <x14:cfvo type="percent">
                <xm:f>0</xm:f>
              </x14:cfvo>
              <x14:cfvo type="num" gte="0">
                <xm:f>'Modell-Kalibrierung'!$C$18</xm:f>
              </x14:cfvo>
              <x14:cfvo type="num">
                <xm:f>'Modell-Kalibrierung'!$C$20</xm:f>
              </x14:cfvo>
            </x14:iconSet>
          </x14:cfRule>
          <xm:sqref>K102</xm:sqref>
        </x14:conditionalFormatting>
        <x14:conditionalFormatting xmlns:xm="http://schemas.microsoft.com/office/excel/2006/main">
          <x14:cfRule type="iconSet" priority="176" id="{89681111-4CD2-4C45-990A-997D0D6B0451}">
            <x14:iconSet iconSet="3TrafficLights2" reverse="1">
              <x14:cfvo type="percent">
                <xm:f>0</xm:f>
              </x14:cfvo>
              <x14:cfvo type="num" gte="0">
                <xm:f>'Modell-Kalibrierung'!$C$18</xm:f>
              </x14:cfvo>
              <x14:cfvo type="num">
                <xm:f>'Modell-Kalibrierung'!$C$20</xm:f>
              </x14:cfvo>
            </x14:iconSet>
          </x14:cfRule>
          <xm:sqref>K103</xm:sqref>
        </x14:conditionalFormatting>
        <x14:conditionalFormatting xmlns:xm="http://schemas.microsoft.com/office/excel/2006/main">
          <x14:cfRule type="iconSet" priority="175" id="{2A090204-F3B4-46A0-84F5-54EC0C0D5188}">
            <x14:iconSet iconSet="3TrafficLights2" reverse="1">
              <x14:cfvo type="percent">
                <xm:f>0</xm:f>
              </x14:cfvo>
              <x14:cfvo type="num" gte="0">
                <xm:f>'Modell-Kalibrierung'!$C$18</xm:f>
              </x14:cfvo>
              <x14:cfvo type="num">
                <xm:f>'Modell-Kalibrierung'!$C$20</xm:f>
              </x14:cfvo>
            </x14:iconSet>
          </x14:cfRule>
          <xm:sqref>K105</xm:sqref>
        </x14:conditionalFormatting>
        <x14:conditionalFormatting xmlns:xm="http://schemas.microsoft.com/office/excel/2006/main">
          <x14:cfRule type="iconSet" priority="174" id="{517DB5F0-C38E-4CA3-8081-067BC76FE5A5}">
            <x14:iconSet iconSet="3TrafficLights2" reverse="1">
              <x14:cfvo type="percent">
                <xm:f>0</xm:f>
              </x14:cfvo>
              <x14:cfvo type="num" gte="0">
                <xm:f>'Modell-Kalibrierung'!$C$18</xm:f>
              </x14:cfvo>
              <x14:cfvo type="num">
                <xm:f>'Modell-Kalibrierung'!$C$20</xm:f>
              </x14:cfvo>
            </x14:iconSet>
          </x14:cfRule>
          <xm:sqref>K106</xm:sqref>
        </x14:conditionalFormatting>
        <x14:conditionalFormatting xmlns:xm="http://schemas.microsoft.com/office/excel/2006/main">
          <x14:cfRule type="iconSet" priority="173" id="{4B4FB152-F04D-4806-8AE7-F45363F5E92C}">
            <x14:iconSet iconSet="3TrafficLights2" reverse="1">
              <x14:cfvo type="percent">
                <xm:f>0</xm:f>
              </x14:cfvo>
              <x14:cfvo type="num" gte="0">
                <xm:f>'Modell-Kalibrierung'!$C$18</xm:f>
              </x14:cfvo>
              <x14:cfvo type="num">
                <xm:f>'Modell-Kalibrierung'!$C$20</xm:f>
              </x14:cfvo>
            </x14:iconSet>
          </x14:cfRule>
          <xm:sqref>K107</xm:sqref>
        </x14:conditionalFormatting>
        <x14:conditionalFormatting xmlns:xm="http://schemas.microsoft.com/office/excel/2006/main">
          <x14:cfRule type="iconSet" priority="172" id="{1927D501-7907-42D2-97FD-35F7EF039022}">
            <x14:iconSet iconSet="3TrafficLights2" reverse="1">
              <x14:cfvo type="percent">
                <xm:f>0</xm:f>
              </x14:cfvo>
              <x14:cfvo type="num" gte="0">
                <xm:f>'Modell-Kalibrierung'!$C$18</xm:f>
              </x14:cfvo>
              <x14:cfvo type="num">
                <xm:f>'Modell-Kalibrierung'!$C$20</xm:f>
              </x14:cfvo>
            </x14:iconSet>
          </x14:cfRule>
          <xm:sqref>K108</xm:sqref>
        </x14:conditionalFormatting>
        <x14:conditionalFormatting xmlns:xm="http://schemas.microsoft.com/office/excel/2006/main">
          <x14:cfRule type="iconSet" priority="171" id="{02CB1F75-0B49-47EC-8180-40B7A6B2F09F}">
            <x14:iconSet iconSet="3TrafficLights2" reverse="1">
              <x14:cfvo type="percent">
                <xm:f>0</xm:f>
              </x14:cfvo>
              <x14:cfvo type="num" gte="0">
                <xm:f>'Modell-Kalibrierung'!$C$18</xm:f>
              </x14:cfvo>
              <x14:cfvo type="num">
                <xm:f>'Modell-Kalibrierung'!$C$20</xm:f>
              </x14:cfvo>
            </x14:iconSet>
          </x14:cfRule>
          <xm:sqref>K109</xm:sqref>
        </x14:conditionalFormatting>
        <x14:conditionalFormatting xmlns:xm="http://schemas.microsoft.com/office/excel/2006/main">
          <x14:cfRule type="iconSet" priority="170" id="{1B717A9A-C59D-401B-BFA6-868D451B7B31}">
            <x14:iconSet iconSet="3TrafficLights2" reverse="1">
              <x14:cfvo type="percent">
                <xm:f>0</xm:f>
              </x14:cfvo>
              <x14:cfvo type="num" gte="0">
                <xm:f>'Modell-Kalibrierung'!$C$18</xm:f>
              </x14:cfvo>
              <x14:cfvo type="num">
                <xm:f>'Modell-Kalibrierung'!$C$20</xm:f>
              </x14:cfvo>
            </x14:iconSet>
          </x14:cfRule>
          <xm:sqref>K111</xm:sqref>
        </x14:conditionalFormatting>
        <x14:conditionalFormatting xmlns:xm="http://schemas.microsoft.com/office/excel/2006/main">
          <x14:cfRule type="iconSet" priority="169" id="{A0DB035E-F8AC-4F20-AB82-1A5555D2B384}">
            <x14:iconSet iconSet="3TrafficLights2" reverse="1">
              <x14:cfvo type="percent">
                <xm:f>0</xm:f>
              </x14:cfvo>
              <x14:cfvo type="num" gte="0">
                <xm:f>'Modell-Kalibrierung'!$C$18</xm:f>
              </x14:cfvo>
              <x14:cfvo type="num">
                <xm:f>'Modell-Kalibrierung'!$C$20</xm:f>
              </x14:cfvo>
            </x14:iconSet>
          </x14:cfRule>
          <xm:sqref>K112</xm:sqref>
        </x14:conditionalFormatting>
        <x14:conditionalFormatting xmlns:xm="http://schemas.microsoft.com/office/excel/2006/main">
          <x14:cfRule type="iconSet" priority="168" id="{A53144CA-A0CA-477A-91A2-29F3AC647153}">
            <x14:iconSet iconSet="3TrafficLights2" reverse="1">
              <x14:cfvo type="percent">
                <xm:f>0</xm:f>
              </x14:cfvo>
              <x14:cfvo type="num" gte="0">
                <xm:f>'Modell-Kalibrierung'!$C$18</xm:f>
              </x14:cfvo>
              <x14:cfvo type="num">
                <xm:f>'Modell-Kalibrierung'!$C$20</xm:f>
              </x14:cfvo>
            </x14:iconSet>
          </x14:cfRule>
          <xm:sqref>K113</xm:sqref>
        </x14:conditionalFormatting>
        <x14:conditionalFormatting xmlns:xm="http://schemas.microsoft.com/office/excel/2006/main">
          <x14:cfRule type="iconSet" priority="167" id="{575FA0B4-FBF2-420D-B2EE-637955000701}">
            <x14:iconSet iconSet="3TrafficLights2" reverse="1">
              <x14:cfvo type="percent">
                <xm:f>0</xm:f>
              </x14:cfvo>
              <x14:cfvo type="num" gte="0">
                <xm:f>'Modell-Kalibrierung'!$C$18</xm:f>
              </x14:cfvo>
              <x14:cfvo type="num">
                <xm:f>'Modell-Kalibrierung'!$C$20</xm:f>
              </x14:cfvo>
            </x14:iconSet>
          </x14:cfRule>
          <xm:sqref>K114</xm:sqref>
        </x14:conditionalFormatting>
        <x14:conditionalFormatting xmlns:xm="http://schemas.microsoft.com/office/excel/2006/main">
          <x14:cfRule type="iconSet" priority="166" id="{3481E9B1-7391-4684-8A62-47CF578B6057}">
            <x14:iconSet iconSet="3TrafficLights2" reverse="1">
              <x14:cfvo type="percent">
                <xm:f>0</xm:f>
              </x14:cfvo>
              <x14:cfvo type="num" gte="0">
                <xm:f>'Modell-Kalibrierung'!$C$18</xm:f>
              </x14:cfvo>
              <x14:cfvo type="num">
                <xm:f>'Modell-Kalibrierung'!$C$20</xm:f>
              </x14:cfvo>
            </x14:iconSet>
          </x14:cfRule>
          <xm:sqref>K115</xm:sqref>
        </x14:conditionalFormatting>
        <x14:conditionalFormatting xmlns:xm="http://schemas.microsoft.com/office/excel/2006/main">
          <x14:cfRule type="iconSet" priority="165" id="{0ADC82D7-560D-40D8-B623-2E4F556EF959}">
            <x14:iconSet iconSet="3TrafficLights2" reverse="1">
              <x14:cfvo type="percent">
                <xm:f>0</xm:f>
              </x14:cfvo>
              <x14:cfvo type="num" gte="0">
                <xm:f>'Modell-Kalibrierung'!$C$18</xm:f>
              </x14:cfvo>
              <x14:cfvo type="num">
                <xm:f>'Modell-Kalibrierung'!$C$20</xm:f>
              </x14:cfvo>
            </x14:iconSet>
          </x14:cfRule>
          <xm:sqref>K117</xm:sqref>
        </x14:conditionalFormatting>
        <x14:conditionalFormatting xmlns:xm="http://schemas.microsoft.com/office/excel/2006/main">
          <x14:cfRule type="iconSet" priority="164" id="{17E3995D-3984-43DA-B9AE-8E869B83B2A6}">
            <x14:iconSet iconSet="3TrafficLights2" reverse="1">
              <x14:cfvo type="percent">
                <xm:f>0</xm:f>
              </x14:cfvo>
              <x14:cfvo type="num" gte="0">
                <xm:f>'Modell-Kalibrierung'!$C$18</xm:f>
              </x14:cfvo>
              <x14:cfvo type="num">
                <xm:f>'Modell-Kalibrierung'!$C$20</xm:f>
              </x14:cfvo>
            </x14:iconSet>
          </x14:cfRule>
          <xm:sqref>K118</xm:sqref>
        </x14:conditionalFormatting>
        <x14:conditionalFormatting xmlns:xm="http://schemas.microsoft.com/office/excel/2006/main">
          <x14:cfRule type="iconSet" priority="163" id="{A59F1B46-685E-4D0E-AD60-A8520CAF44CF}">
            <x14:iconSet iconSet="3TrafficLights2" reverse="1">
              <x14:cfvo type="percent">
                <xm:f>0</xm:f>
              </x14:cfvo>
              <x14:cfvo type="num" gte="0">
                <xm:f>'Modell-Kalibrierung'!$C$18</xm:f>
              </x14:cfvo>
              <x14:cfvo type="num">
                <xm:f>'Modell-Kalibrierung'!$C$20</xm:f>
              </x14:cfvo>
            </x14:iconSet>
          </x14:cfRule>
          <xm:sqref>K119</xm:sqref>
        </x14:conditionalFormatting>
        <x14:conditionalFormatting xmlns:xm="http://schemas.microsoft.com/office/excel/2006/main">
          <x14:cfRule type="iconSet" priority="162" id="{842BA94E-A273-4E0C-B479-F24A7AF2A51E}">
            <x14:iconSet iconSet="3TrafficLights2" reverse="1">
              <x14:cfvo type="percent">
                <xm:f>0</xm:f>
              </x14:cfvo>
              <x14:cfvo type="num" gte="0">
                <xm:f>'Modell-Kalibrierung'!$C$18</xm:f>
              </x14:cfvo>
              <x14:cfvo type="num">
                <xm:f>'Modell-Kalibrierung'!$C$20</xm:f>
              </x14:cfvo>
            </x14:iconSet>
          </x14:cfRule>
          <xm:sqref>K120</xm:sqref>
        </x14:conditionalFormatting>
        <x14:conditionalFormatting xmlns:xm="http://schemas.microsoft.com/office/excel/2006/main">
          <x14:cfRule type="iconSet" priority="161" id="{A94C1986-2CCE-4CDE-B40D-112F39453DC3}">
            <x14:iconSet iconSet="3TrafficLights2" reverse="1">
              <x14:cfvo type="percent">
                <xm:f>0</xm:f>
              </x14:cfvo>
              <x14:cfvo type="num" gte="0">
                <xm:f>'Modell-Kalibrierung'!$C$18</xm:f>
              </x14:cfvo>
              <x14:cfvo type="num">
                <xm:f>'Modell-Kalibrierung'!$C$20</xm:f>
              </x14:cfvo>
            </x14:iconSet>
          </x14:cfRule>
          <xm:sqref>K121</xm:sqref>
        </x14:conditionalFormatting>
        <x14:conditionalFormatting xmlns:xm="http://schemas.microsoft.com/office/excel/2006/main">
          <x14:cfRule type="cellIs" priority="148" operator="equal" id="{BB7ABBA1-B982-42F4-88CC-5573B914000C}">
            <xm:f>'Modell-Kalibrierung'!$B$16</xm:f>
            <x14:dxf>
              <fill>
                <patternFill>
                  <bgColor theme="0"/>
                </patternFill>
              </fill>
            </x14:dxf>
          </x14:cfRule>
          <xm:sqref>I48:I49</xm:sqref>
        </x14:conditionalFormatting>
        <x14:conditionalFormatting xmlns:xm="http://schemas.microsoft.com/office/excel/2006/main">
          <x14:cfRule type="cellIs" priority="141" operator="equal" id="{93940516-8FEA-41CE-9C1D-DA15F511497E}">
            <xm:f>'Modell-Kalibrierung'!$B$16</xm:f>
            <x14:dxf>
              <fill>
                <patternFill>
                  <bgColor theme="0"/>
                </patternFill>
              </fill>
            </x14:dxf>
          </x14:cfRule>
          <xm:sqref>G48:G49</xm:sqref>
        </x14:conditionalFormatting>
        <x14:conditionalFormatting xmlns:xm="http://schemas.microsoft.com/office/excel/2006/main">
          <x14:cfRule type="cellIs" priority="128" operator="equal" id="{B60F9EA4-1606-4CC2-BD7F-B7930B33DE9B}">
            <xm:f>'Modell-Kalibrierung'!$B$16</xm:f>
            <x14:dxf>
              <fill>
                <patternFill>
                  <bgColor theme="0"/>
                </patternFill>
              </fill>
            </x14:dxf>
          </x14:cfRule>
          <xm:sqref>I45:I47</xm:sqref>
        </x14:conditionalFormatting>
        <x14:conditionalFormatting xmlns:xm="http://schemas.microsoft.com/office/excel/2006/main">
          <x14:cfRule type="cellIs" priority="121" operator="equal" id="{4337E1D1-1882-4AFC-B1DF-A4F6DADE094C}">
            <xm:f>'Modell-Kalibrierung'!$B$16</xm:f>
            <x14:dxf>
              <fill>
                <patternFill>
                  <bgColor theme="0"/>
                </patternFill>
              </fill>
            </x14:dxf>
          </x14:cfRule>
          <xm:sqref>G45:G47</xm:sqref>
        </x14:conditionalFormatting>
        <x14:conditionalFormatting xmlns:xm="http://schemas.microsoft.com/office/excel/2006/main">
          <x14:cfRule type="cellIs" priority="108" operator="equal" id="{03688E77-7D89-4ED6-8C94-F17ABC8AE708}">
            <xm:f>'Modell-Kalibrierung'!$B$16</xm:f>
            <x14:dxf>
              <fill>
                <patternFill>
                  <bgColor theme="0"/>
                </patternFill>
              </fill>
            </x14:dxf>
          </x14:cfRule>
          <xm:sqref>I54:I55</xm:sqref>
        </x14:conditionalFormatting>
        <x14:conditionalFormatting xmlns:xm="http://schemas.microsoft.com/office/excel/2006/main">
          <x14:cfRule type="cellIs" priority="101" operator="equal" id="{0A9FAB91-8931-465E-B31F-ED21B116C236}">
            <xm:f>'Modell-Kalibrierung'!$B$16</xm:f>
            <x14:dxf>
              <fill>
                <patternFill>
                  <bgColor theme="0"/>
                </patternFill>
              </fill>
            </x14:dxf>
          </x14:cfRule>
          <xm:sqref>G54:G55</xm:sqref>
        </x14:conditionalFormatting>
        <x14:conditionalFormatting xmlns:xm="http://schemas.microsoft.com/office/excel/2006/main">
          <x14:cfRule type="cellIs" priority="88" operator="equal" id="{6057EC28-7FDE-4252-8E0D-044A7B367472}">
            <xm:f>'Modell-Kalibrierung'!$B$16</xm:f>
            <x14:dxf>
              <fill>
                <patternFill>
                  <bgColor theme="0"/>
                </patternFill>
              </fill>
            </x14:dxf>
          </x14:cfRule>
          <xm:sqref>I51:I53</xm:sqref>
        </x14:conditionalFormatting>
        <x14:conditionalFormatting xmlns:xm="http://schemas.microsoft.com/office/excel/2006/main">
          <x14:cfRule type="cellIs" priority="81" operator="equal" id="{BADB3351-0834-484C-984F-FF158BD8EDF0}">
            <xm:f>'Modell-Kalibrierung'!$B$16</xm:f>
            <x14:dxf>
              <fill>
                <patternFill>
                  <bgColor theme="0"/>
                </patternFill>
              </fill>
            </x14:dxf>
          </x14:cfRule>
          <xm:sqref>G51:G53</xm:sqref>
        </x14:conditionalFormatting>
        <x14:conditionalFormatting xmlns:xm="http://schemas.microsoft.com/office/excel/2006/main">
          <x14:cfRule type="cellIs" priority="68" operator="equal" id="{A33A2F13-FE66-45A5-B585-A61764860902}">
            <xm:f>'Modell-Kalibrierung'!$B$16</xm:f>
            <x14:dxf>
              <fill>
                <patternFill>
                  <bgColor theme="0"/>
                </patternFill>
              </fill>
            </x14:dxf>
          </x14:cfRule>
          <xm:sqref>I60:I61</xm:sqref>
        </x14:conditionalFormatting>
        <x14:conditionalFormatting xmlns:xm="http://schemas.microsoft.com/office/excel/2006/main">
          <x14:cfRule type="cellIs" priority="61" operator="equal" id="{A6039548-7799-4D4E-8704-E990F3716351}">
            <xm:f>'Modell-Kalibrierung'!$B$16</xm:f>
            <x14:dxf>
              <fill>
                <patternFill>
                  <bgColor theme="0"/>
                </patternFill>
              </fill>
            </x14:dxf>
          </x14:cfRule>
          <xm:sqref>G60:G61</xm:sqref>
        </x14:conditionalFormatting>
        <x14:conditionalFormatting xmlns:xm="http://schemas.microsoft.com/office/excel/2006/main">
          <x14:cfRule type="cellIs" priority="48" operator="equal" id="{16A1B63E-944D-4351-BD8F-23E7C430398A}">
            <xm:f>'Modell-Kalibrierung'!$B$16</xm:f>
            <x14:dxf>
              <fill>
                <patternFill>
                  <bgColor theme="0"/>
                </patternFill>
              </fill>
            </x14:dxf>
          </x14:cfRule>
          <xm:sqref>I57:I59</xm:sqref>
        </x14:conditionalFormatting>
        <x14:conditionalFormatting xmlns:xm="http://schemas.microsoft.com/office/excel/2006/main">
          <x14:cfRule type="cellIs" priority="41" operator="equal" id="{DB94713B-60DC-4E09-84CE-D52045CF8428}">
            <xm:f>'Modell-Kalibrierung'!$B$16</xm:f>
            <x14:dxf>
              <fill>
                <patternFill>
                  <bgColor theme="0"/>
                </patternFill>
              </fill>
            </x14:dxf>
          </x14:cfRule>
          <xm:sqref>G57:G59</xm:sqref>
        </x14:conditionalFormatting>
        <x14:conditionalFormatting xmlns:xm="http://schemas.microsoft.com/office/excel/2006/main">
          <x14:cfRule type="cellIs" priority="28" operator="equal" id="{57896328-7D6D-4D15-8C04-FB5D63D4876A}">
            <xm:f>'Modell-Kalibrierung'!$B$16</xm:f>
            <x14:dxf>
              <fill>
                <patternFill>
                  <bgColor theme="0"/>
                </patternFill>
              </fill>
            </x14:dxf>
          </x14:cfRule>
          <xm:sqref>I36:I37</xm:sqref>
        </x14:conditionalFormatting>
        <x14:conditionalFormatting xmlns:xm="http://schemas.microsoft.com/office/excel/2006/main">
          <x14:cfRule type="cellIs" priority="21" operator="equal" id="{8CAC5CAA-C025-4108-9A5D-4FB1444429C7}">
            <xm:f>'Modell-Kalibrierung'!$B$16</xm:f>
            <x14:dxf>
              <fill>
                <patternFill>
                  <bgColor theme="0"/>
                </patternFill>
              </fill>
            </x14:dxf>
          </x14:cfRule>
          <xm:sqref>G36:G37</xm:sqref>
        </x14:conditionalFormatting>
        <x14:conditionalFormatting xmlns:xm="http://schemas.microsoft.com/office/excel/2006/main">
          <x14:cfRule type="cellIs" priority="8" operator="equal" id="{EF291F00-C92A-4FDE-A357-B4F41BA65A5A}">
            <xm:f>'Modell-Kalibrierung'!$B$16</xm:f>
            <x14:dxf>
              <fill>
                <patternFill>
                  <bgColor theme="0"/>
                </patternFill>
              </fill>
            </x14:dxf>
          </x14:cfRule>
          <xm:sqref>I33:I35</xm:sqref>
        </x14:conditionalFormatting>
        <x14:conditionalFormatting xmlns:xm="http://schemas.microsoft.com/office/excel/2006/main">
          <x14:cfRule type="cellIs" priority="1" operator="equal" id="{4E3308AE-2AA5-4A3C-9840-7729AB25BA77}">
            <xm:f>'Modell-Kalibrierung'!$B$16</xm:f>
            <x14:dxf>
              <fill>
                <patternFill>
                  <bgColor theme="0"/>
                </patternFill>
              </fill>
            </x14:dxf>
          </x14:cfRule>
          <xm:sqref>G33:G35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'Modell-Kalibrierung'!$B$16:$B$22</xm:f>
          </x14:formula1>
          <xm:sqref>G117:G121 I117:I121 G39:G43 I39:I43 I57:I61 G57:G61 I45:I49 G45:G49 I51:I55 G51:G55 I63:I67 G63:G67 G69:G73 I69:I73 I87:I91 G87:G91 G81:G85 I81:I85 I75:I79 G75:G79 I99:I103 G99:G103 G93:G97 I93:I97 I111:I115 G111:G115 G105:G109 I105:I109 I33:I37 G33:G37</xm:sqref>
        </x14:dataValidation>
        <x14:dataValidation type="list" allowBlank="1" showInputMessage="1" showErrorMessage="1">
          <x14:formula1>
            <xm:f>'Modell-Kalibrierung'!$B$3:$B$8</xm:f>
          </x14:formula1>
          <xm:sqref>H117:H121 H39:H43 H57:H61 H45:H49 H51:H55 H63:H67 H69:H73 H87:H91 H81:H85 H75:H79 H99:H103 H93:H97 H111:H115 H105:H109 H33:H37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92D050"/>
    <pageSetUpPr fitToPage="1"/>
  </sheetPr>
  <dimension ref="A1:H249"/>
  <sheetViews>
    <sheetView view="pageBreakPreview" zoomScale="75" zoomScaleNormal="100" zoomScaleSheetLayoutView="75" workbookViewId="0">
      <selection activeCell="D24" sqref="D24"/>
    </sheetView>
  </sheetViews>
  <sheetFormatPr baseColWidth="10" defaultRowHeight="14.25" x14ac:dyDescent="0.2"/>
  <cols>
    <col min="1" max="1" width="1.875" customWidth="1"/>
    <col min="2" max="2" width="50.625" bestFit="1" customWidth="1"/>
    <col min="3" max="3" width="35.125" customWidth="1"/>
    <col min="4" max="4" width="13" customWidth="1"/>
    <col min="5" max="5" width="47.375" style="18" customWidth="1"/>
    <col min="6" max="6" width="2.125" bestFit="1" customWidth="1"/>
    <col min="8" max="8" width="19.125" customWidth="1"/>
  </cols>
  <sheetData>
    <row r="1" spans="1:8" ht="52.5" customHeight="1" x14ac:dyDescent="0.2">
      <c r="A1" s="56"/>
      <c r="B1" s="122" t="s">
        <v>89</v>
      </c>
      <c r="C1" s="122"/>
      <c r="D1" s="122"/>
      <c r="E1" s="122"/>
      <c r="F1" s="122"/>
      <c r="G1" s="122"/>
      <c r="H1" s="122"/>
    </row>
    <row r="2" spans="1:8" ht="54" customHeight="1" x14ac:dyDescent="0.2">
      <c r="A2" s="36"/>
      <c r="B2" s="52" t="s">
        <v>61</v>
      </c>
      <c r="C2" s="40">
        <f>F6</f>
        <v>0</v>
      </c>
      <c r="D2" s="36"/>
      <c r="E2" s="54"/>
      <c r="F2" s="36"/>
      <c r="G2" s="36"/>
      <c r="H2" s="36"/>
    </row>
    <row r="3" spans="1:8" ht="42.75" customHeight="1" x14ac:dyDescent="0.2">
      <c r="A3" s="36"/>
      <c r="B3" s="53" t="s">
        <v>63</v>
      </c>
      <c r="C3" s="55"/>
      <c r="D3" s="36"/>
      <c r="E3" s="54"/>
      <c r="F3" s="36"/>
      <c r="G3" s="36"/>
      <c r="H3" s="36"/>
    </row>
    <row r="4" spans="1:8" x14ac:dyDescent="0.2">
      <c r="A4" s="36"/>
      <c r="B4" s="36"/>
      <c r="C4" s="36"/>
      <c r="D4" s="36"/>
      <c r="E4" s="54"/>
      <c r="F4" s="36"/>
      <c r="G4" s="36"/>
      <c r="H4" s="36"/>
    </row>
    <row r="5" spans="1:8" ht="15" thickBot="1" x14ac:dyDescent="0.25">
      <c r="A5" s="36"/>
      <c r="B5" s="36"/>
      <c r="C5" s="36"/>
      <c r="D5" s="36"/>
      <c r="E5" s="54"/>
      <c r="F5" s="36"/>
      <c r="G5" s="36"/>
      <c r="H5" s="36"/>
    </row>
    <row r="6" spans="1:8" ht="15.75" thickBot="1" x14ac:dyDescent="0.3">
      <c r="A6" s="36"/>
      <c r="B6" s="41" t="s">
        <v>56</v>
      </c>
      <c r="C6" s="19" t="s">
        <v>48</v>
      </c>
      <c r="D6" s="22" t="s">
        <v>57</v>
      </c>
      <c r="E6" s="19" t="s">
        <v>66</v>
      </c>
      <c r="F6" s="54">
        <f>SUM(F7:F102)</f>
        <v>0</v>
      </c>
      <c r="G6" s="123" t="s">
        <v>67</v>
      </c>
      <c r="H6" s="124"/>
    </row>
    <row r="7" spans="1:8" ht="15.75" thickBot="1" x14ac:dyDescent="0.3">
      <c r="A7" s="36"/>
      <c r="B7" s="57" t="str">
        <f>IF('Modell-Kalibrierung'!B29=0," ",'Modell-Kalibrierung'!B29)</f>
        <v>Strategische Bedeutung/ Beitrag zur Unternehmensstrategie</v>
      </c>
      <c r="C7" s="21" t="str">
        <f>IF('Modell-Kalibrierung'!C29=0," ",'Modell-Kalibrierung'!C29)</f>
        <v>sehr wichtig</v>
      </c>
      <c r="D7" s="58"/>
      <c r="E7" s="117"/>
      <c r="F7" s="54">
        <f>IF(C7=" "," ",(VLOOKUP(C7,'Modell-Kalibrierung'!$H$28:$I$32,2,FALSE))*D7)</f>
        <v>0</v>
      </c>
      <c r="G7" s="26" t="s">
        <v>50</v>
      </c>
      <c r="H7" s="27" t="s">
        <v>58</v>
      </c>
    </row>
    <row r="8" spans="1:8" x14ac:dyDescent="0.2">
      <c r="A8" s="36"/>
      <c r="B8" s="57" t="str">
        <f>IF('Modell-Kalibrierung'!B30=0," ",'Modell-Kalibrierung'!B30)</f>
        <v>Wirtschaftlichkeit Kosten/Nutzenrelation)</v>
      </c>
      <c r="C8" s="21" t="str">
        <f>IF('Modell-Kalibrierung'!C30=0," ",'Modell-Kalibrierung'!C30)</f>
        <v>wichtig</v>
      </c>
      <c r="D8" s="58"/>
      <c r="E8" s="117"/>
      <c r="F8" s="54">
        <f>IF(C8=" "," ",(VLOOKUP(C8,'Modell-Kalibrierung'!$H$28:$I$32,2,FALSE))*D8)</f>
        <v>0</v>
      </c>
      <c r="G8" s="28">
        <f>'Modell-Kalibrierung'!E29</f>
        <v>1</v>
      </c>
      <c r="H8" s="29" t="str">
        <f>IF('Modell-Kalibrierung'!F29=0," ",'Modell-Kalibrierung'!F29)</f>
        <v>sehr gering/ schlecht</v>
      </c>
    </row>
    <row r="9" spans="1:8" x14ac:dyDescent="0.2">
      <c r="A9" s="36"/>
      <c r="B9" s="57" t="str">
        <f>IF('Modell-Kalibrierung'!B31=0," ",'Modell-Kalibrierung'!B31)</f>
        <v>Operative Dringlichkeit</v>
      </c>
      <c r="C9" s="21" t="str">
        <f>IF('Modell-Kalibrierung'!C31=0," ",'Modell-Kalibrierung'!C31)</f>
        <v>weniger wichtig</v>
      </c>
      <c r="D9" s="58"/>
      <c r="E9" s="117"/>
      <c r="F9" s="54">
        <f>IF(C9=" "," ",(VLOOKUP(C9,'Modell-Kalibrierung'!$H$28:$I$32,2,FALSE))*D9)</f>
        <v>0</v>
      </c>
      <c r="G9" s="30">
        <f>'Modell-Kalibrierung'!E30</f>
        <v>2</v>
      </c>
      <c r="H9" s="31" t="str">
        <f>IF('Modell-Kalibrierung'!F30=0," ",'Modell-Kalibrierung'!F30)</f>
        <v xml:space="preserve"> </v>
      </c>
    </row>
    <row r="10" spans="1:8" x14ac:dyDescent="0.2">
      <c r="A10" s="36"/>
      <c r="B10" s="57" t="str">
        <f>IF('Modell-Kalibrierung'!B32=0," ",'Modell-Kalibrierung'!B32)</f>
        <v>Wichtigkeit des Kunden</v>
      </c>
      <c r="C10" s="21" t="str">
        <f>IF('Modell-Kalibrierung'!C32=0," ",'Modell-Kalibrierung'!C32)</f>
        <v>sehr wichtig</v>
      </c>
      <c r="D10" s="58"/>
      <c r="E10" s="117"/>
      <c r="F10" s="54">
        <f>IF(C10=" "," ",(VLOOKUP(C10,'Modell-Kalibrierung'!$H$28:$I$32,2,FALSE))*D10)</f>
        <v>0</v>
      </c>
      <c r="G10" s="30">
        <f>'Modell-Kalibrierung'!E31</f>
        <v>3</v>
      </c>
      <c r="H10" s="31" t="str">
        <f>IF('Modell-Kalibrierung'!F31=0," ",'Modell-Kalibrierung'!F31)</f>
        <v xml:space="preserve"> </v>
      </c>
    </row>
    <row r="11" spans="1:8" x14ac:dyDescent="0.2">
      <c r="A11" s="36"/>
      <c r="B11" s="57" t="str">
        <f>IF('Modell-Kalibrierung'!B33=0," ",'Modell-Kalibrierung'!B33)</f>
        <v>Markt/ Wettbewerbssituation</v>
      </c>
      <c r="C11" s="21" t="str">
        <f>IF('Modell-Kalibrierung'!C33=0," ",'Modell-Kalibrierung'!C33)</f>
        <v>kann vernachlässigt werden</v>
      </c>
      <c r="D11" s="58"/>
      <c r="E11" s="117"/>
      <c r="F11" s="54">
        <f>IF(C11=" "," ",(VLOOKUP(C11,'Modell-Kalibrierung'!$H$28:$I$32,2,FALSE))*D11)</f>
        <v>0</v>
      </c>
      <c r="G11" s="30">
        <f>'Modell-Kalibrierung'!E32</f>
        <v>4</v>
      </c>
      <c r="H11" s="31" t="str">
        <f>IF('Modell-Kalibrierung'!F32=0," ",'Modell-Kalibrierung'!F32)</f>
        <v xml:space="preserve"> </v>
      </c>
    </row>
    <row r="12" spans="1:8" x14ac:dyDescent="0.2">
      <c r="A12" s="36"/>
      <c r="B12" s="57" t="str">
        <f>IF('Modell-Kalibrierung'!B34=0," ",'Modell-Kalibrierung'!B34)</f>
        <v>Reputation</v>
      </c>
      <c r="C12" s="21" t="str">
        <f>IF('Modell-Kalibrierung'!C34=0," ",'Modell-Kalibrierung'!C34)</f>
        <v>wichtig</v>
      </c>
      <c r="D12" s="58"/>
      <c r="E12" s="117"/>
      <c r="F12" s="54">
        <f>IF(C12=" "," ",(VLOOKUP(C12,'Modell-Kalibrierung'!$H$28:$I$32,2,FALSE))*D12)</f>
        <v>0</v>
      </c>
      <c r="G12" s="30">
        <f>'Modell-Kalibrierung'!E33</f>
        <v>5</v>
      </c>
      <c r="H12" s="31" t="str">
        <f>IF('Modell-Kalibrierung'!F33=0," ",'Modell-Kalibrierung'!F33)</f>
        <v xml:space="preserve"> </v>
      </c>
    </row>
    <row r="13" spans="1:8" x14ac:dyDescent="0.2">
      <c r="A13" s="36"/>
      <c r="B13" s="57" t="str">
        <f>IF('Modell-Kalibrierung'!B35=0," ",'Modell-Kalibrierung'!B35)</f>
        <v xml:space="preserve"> </v>
      </c>
      <c r="C13" s="21" t="str">
        <f>IF('Modell-Kalibrierung'!C35=0," ",'Modell-Kalibrierung'!C35)</f>
        <v xml:space="preserve"> </v>
      </c>
      <c r="D13" s="58"/>
      <c r="E13" s="117"/>
      <c r="F13" s="54" t="str">
        <f>IF(C13=" "," ",(VLOOKUP(C13,'Modell-Kalibrierung'!$H$28:$I$32,2,FALSE))*D13)</f>
        <v xml:space="preserve"> </v>
      </c>
      <c r="G13" s="30">
        <f>'Modell-Kalibrierung'!E34</f>
        <v>6</v>
      </c>
      <c r="H13" s="31" t="str">
        <f>IF('Modell-Kalibrierung'!F34=0," ",'Modell-Kalibrierung'!F34)</f>
        <v xml:space="preserve"> </v>
      </c>
    </row>
    <row r="14" spans="1:8" x14ac:dyDescent="0.2">
      <c r="A14" s="36"/>
      <c r="B14" s="57" t="str">
        <f>IF('Modell-Kalibrierung'!B36=0," ",'Modell-Kalibrierung'!B36)</f>
        <v xml:space="preserve"> </v>
      </c>
      <c r="C14" s="21" t="str">
        <f>IF('Modell-Kalibrierung'!C36=0," ",'Modell-Kalibrierung'!C36)</f>
        <v xml:space="preserve"> </v>
      </c>
      <c r="D14" s="58"/>
      <c r="E14" s="117"/>
      <c r="F14" s="54" t="str">
        <f>IF(C14=" "," ",(VLOOKUP(C14,'Modell-Kalibrierung'!$H$28:$I$32,2,FALSE))*D14)</f>
        <v xml:space="preserve"> </v>
      </c>
      <c r="G14" s="30">
        <f>'Modell-Kalibrierung'!E35</f>
        <v>7</v>
      </c>
      <c r="H14" s="31" t="str">
        <f>IF('Modell-Kalibrierung'!F35=0," ",'Modell-Kalibrierung'!F35)</f>
        <v xml:space="preserve"> </v>
      </c>
    </row>
    <row r="15" spans="1:8" ht="15" thickBot="1" x14ac:dyDescent="0.25">
      <c r="A15" s="36"/>
      <c r="B15" s="57" t="str">
        <f>IF('Modell-Kalibrierung'!B37=0," ",'Modell-Kalibrierung'!B37)</f>
        <v xml:space="preserve"> </v>
      </c>
      <c r="C15" s="21" t="str">
        <f>IF('Modell-Kalibrierung'!C37=0," ",'Modell-Kalibrierung'!C37)</f>
        <v xml:space="preserve"> </v>
      </c>
      <c r="D15" s="58"/>
      <c r="E15" s="117"/>
      <c r="F15" s="54" t="str">
        <f>IF(C15=" "," ",(VLOOKUP(C15,'Modell-Kalibrierung'!$H$28:$I$32,2,FALSE))*D15)</f>
        <v xml:space="preserve"> </v>
      </c>
      <c r="G15" s="32">
        <f>'Modell-Kalibrierung'!E36</f>
        <v>8</v>
      </c>
      <c r="H15" s="33" t="str">
        <f>IF('Modell-Kalibrierung'!F36=0," ",'Modell-Kalibrierung'!F36)</f>
        <v>sehr hoch/ gut</v>
      </c>
    </row>
    <row r="16" spans="1:8" x14ac:dyDescent="0.2">
      <c r="A16" s="36"/>
      <c r="B16" s="57" t="str">
        <f>IF('Modell-Kalibrierung'!B38=0," ",'Modell-Kalibrierung'!B38)</f>
        <v xml:space="preserve"> </v>
      </c>
      <c r="C16" s="21" t="str">
        <f>IF('Modell-Kalibrierung'!C38=0," ",'Modell-Kalibrierung'!C38)</f>
        <v xml:space="preserve"> </v>
      </c>
      <c r="D16" s="58"/>
      <c r="E16" s="117"/>
      <c r="F16" s="54" t="str">
        <f>IF(C16=" "," ",(VLOOKUP(C16,'Modell-Kalibrierung'!$H$28:$I$32,2,FALSE))*D16)</f>
        <v xml:space="preserve"> </v>
      </c>
      <c r="G16" s="36"/>
      <c r="H16" s="36"/>
    </row>
    <row r="17" spans="1:8" x14ac:dyDescent="0.2">
      <c r="A17" s="36"/>
      <c r="B17" s="57" t="str">
        <f>IF('Modell-Kalibrierung'!B39=0," ",'Modell-Kalibrierung'!B39)</f>
        <v xml:space="preserve"> </v>
      </c>
      <c r="C17" s="21" t="str">
        <f>IF('Modell-Kalibrierung'!C39=0," ",'Modell-Kalibrierung'!C39)</f>
        <v xml:space="preserve"> </v>
      </c>
      <c r="D17" s="58"/>
      <c r="E17" s="117"/>
      <c r="F17" s="54" t="str">
        <f>IF(C17=" "," ",(VLOOKUP(C17,'Modell-Kalibrierung'!$H$28:$I$32,2,FALSE))*D17)</f>
        <v xml:space="preserve"> </v>
      </c>
      <c r="G17" s="36"/>
      <c r="H17" s="36"/>
    </row>
    <row r="18" spans="1:8" x14ac:dyDescent="0.2">
      <c r="A18" s="36"/>
      <c r="B18" s="57" t="str">
        <f>IF('Modell-Kalibrierung'!B40=0," ",'Modell-Kalibrierung'!B40)</f>
        <v xml:space="preserve"> </v>
      </c>
      <c r="C18" s="21" t="str">
        <f>IF('Modell-Kalibrierung'!C40=0," ",'Modell-Kalibrierung'!C40)</f>
        <v xml:space="preserve"> </v>
      </c>
      <c r="D18" s="58"/>
      <c r="E18" s="117"/>
      <c r="F18" s="54" t="str">
        <f>IF(C18=" "," ",(VLOOKUP(C18,'Modell-Kalibrierung'!$H$28:$I$32,2,FALSE))*D18)</f>
        <v xml:space="preserve"> </v>
      </c>
      <c r="G18" s="36"/>
      <c r="H18" s="36"/>
    </row>
    <row r="19" spans="1:8" x14ac:dyDescent="0.2">
      <c r="A19" s="36"/>
      <c r="B19" s="57" t="str">
        <f>IF('Modell-Kalibrierung'!B41=0," ",'Modell-Kalibrierung'!B41)</f>
        <v xml:space="preserve"> </v>
      </c>
      <c r="C19" s="21" t="str">
        <f>IF('Modell-Kalibrierung'!C41=0," ",'Modell-Kalibrierung'!C41)</f>
        <v xml:space="preserve"> </v>
      </c>
      <c r="D19" s="58"/>
      <c r="E19" s="117"/>
      <c r="F19" s="54" t="str">
        <f>IF(C19=" "," ",(VLOOKUP(C19,'Modell-Kalibrierung'!$H$28:$I$32,2,FALSE))*D19)</f>
        <v xml:space="preserve"> </v>
      </c>
      <c r="G19" s="36"/>
      <c r="H19" s="36"/>
    </row>
    <row r="20" spans="1:8" x14ac:dyDescent="0.2">
      <c r="A20" s="36"/>
      <c r="B20" s="57" t="str">
        <f>IF('Modell-Kalibrierung'!B42=0," ",'Modell-Kalibrierung'!B42)</f>
        <v xml:space="preserve"> </v>
      </c>
      <c r="C20" s="21" t="str">
        <f>IF('Modell-Kalibrierung'!C42=0," ",'Modell-Kalibrierung'!C42)</f>
        <v xml:space="preserve"> </v>
      </c>
      <c r="D20" s="58"/>
      <c r="E20" s="117"/>
      <c r="F20" s="54" t="str">
        <f>IF(C20=" "," ",(VLOOKUP(C20,'Modell-Kalibrierung'!$H$28:$I$32,2,FALSE))*D20)</f>
        <v xml:space="preserve"> </v>
      </c>
      <c r="G20" s="36"/>
      <c r="H20" s="36"/>
    </row>
    <row r="21" spans="1:8" x14ac:dyDescent="0.2">
      <c r="A21" s="36"/>
      <c r="B21" s="57" t="str">
        <f>IF('Modell-Kalibrierung'!B43=0," ",'Modell-Kalibrierung'!B43)</f>
        <v xml:space="preserve"> </v>
      </c>
      <c r="C21" s="21" t="str">
        <f>IF('Modell-Kalibrierung'!C43=0," ",'Modell-Kalibrierung'!C43)</f>
        <v xml:space="preserve"> </v>
      </c>
      <c r="D21" s="58"/>
      <c r="E21" s="117"/>
      <c r="F21" s="54" t="str">
        <f>IF(C21=" "," ",(VLOOKUP(C21,'Modell-Kalibrierung'!$H$28:$I$32,2,FALSE))*D21)</f>
        <v xml:space="preserve"> </v>
      </c>
      <c r="G21" s="36"/>
      <c r="H21" s="36"/>
    </row>
    <row r="22" spans="1:8" x14ac:dyDescent="0.2">
      <c r="A22" s="36"/>
      <c r="B22" s="57" t="str">
        <f>IF('Modell-Kalibrierung'!B44=0," ",'Modell-Kalibrierung'!B44)</f>
        <v xml:space="preserve"> </v>
      </c>
      <c r="C22" s="21" t="str">
        <f>IF('Modell-Kalibrierung'!C44=0," ",'Modell-Kalibrierung'!C44)</f>
        <v xml:space="preserve"> </v>
      </c>
      <c r="D22" s="58"/>
      <c r="E22" s="117"/>
      <c r="F22" s="54" t="str">
        <f>IF(C22=" "," ",(VLOOKUP(C22,'Modell-Kalibrierung'!$H$28:$I$32,2,FALSE))*D22)</f>
        <v xml:space="preserve"> </v>
      </c>
      <c r="G22" s="36"/>
      <c r="H22" s="36"/>
    </row>
    <row r="23" spans="1:8" x14ac:dyDescent="0.2">
      <c r="A23" s="36"/>
      <c r="B23" s="57" t="str">
        <f>IF('Modell-Kalibrierung'!B45=0," ",'Modell-Kalibrierung'!B45)</f>
        <v xml:space="preserve"> </v>
      </c>
      <c r="C23" s="21" t="str">
        <f>IF('Modell-Kalibrierung'!C45=0," ",'Modell-Kalibrierung'!C45)</f>
        <v xml:space="preserve"> </v>
      </c>
      <c r="D23" s="58"/>
      <c r="E23" s="117"/>
      <c r="F23" s="54" t="str">
        <f>IF(C23=" "," ",(VLOOKUP(C23,'Modell-Kalibrierung'!$H$28:$I$32,2,FALSE))*D23)</f>
        <v xml:space="preserve"> </v>
      </c>
      <c r="G23" s="36"/>
      <c r="H23" s="36"/>
    </row>
    <row r="24" spans="1:8" x14ac:dyDescent="0.2">
      <c r="A24" s="36"/>
      <c r="B24" s="57" t="str">
        <f>IF('Modell-Kalibrierung'!B46=0," ",'Modell-Kalibrierung'!B46)</f>
        <v xml:space="preserve"> </v>
      </c>
      <c r="C24" s="21" t="str">
        <f>IF('Modell-Kalibrierung'!C46=0," ",'Modell-Kalibrierung'!C46)</f>
        <v xml:space="preserve"> </v>
      </c>
      <c r="D24" s="58"/>
      <c r="E24" s="117"/>
      <c r="F24" s="54" t="str">
        <f>IF(C24=" "," ",(VLOOKUP(C24,'Modell-Kalibrierung'!$H$28:$I$32,2,FALSE))*D24)</f>
        <v xml:space="preserve"> </v>
      </c>
      <c r="G24" s="36"/>
      <c r="H24" s="36"/>
    </row>
    <row r="25" spans="1:8" x14ac:dyDescent="0.2">
      <c r="A25" s="36"/>
      <c r="B25" s="57" t="str">
        <f>IF('Modell-Kalibrierung'!B47=0," ",'Modell-Kalibrierung'!B47)</f>
        <v xml:space="preserve"> </v>
      </c>
      <c r="C25" s="21" t="str">
        <f>IF('Modell-Kalibrierung'!C47=0," ",'Modell-Kalibrierung'!C47)</f>
        <v xml:space="preserve"> </v>
      </c>
      <c r="D25" s="58"/>
      <c r="E25" s="117"/>
      <c r="F25" s="54" t="str">
        <f>IF(C25=" "," ",(VLOOKUP(C25,'Modell-Kalibrierung'!$H$28:$I$32,2,FALSE))*D25)</f>
        <v xml:space="preserve"> </v>
      </c>
      <c r="G25" s="36"/>
      <c r="H25" s="36"/>
    </row>
    <row r="26" spans="1:8" x14ac:dyDescent="0.2">
      <c r="A26" s="36"/>
      <c r="B26" s="57" t="str">
        <f>IF('Modell-Kalibrierung'!B48=0," ",'Modell-Kalibrierung'!B48)</f>
        <v xml:space="preserve"> </v>
      </c>
      <c r="C26" s="21" t="str">
        <f>IF('Modell-Kalibrierung'!C48=0," ",'Modell-Kalibrierung'!C48)</f>
        <v xml:space="preserve"> </v>
      </c>
      <c r="D26" s="58"/>
      <c r="E26" s="117"/>
      <c r="F26" s="54" t="str">
        <f>IF(C26=" "," ",(VLOOKUP(C26,'Modell-Kalibrierung'!$H$28:$I$32,2,FALSE))*D26)</f>
        <v xml:space="preserve"> </v>
      </c>
      <c r="G26" s="36"/>
      <c r="H26" s="36"/>
    </row>
    <row r="27" spans="1:8" x14ac:dyDescent="0.2">
      <c r="A27" s="36"/>
      <c r="B27" s="57" t="str">
        <f>IF('Modell-Kalibrierung'!B49=0," ",'Modell-Kalibrierung'!B49)</f>
        <v xml:space="preserve"> </v>
      </c>
      <c r="C27" s="21" t="str">
        <f>IF('Modell-Kalibrierung'!C49=0," ",'Modell-Kalibrierung'!C49)</f>
        <v xml:space="preserve"> </v>
      </c>
      <c r="D27" s="58"/>
      <c r="E27" s="117"/>
      <c r="F27" s="54" t="str">
        <f>IF(C27=" "," ",(VLOOKUP(C27,'Modell-Kalibrierung'!$H$28:$I$32,2,FALSE))*D27)</f>
        <v xml:space="preserve"> </v>
      </c>
      <c r="G27" s="36"/>
      <c r="H27" s="36"/>
    </row>
    <row r="28" spans="1:8" x14ac:dyDescent="0.2">
      <c r="A28" s="36"/>
      <c r="B28" s="57" t="str">
        <f>IF('Modell-Kalibrierung'!B50=0," ",'Modell-Kalibrierung'!B50)</f>
        <v xml:space="preserve"> </v>
      </c>
      <c r="C28" s="21" t="str">
        <f>IF('Modell-Kalibrierung'!C50=0," ",'Modell-Kalibrierung'!C50)</f>
        <v xml:space="preserve"> </v>
      </c>
      <c r="D28" s="58"/>
      <c r="E28" s="117"/>
      <c r="F28" s="54" t="str">
        <f>IF(C28=" "," ",(VLOOKUP(C28,'Modell-Kalibrierung'!$H$28:$I$32,2,FALSE))*D28)</f>
        <v xml:space="preserve"> </v>
      </c>
      <c r="G28" s="36"/>
      <c r="H28" s="36"/>
    </row>
    <row r="29" spans="1:8" x14ac:dyDescent="0.2">
      <c r="A29" s="36"/>
      <c r="B29" s="57" t="str">
        <f>IF('Modell-Kalibrierung'!B51=0," ",'Modell-Kalibrierung'!B51)</f>
        <v xml:space="preserve"> </v>
      </c>
      <c r="C29" s="21" t="str">
        <f>IF('Modell-Kalibrierung'!C51=0," ",'Modell-Kalibrierung'!C51)</f>
        <v xml:space="preserve"> </v>
      </c>
      <c r="D29" s="58"/>
      <c r="E29" s="117"/>
      <c r="F29" s="54" t="str">
        <f>IF(C29=" "," ",(VLOOKUP(C29,'Modell-Kalibrierung'!$H$28:$I$32,2,FALSE))*D29)</f>
        <v xml:space="preserve"> </v>
      </c>
      <c r="G29" s="36"/>
      <c r="H29" s="36"/>
    </row>
    <row r="30" spans="1:8" x14ac:dyDescent="0.2">
      <c r="A30" s="36"/>
      <c r="B30" s="57" t="str">
        <f>IF('Modell-Kalibrierung'!B52=0," ",'Modell-Kalibrierung'!B52)</f>
        <v xml:space="preserve"> </v>
      </c>
      <c r="C30" s="21" t="str">
        <f>IF('Modell-Kalibrierung'!C52=0," ",'Modell-Kalibrierung'!C52)</f>
        <v xml:space="preserve"> </v>
      </c>
      <c r="D30" s="58"/>
      <c r="E30" s="117"/>
      <c r="F30" s="54" t="str">
        <f>IF(C30=" "," ",(VLOOKUP(C30,'Modell-Kalibrierung'!$H$28:$I$32,2,FALSE))*D30)</f>
        <v xml:space="preserve"> </v>
      </c>
      <c r="G30" s="36"/>
      <c r="H30" s="36"/>
    </row>
    <row r="31" spans="1:8" x14ac:dyDescent="0.2">
      <c r="A31" s="36"/>
      <c r="B31" s="57" t="str">
        <f>IF('Modell-Kalibrierung'!B53=0," ",'Modell-Kalibrierung'!B53)</f>
        <v xml:space="preserve"> </v>
      </c>
      <c r="C31" s="21" t="str">
        <f>IF('Modell-Kalibrierung'!C53=0," ",'Modell-Kalibrierung'!C53)</f>
        <v xml:space="preserve"> </v>
      </c>
      <c r="D31" s="58"/>
      <c r="E31" s="117"/>
      <c r="F31" s="54" t="str">
        <f>IF(C31=" "," ",(VLOOKUP(C31,'Modell-Kalibrierung'!$H$28:$I$32,2,FALSE))*D31)</f>
        <v xml:space="preserve"> </v>
      </c>
      <c r="G31" s="36"/>
      <c r="H31" s="36"/>
    </row>
    <row r="32" spans="1:8" x14ac:dyDescent="0.2">
      <c r="A32" s="36"/>
      <c r="B32" s="57" t="str">
        <f>IF('Modell-Kalibrierung'!B54=0," ",'Modell-Kalibrierung'!B54)</f>
        <v xml:space="preserve"> </v>
      </c>
      <c r="C32" s="21" t="str">
        <f>IF('Modell-Kalibrierung'!C54=0," ",'Modell-Kalibrierung'!C54)</f>
        <v xml:space="preserve"> </v>
      </c>
      <c r="D32" s="58"/>
      <c r="E32" s="117"/>
      <c r="F32" s="54" t="str">
        <f>IF(C32=" "," ",(VLOOKUP(C32,'Modell-Kalibrierung'!$H$28:$I$32,2,FALSE))*D32)</f>
        <v xml:space="preserve"> </v>
      </c>
      <c r="G32" s="36"/>
      <c r="H32" s="36"/>
    </row>
    <row r="33" spans="1:8" x14ac:dyDescent="0.2">
      <c r="A33" s="36"/>
      <c r="B33" s="57" t="str">
        <f>IF('Modell-Kalibrierung'!B55=0," ",'Modell-Kalibrierung'!B55)</f>
        <v xml:space="preserve"> </v>
      </c>
      <c r="C33" s="21" t="str">
        <f>IF('Modell-Kalibrierung'!C55=0," ",'Modell-Kalibrierung'!C55)</f>
        <v xml:space="preserve"> </v>
      </c>
      <c r="D33" s="58"/>
      <c r="E33" s="117"/>
      <c r="F33" s="54" t="str">
        <f>IF(C33=" "," ",(VLOOKUP(C33,'Modell-Kalibrierung'!$H$28:$I$32,2,FALSE))*D33)</f>
        <v xml:space="preserve"> </v>
      </c>
      <c r="G33" s="36"/>
      <c r="H33" s="36"/>
    </row>
    <row r="34" spans="1:8" x14ac:dyDescent="0.2">
      <c r="A34" s="36"/>
      <c r="B34" s="57" t="str">
        <f>IF('Modell-Kalibrierung'!B56=0," ",'Modell-Kalibrierung'!B56)</f>
        <v xml:space="preserve"> </v>
      </c>
      <c r="C34" s="21" t="str">
        <f>IF('Modell-Kalibrierung'!C56=0," ",'Modell-Kalibrierung'!C56)</f>
        <v xml:space="preserve"> </v>
      </c>
      <c r="D34" s="58"/>
      <c r="E34" s="117"/>
      <c r="F34" s="54" t="str">
        <f>IF(C34=" "," ",(VLOOKUP(C34,'Modell-Kalibrierung'!$H$28:$I$32,2,FALSE))*D34)</f>
        <v xml:space="preserve"> </v>
      </c>
      <c r="G34" s="36"/>
      <c r="H34" s="36"/>
    </row>
    <row r="35" spans="1:8" x14ac:dyDescent="0.2">
      <c r="A35" s="36"/>
      <c r="B35" s="57" t="str">
        <f>IF('Modell-Kalibrierung'!B57=0," ",'Modell-Kalibrierung'!B57)</f>
        <v xml:space="preserve"> </v>
      </c>
      <c r="C35" s="21" t="str">
        <f>IF('Modell-Kalibrierung'!C57=0," ",'Modell-Kalibrierung'!C57)</f>
        <v xml:space="preserve"> </v>
      </c>
      <c r="D35" s="58"/>
      <c r="E35" s="117"/>
      <c r="F35" s="54" t="str">
        <f>IF(C35=" "," ",(VLOOKUP(C35,'Modell-Kalibrierung'!$H$28:$I$32,2,FALSE))*D35)</f>
        <v xml:space="preserve"> </v>
      </c>
      <c r="G35" s="36"/>
      <c r="H35" s="36"/>
    </row>
    <row r="36" spans="1:8" x14ac:dyDescent="0.2">
      <c r="A36" s="36"/>
      <c r="B36" s="57" t="str">
        <f>IF('Modell-Kalibrierung'!B58=0," ",'Modell-Kalibrierung'!B58)</f>
        <v xml:space="preserve"> </v>
      </c>
      <c r="C36" s="21" t="str">
        <f>IF('Modell-Kalibrierung'!C58=0," ",'Modell-Kalibrierung'!C58)</f>
        <v xml:space="preserve"> </v>
      </c>
      <c r="D36" s="58"/>
      <c r="E36" s="117"/>
      <c r="F36" s="54" t="str">
        <f>IF(C36=" "," ",(VLOOKUP(C36,'Modell-Kalibrierung'!$H$28:$I$32,2,FALSE))*D36)</f>
        <v xml:space="preserve"> </v>
      </c>
      <c r="G36" s="36"/>
      <c r="H36" s="36"/>
    </row>
    <row r="37" spans="1:8" x14ac:dyDescent="0.2">
      <c r="A37" s="36"/>
      <c r="B37" s="57" t="str">
        <f>IF('Modell-Kalibrierung'!B59=0," ",'Modell-Kalibrierung'!B59)</f>
        <v xml:space="preserve"> </v>
      </c>
      <c r="C37" s="21" t="str">
        <f>IF('Modell-Kalibrierung'!C59=0," ",'Modell-Kalibrierung'!C59)</f>
        <v xml:space="preserve"> </v>
      </c>
      <c r="D37" s="58"/>
      <c r="E37" s="117"/>
      <c r="F37" s="54" t="str">
        <f>IF(C37=" "," ",(VLOOKUP(C37,'Modell-Kalibrierung'!$H$28:$I$32,2,FALSE))*D37)</f>
        <v xml:space="preserve"> </v>
      </c>
      <c r="G37" s="36"/>
      <c r="H37" s="36"/>
    </row>
    <row r="38" spans="1:8" x14ac:dyDescent="0.2">
      <c r="A38" s="36"/>
      <c r="B38" s="57" t="str">
        <f>IF('Modell-Kalibrierung'!B60=0," ",'Modell-Kalibrierung'!B60)</f>
        <v xml:space="preserve"> </v>
      </c>
      <c r="C38" s="21" t="str">
        <f>IF('Modell-Kalibrierung'!C60=0," ",'Modell-Kalibrierung'!C60)</f>
        <v xml:space="preserve"> </v>
      </c>
      <c r="D38" s="58"/>
      <c r="E38" s="117"/>
      <c r="F38" s="54" t="str">
        <f>IF(C38=" "," ",(VLOOKUP(C38,'Modell-Kalibrierung'!$H$28:$I$32,2,FALSE))*D38)</f>
        <v xml:space="preserve"> </v>
      </c>
      <c r="G38" s="36"/>
      <c r="H38" s="36"/>
    </row>
    <row r="39" spans="1:8" x14ac:dyDescent="0.2">
      <c r="A39" s="36"/>
      <c r="B39" s="57" t="str">
        <f>IF('Modell-Kalibrierung'!B61=0," ",'Modell-Kalibrierung'!B61)</f>
        <v xml:space="preserve"> </v>
      </c>
      <c r="C39" s="21" t="str">
        <f>IF('Modell-Kalibrierung'!C61=0," ",'Modell-Kalibrierung'!C61)</f>
        <v xml:space="preserve"> </v>
      </c>
      <c r="D39" s="58"/>
      <c r="E39" s="117"/>
      <c r="F39" s="54" t="str">
        <f>IF(C39=" "," ",(VLOOKUP(C39,'Modell-Kalibrierung'!$H$28:$I$32,2,FALSE))*D39)</f>
        <v xml:space="preserve"> </v>
      </c>
      <c r="G39" s="36"/>
      <c r="H39" s="36"/>
    </row>
    <row r="40" spans="1:8" x14ac:dyDescent="0.2">
      <c r="A40" s="36"/>
      <c r="B40" s="57" t="str">
        <f>IF('Modell-Kalibrierung'!B62=0," ",'Modell-Kalibrierung'!B62)</f>
        <v xml:space="preserve"> </v>
      </c>
      <c r="C40" s="21" t="str">
        <f>IF('Modell-Kalibrierung'!C62=0," ",'Modell-Kalibrierung'!C62)</f>
        <v xml:space="preserve"> </v>
      </c>
      <c r="D40" s="58"/>
      <c r="E40" s="117"/>
      <c r="F40" s="54" t="str">
        <f>IF(C40=" "," ",(VLOOKUP(C40,'Modell-Kalibrierung'!$H$28:$I$32,2,FALSE))*D40)</f>
        <v xml:space="preserve"> </v>
      </c>
      <c r="G40" s="36"/>
      <c r="H40" s="36"/>
    </row>
    <row r="41" spans="1:8" x14ac:dyDescent="0.2">
      <c r="A41" s="36"/>
      <c r="B41" s="57" t="str">
        <f>IF('Modell-Kalibrierung'!B63=0," ",'Modell-Kalibrierung'!B63)</f>
        <v xml:space="preserve"> </v>
      </c>
      <c r="C41" s="21" t="str">
        <f>IF('Modell-Kalibrierung'!C63=0," ",'Modell-Kalibrierung'!C63)</f>
        <v xml:space="preserve"> </v>
      </c>
      <c r="D41" s="58"/>
      <c r="E41" s="117"/>
      <c r="F41" s="54" t="str">
        <f>IF(C41=" "," ",(VLOOKUP(C41,'Modell-Kalibrierung'!$H$28:$I$32,2,FALSE))*D41)</f>
        <v xml:space="preserve"> </v>
      </c>
      <c r="G41" s="36"/>
      <c r="H41" s="36"/>
    </row>
    <row r="42" spans="1:8" x14ac:dyDescent="0.2">
      <c r="A42" s="36"/>
      <c r="B42" s="57" t="str">
        <f>IF('Modell-Kalibrierung'!B64=0," ",'Modell-Kalibrierung'!B64)</f>
        <v xml:space="preserve"> </v>
      </c>
      <c r="C42" s="21" t="str">
        <f>IF('Modell-Kalibrierung'!C64=0," ",'Modell-Kalibrierung'!C64)</f>
        <v xml:space="preserve"> </v>
      </c>
      <c r="D42" s="58"/>
      <c r="E42" s="117"/>
      <c r="F42" s="54" t="str">
        <f>IF(C42=" "," ",(VLOOKUP(C42,'Modell-Kalibrierung'!$H$28:$I$32,2,FALSE))*D42)</f>
        <v xml:space="preserve"> </v>
      </c>
      <c r="G42" s="36"/>
      <c r="H42" s="36"/>
    </row>
    <row r="43" spans="1:8" x14ac:dyDescent="0.2">
      <c r="A43" s="36"/>
      <c r="B43" s="57" t="str">
        <f>IF('Modell-Kalibrierung'!B65=0," ",'Modell-Kalibrierung'!B65)</f>
        <v xml:space="preserve"> </v>
      </c>
      <c r="C43" s="21" t="str">
        <f>IF('Modell-Kalibrierung'!C65=0," ",'Modell-Kalibrierung'!C65)</f>
        <v xml:space="preserve"> </v>
      </c>
      <c r="D43" s="58"/>
      <c r="E43" s="117"/>
      <c r="F43" s="54" t="str">
        <f>IF(C43=" "," ",(VLOOKUP(C43,'Modell-Kalibrierung'!$H$28:$I$32,2,FALSE))*D43)</f>
        <v xml:space="preserve"> </v>
      </c>
      <c r="G43" s="36"/>
      <c r="H43" s="36"/>
    </row>
    <row r="44" spans="1:8" x14ac:dyDescent="0.2">
      <c r="A44" s="36"/>
      <c r="B44" s="57" t="str">
        <f>IF('Modell-Kalibrierung'!B66=0," ",'Modell-Kalibrierung'!B66)</f>
        <v xml:space="preserve"> </v>
      </c>
      <c r="C44" s="21" t="str">
        <f>IF('Modell-Kalibrierung'!C66=0," ",'Modell-Kalibrierung'!C66)</f>
        <v xml:space="preserve"> </v>
      </c>
      <c r="D44" s="58"/>
      <c r="E44" s="117"/>
      <c r="F44" s="54" t="str">
        <f>IF(C44=" "," ",(VLOOKUP(C44,'Modell-Kalibrierung'!$H$28:$I$32,2,FALSE))*D44)</f>
        <v xml:space="preserve"> </v>
      </c>
      <c r="G44" s="36"/>
      <c r="H44" s="36"/>
    </row>
    <row r="45" spans="1:8" x14ac:dyDescent="0.2">
      <c r="A45" s="36"/>
      <c r="B45" s="57" t="str">
        <f>IF('Modell-Kalibrierung'!B67=0," ",'Modell-Kalibrierung'!B67)</f>
        <v xml:space="preserve"> </v>
      </c>
      <c r="C45" s="21" t="str">
        <f>IF('Modell-Kalibrierung'!C67=0," ",'Modell-Kalibrierung'!C67)</f>
        <v xml:space="preserve"> </v>
      </c>
      <c r="D45" s="58"/>
      <c r="E45" s="117"/>
      <c r="F45" s="54" t="str">
        <f>IF(C45=" "," ",(VLOOKUP(C45,'Modell-Kalibrierung'!$H$28:$I$32,2,FALSE))*D45)</f>
        <v xml:space="preserve"> </v>
      </c>
      <c r="G45" s="36"/>
      <c r="H45" s="36"/>
    </row>
    <row r="46" spans="1:8" x14ac:dyDescent="0.2">
      <c r="A46" s="36"/>
      <c r="B46" s="57" t="str">
        <f>IF('Modell-Kalibrierung'!B68=0," ",'Modell-Kalibrierung'!B68)</f>
        <v xml:space="preserve"> </v>
      </c>
      <c r="C46" s="21" t="str">
        <f>IF('Modell-Kalibrierung'!C68=0," ",'Modell-Kalibrierung'!C68)</f>
        <v xml:space="preserve"> </v>
      </c>
      <c r="D46" s="58"/>
      <c r="E46" s="117"/>
      <c r="F46" s="54" t="str">
        <f>IF(C46=" "," ",(VLOOKUP(C46,'Modell-Kalibrierung'!$H$28:$I$32,2,FALSE))*D46)</f>
        <v xml:space="preserve"> </v>
      </c>
      <c r="G46" s="36"/>
      <c r="H46" s="36"/>
    </row>
    <row r="47" spans="1:8" x14ac:dyDescent="0.2">
      <c r="A47" s="36"/>
      <c r="B47" s="57" t="str">
        <f>IF('Modell-Kalibrierung'!B69=0," ",'Modell-Kalibrierung'!B69)</f>
        <v xml:space="preserve"> </v>
      </c>
      <c r="C47" s="21" t="str">
        <f>IF('Modell-Kalibrierung'!C69=0," ",'Modell-Kalibrierung'!C69)</f>
        <v xml:space="preserve"> </v>
      </c>
      <c r="D47" s="58"/>
      <c r="E47" s="117"/>
      <c r="F47" s="54" t="str">
        <f>IF(C47=" "," ",(VLOOKUP(C47,'Modell-Kalibrierung'!$H$28:$I$32,2,FALSE))*D47)</f>
        <v xml:space="preserve"> </v>
      </c>
      <c r="G47" s="36"/>
      <c r="H47" s="36"/>
    </row>
    <row r="48" spans="1:8" x14ac:dyDescent="0.2">
      <c r="A48" s="36"/>
      <c r="B48" s="57" t="str">
        <f>IF('Modell-Kalibrierung'!B70=0," ",'Modell-Kalibrierung'!B70)</f>
        <v xml:space="preserve"> </v>
      </c>
      <c r="C48" s="21" t="str">
        <f>IF('Modell-Kalibrierung'!C70=0," ",'Modell-Kalibrierung'!C70)</f>
        <v xml:space="preserve"> </v>
      </c>
      <c r="D48" s="58"/>
      <c r="E48" s="117"/>
      <c r="F48" s="54" t="str">
        <f>IF(C48=" "," ",(VLOOKUP(C48,'Modell-Kalibrierung'!$H$28:$I$32,2,FALSE))*D48)</f>
        <v xml:space="preserve"> </v>
      </c>
      <c r="G48" s="36"/>
      <c r="H48" s="36"/>
    </row>
    <row r="49" spans="1:8" x14ac:dyDescent="0.2">
      <c r="A49" s="36"/>
      <c r="B49" s="57" t="str">
        <f>IF('Modell-Kalibrierung'!B71=0," ",'Modell-Kalibrierung'!B71)</f>
        <v xml:space="preserve"> </v>
      </c>
      <c r="C49" s="21" t="str">
        <f>IF('Modell-Kalibrierung'!C71=0," ",'Modell-Kalibrierung'!C71)</f>
        <v xml:space="preserve"> </v>
      </c>
      <c r="D49" s="58"/>
      <c r="E49" s="117"/>
      <c r="F49" s="54" t="str">
        <f>IF(C49=" "," ",(VLOOKUP(C49,'Modell-Kalibrierung'!$H$28:$I$32,2,FALSE))*D49)</f>
        <v xml:space="preserve"> </v>
      </c>
      <c r="G49" s="36"/>
      <c r="H49" s="36"/>
    </row>
    <row r="50" spans="1:8" x14ac:dyDescent="0.2">
      <c r="A50" s="36"/>
      <c r="B50" s="57" t="str">
        <f>IF('Modell-Kalibrierung'!B72=0," ",'Modell-Kalibrierung'!B72)</f>
        <v xml:space="preserve"> </v>
      </c>
      <c r="C50" s="21" t="str">
        <f>IF('Modell-Kalibrierung'!C72=0," ",'Modell-Kalibrierung'!C72)</f>
        <v xml:space="preserve"> </v>
      </c>
      <c r="D50" s="58"/>
      <c r="E50" s="117"/>
      <c r="F50" s="54" t="str">
        <f>IF(C50=" "," ",(VLOOKUP(C50,'Modell-Kalibrierung'!$H$28:$I$32,2,FALSE))*D50)</f>
        <v xml:space="preserve"> </v>
      </c>
      <c r="G50" s="36"/>
      <c r="H50" s="36"/>
    </row>
    <row r="51" spans="1:8" x14ac:dyDescent="0.2">
      <c r="A51" s="36"/>
      <c r="B51" s="57" t="str">
        <f>IF('Modell-Kalibrierung'!B73=0," ",'Modell-Kalibrierung'!B73)</f>
        <v xml:space="preserve"> </v>
      </c>
      <c r="C51" s="21" t="str">
        <f>IF('Modell-Kalibrierung'!C73=0," ",'Modell-Kalibrierung'!C73)</f>
        <v xml:space="preserve"> </v>
      </c>
      <c r="D51" s="58"/>
      <c r="E51" s="117"/>
      <c r="F51" s="54" t="str">
        <f>IF(C51=" "," ",(VLOOKUP(C51,'Modell-Kalibrierung'!$H$28:$I$32,2,FALSE))*D51)</f>
        <v xml:space="preserve"> </v>
      </c>
      <c r="G51" s="36"/>
      <c r="H51" s="36"/>
    </row>
    <row r="52" spans="1:8" x14ac:dyDescent="0.2">
      <c r="A52" s="36"/>
      <c r="B52" s="57" t="str">
        <f>IF('Modell-Kalibrierung'!B74=0," ",'Modell-Kalibrierung'!B74)</f>
        <v xml:space="preserve"> </v>
      </c>
      <c r="C52" s="21" t="str">
        <f>IF('Modell-Kalibrierung'!C74=0," ",'Modell-Kalibrierung'!C74)</f>
        <v xml:space="preserve"> </v>
      </c>
      <c r="D52" s="58"/>
      <c r="E52" s="117"/>
      <c r="F52" s="54" t="str">
        <f>IF(C52=" "," ",(VLOOKUP(C52,'Modell-Kalibrierung'!$H$28:$I$32,2,FALSE))*D52)</f>
        <v xml:space="preserve"> </v>
      </c>
      <c r="G52" s="36"/>
      <c r="H52" s="36"/>
    </row>
    <row r="53" spans="1:8" x14ac:dyDescent="0.2">
      <c r="A53" s="36"/>
      <c r="B53" s="57" t="str">
        <f>IF('Modell-Kalibrierung'!B75=0," ",'Modell-Kalibrierung'!B75)</f>
        <v xml:space="preserve"> </v>
      </c>
      <c r="C53" s="21" t="str">
        <f>IF('Modell-Kalibrierung'!C75=0," ",'Modell-Kalibrierung'!C75)</f>
        <v xml:space="preserve"> </v>
      </c>
      <c r="D53" s="59"/>
      <c r="E53" s="117"/>
      <c r="F53" s="54" t="str">
        <f>IF(C53=" "," ",(VLOOKUP(C53,'Modell-Kalibrierung'!$H$28:$I$32,2,FALSE))*D53)</f>
        <v xml:space="preserve"> </v>
      </c>
      <c r="G53" s="36"/>
      <c r="H53" s="36"/>
    </row>
    <row r="54" spans="1:8" x14ac:dyDescent="0.2">
      <c r="A54" s="36"/>
      <c r="B54" s="57" t="str">
        <f>IF('Modell-Kalibrierung'!B76=0," ",'Modell-Kalibrierung'!B76)</f>
        <v xml:space="preserve"> </v>
      </c>
      <c r="C54" s="21" t="str">
        <f>IF('Modell-Kalibrierung'!C76=0," ",'Modell-Kalibrierung'!C76)</f>
        <v xml:space="preserve"> </v>
      </c>
      <c r="D54" s="59"/>
      <c r="E54" s="117"/>
      <c r="F54" s="54" t="str">
        <f>IF(C54=" "," ",(VLOOKUP(C54,'Modell-Kalibrierung'!$H$28:$I$32,2,FALSE))*D54)</f>
        <v xml:space="preserve"> </v>
      </c>
      <c r="G54" s="36"/>
      <c r="H54" s="36"/>
    </row>
    <row r="55" spans="1:8" x14ac:dyDescent="0.2">
      <c r="A55" s="36"/>
      <c r="B55" s="57" t="str">
        <f>IF('Modell-Kalibrierung'!B77=0," ",'Modell-Kalibrierung'!B77)</f>
        <v xml:space="preserve"> </v>
      </c>
      <c r="C55" s="21" t="str">
        <f>IF('Modell-Kalibrierung'!C77=0," ",'Modell-Kalibrierung'!C77)</f>
        <v xml:space="preserve"> </v>
      </c>
      <c r="D55" s="59"/>
      <c r="E55" s="117"/>
      <c r="F55" s="54" t="str">
        <f>IF(C55=" "," ",(VLOOKUP(C55,'Modell-Kalibrierung'!$H$28:$I$32,2,FALSE))*D55)</f>
        <v xml:space="preserve"> </v>
      </c>
      <c r="G55" s="36"/>
      <c r="H55" s="36"/>
    </row>
    <row r="56" spans="1:8" x14ac:dyDescent="0.2">
      <c r="A56" s="36"/>
      <c r="B56" s="57" t="str">
        <f>IF('Modell-Kalibrierung'!B78=0," ",'Modell-Kalibrierung'!B78)</f>
        <v xml:space="preserve"> </v>
      </c>
      <c r="C56" s="21" t="str">
        <f>IF('Modell-Kalibrierung'!C78=0," ",'Modell-Kalibrierung'!C78)</f>
        <v xml:space="preserve"> </v>
      </c>
      <c r="D56" s="59"/>
      <c r="E56" s="117"/>
      <c r="F56" s="54" t="str">
        <f>IF(C56=" "," ",(VLOOKUP(C56,'Modell-Kalibrierung'!$H$28:$I$32,2,FALSE))*D56)</f>
        <v xml:space="preserve"> </v>
      </c>
      <c r="G56" s="36"/>
      <c r="H56" s="36"/>
    </row>
    <row r="57" spans="1:8" x14ac:dyDescent="0.2">
      <c r="A57" s="36"/>
      <c r="B57" s="57" t="str">
        <f>IF('Modell-Kalibrierung'!B79=0," ",'Modell-Kalibrierung'!B79)</f>
        <v xml:space="preserve"> </v>
      </c>
      <c r="C57" s="21" t="str">
        <f>IF('Modell-Kalibrierung'!C79=0," ",'Modell-Kalibrierung'!C79)</f>
        <v xml:space="preserve"> </v>
      </c>
      <c r="D57" s="59"/>
      <c r="E57" s="117"/>
      <c r="F57" s="54" t="str">
        <f>IF(C57=" "," ",(VLOOKUP(C57,'Modell-Kalibrierung'!$H$28:$I$32,2,FALSE))*D57)</f>
        <v xml:space="preserve"> </v>
      </c>
      <c r="G57" s="36"/>
      <c r="H57" s="36"/>
    </row>
    <row r="58" spans="1:8" x14ac:dyDescent="0.2">
      <c r="A58" s="36"/>
      <c r="B58" s="57" t="str">
        <f>IF('Modell-Kalibrierung'!B80=0," ",'Modell-Kalibrierung'!B80)</f>
        <v xml:space="preserve"> </v>
      </c>
      <c r="C58" s="21" t="str">
        <f>IF('Modell-Kalibrierung'!C80=0," ",'Modell-Kalibrierung'!C80)</f>
        <v xml:space="preserve"> </v>
      </c>
      <c r="D58" s="59"/>
      <c r="E58" s="117"/>
      <c r="F58" s="54" t="str">
        <f>IF(C58=" "," ",(VLOOKUP(C58,'Modell-Kalibrierung'!$H$28:$I$32,2,FALSE))*D58)</f>
        <v xml:space="preserve"> </v>
      </c>
      <c r="G58" s="36"/>
      <c r="H58" s="36"/>
    </row>
    <row r="59" spans="1:8" x14ac:dyDescent="0.2">
      <c r="A59" s="36"/>
      <c r="B59" s="57" t="str">
        <f>IF('Modell-Kalibrierung'!B81=0," ",'Modell-Kalibrierung'!B81)</f>
        <v xml:space="preserve"> </v>
      </c>
      <c r="C59" s="21" t="str">
        <f>IF('Modell-Kalibrierung'!C81=0," ",'Modell-Kalibrierung'!C81)</f>
        <v xml:space="preserve"> </v>
      </c>
      <c r="D59" s="59"/>
      <c r="E59" s="117"/>
      <c r="F59" s="54" t="str">
        <f>IF(C59=" "," ",(VLOOKUP(C59,'Modell-Kalibrierung'!$H$28:$I$32,2,FALSE))*D59)</f>
        <v xml:space="preserve"> </v>
      </c>
      <c r="G59" s="36"/>
      <c r="H59" s="36"/>
    </row>
    <row r="60" spans="1:8" x14ac:dyDescent="0.2">
      <c r="A60" s="36"/>
      <c r="B60" s="57" t="str">
        <f>IF('Modell-Kalibrierung'!B82=0," ",'Modell-Kalibrierung'!B82)</f>
        <v xml:space="preserve"> </v>
      </c>
      <c r="C60" s="21" t="str">
        <f>IF('Modell-Kalibrierung'!C82=0," ",'Modell-Kalibrierung'!C82)</f>
        <v xml:space="preserve"> </v>
      </c>
      <c r="D60" s="59"/>
      <c r="E60" s="117"/>
      <c r="F60" s="54" t="str">
        <f>IF(C60=" "," ",(VLOOKUP(C60,'Modell-Kalibrierung'!$H$28:$I$32,2,FALSE))*D60)</f>
        <v xml:space="preserve"> </v>
      </c>
      <c r="G60" s="36"/>
      <c r="H60" s="36"/>
    </row>
    <row r="61" spans="1:8" x14ac:dyDescent="0.2">
      <c r="A61" s="36"/>
      <c r="B61" s="57" t="str">
        <f>IF('Modell-Kalibrierung'!B83=0," ",'Modell-Kalibrierung'!B83)</f>
        <v xml:space="preserve"> </v>
      </c>
      <c r="C61" s="21" t="str">
        <f>IF('Modell-Kalibrierung'!C83=0," ",'Modell-Kalibrierung'!C83)</f>
        <v xml:space="preserve"> </v>
      </c>
      <c r="D61" s="59"/>
      <c r="E61" s="117"/>
      <c r="F61" s="54" t="str">
        <f>IF(C61=" "," ",(VLOOKUP(C61,'Modell-Kalibrierung'!$H$28:$I$32,2,FALSE))*D61)</f>
        <v xml:space="preserve"> </v>
      </c>
      <c r="G61" s="36"/>
      <c r="H61" s="36"/>
    </row>
    <row r="62" spans="1:8" x14ac:dyDescent="0.2">
      <c r="A62" s="36"/>
      <c r="B62" s="57" t="str">
        <f>IF('Modell-Kalibrierung'!B84=0," ",'Modell-Kalibrierung'!B84)</f>
        <v xml:space="preserve"> </v>
      </c>
      <c r="C62" s="21" t="str">
        <f>IF('Modell-Kalibrierung'!C84=0," ",'Modell-Kalibrierung'!C84)</f>
        <v xml:space="preserve"> </v>
      </c>
      <c r="D62" s="59"/>
      <c r="E62" s="117"/>
      <c r="F62" s="54" t="str">
        <f>IF(C62=" "," ",(VLOOKUP(C62,'Modell-Kalibrierung'!$H$28:$I$32,2,FALSE))*D62)</f>
        <v xml:space="preserve"> </v>
      </c>
      <c r="G62" s="36"/>
      <c r="H62" s="36"/>
    </row>
    <row r="63" spans="1:8" x14ac:dyDescent="0.2">
      <c r="A63" s="36"/>
      <c r="B63" s="57" t="str">
        <f>IF('Modell-Kalibrierung'!B85=0," ",'Modell-Kalibrierung'!B85)</f>
        <v xml:space="preserve"> </v>
      </c>
      <c r="C63" s="21" t="str">
        <f>IF('Modell-Kalibrierung'!C85=0," ",'Modell-Kalibrierung'!C85)</f>
        <v xml:space="preserve"> </v>
      </c>
      <c r="D63" s="59"/>
      <c r="E63" s="117"/>
      <c r="F63" s="54" t="str">
        <f>IF(C63=" "," ",(VLOOKUP(C63,'Modell-Kalibrierung'!$H$28:$I$32,2,FALSE))*D63)</f>
        <v xml:space="preserve"> </v>
      </c>
      <c r="G63" s="36"/>
      <c r="H63" s="36"/>
    </row>
    <row r="64" spans="1:8" x14ac:dyDescent="0.2">
      <c r="A64" s="36"/>
      <c r="B64" s="57" t="str">
        <f>IF('Modell-Kalibrierung'!B86=0," ",'Modell-Kalibrierung'!B86)</f>
        <v xml:space="preserve"> </v>
      </c>
      <c r="C64" s="21" t="str">
        <f>IF('Modell-Kalibrierung'!C86=0," ",'Modell-Kalibrierung'!C86)</f>
        <v xml:space="preserve"> </v>
      </c>
      <c r="D64" s="59"/>
      <c r="E64" s="117"/>
      <c r="F64" s="54" t="str">
        <f>IF(C64=" "," ",(VLOOKUP(C64,'Modell-Kalibrierung'!$H$28:$I$32,2,FALSE))*D64)</f>
        <v xml:space="preserve"> </v>
      </c>
      <c r="G64" s="36"/>
      <c r="H64" s="36"/>
    </row>
    <row r="65" spans="1:8" x14ac:dyDescent="0.2">
      <c r="A65" s="36"/>
      <c r="B65" s="57" t="str">
        <f>IF('Modell-Kalibrierung'!B87=0," ",'Modell-Kalibrierung'!B87)</f>
        <v xml:space="preserve"> </v>
      </c>
      <c r="C65" s="21" t="str">
        <f>IF('Modell-Kalibrierung'!C87=0," ",'Modell-Kalibrierung'!C87)</f>
        <v xml:space="preserve"> </v>
      </c>
      <c r="D65" s="59"/>
      <c r="E65" s="117"/>
      <c r="F65" s="54" t="str">
        <f>IF(C65=" "," ",(VLOOKUP(C65,'Modell-Kalibrierung'!$H$28:$I$32,2,FALSE))*D65)</f>
        <v xml:space="preserve"> </v>
      </c>
      <c r="G65" s="36"/>
      <c r="H65" s="36"/>
    </row>
    <row r="66" spans="1:8" x14ac:dyDescent="0.2">
      <c r="A66" s="36"/>
      <c r="B66" s="57" t="str">
        <f>IF('Modell-Kalibrierung'!B88=0," ",'Modell-Kalibrierung'!B88)</f>
        <v xml:space="preserve"> </v>
      </c>
      <c r="C66" s="21" t="str">
        <f>IF('Modell-Kalibrierung'!C88=0," ",'Modell-Kalibrierung'!C88)</f>
        <v xml:space="preserve"> </v>
      </c>
      <c r="D66" s="59"/>
      <c r="E66" s="117"/>
      <c r="F66" s="54" t="str">
        <f>IF(C66=" "," ",(VLOOKUP(C66,'Modell-Kalibrierung'!$H$28:$I$32,2,FALSE))*D66)</f>
        <v xml:space="preserve"> </v>
      </c>
      <c r="G66" s="36"/>
      <c r="H66" s="36"/>
    </row>
    <row r="67" spans="1:8" x14ac:dyDescent="0.2">
      <c r="A67" s="36"/>
      <c r="B67" s="57" t="str">
        <f>IF('Modell-Kalibrierung'!B89=0," ",'Modell-Kalibrierung'!B89)</f>
        <v xml:space="preserve"> </v>
      </c>
      <c r="C67" s="21" t="str">
        <f>IF('Modell-Kalibrierung'!C89=0," ",'Modell-Kalibrierung'!C89)</f>
        <v xml:space="preserve"> </v>
      </c>
      <c r="D67" s="59"/>
      <c r="E67" s="117"/>
      <c r="F67" s="54" t="str">
        <f>IF(C67=" "," ",(VLOOKUP(C67,'Modell-Kalibrierung'!$H$28:$I$32,2,FALSE))*D67)</f>
        <v xml:space="preserve"> </v>
      </c>
      <c r="G67" s="36"/>
      <c r="H67" s="36"/>
    </row>
    <row r="68" spans="1:8" x14ac:dyDescent="0.2">
      <c r="A68" s="36"/>
      <c r="B68" s="57" t="str">
        <f>IF('Modell-Kalibrierung'!B90=0," ",'Modell-Kalibrierung'!B90)</f>
        <v xml:space="preserve"> </v>
      </c>
      <c r="C68" s="21" t="str">
        <f>IF('Modell-Kalibrierung'!C90=0," ",'Modell-Kalibrierung'!C90)</f>
        <v xml:space="preserve"> </v>
      </c>
      <c r="D68" s="59"/>
      <c r="E68" s="117"/>
      <c r="F68" s="54" t="str">
        <f>IF(C68=" "," ",(VLOOKUP(C68,'Modell-Kalibrierung'!$H$28:$I$32,2,FALSE))*D68)</f>
        <v xml:space="preserve"> </v>
      </c>
      <c r="G68" s="36"/>
      <c r="H68" s="36"/>
    </row>
    <row r="69" spans="1:8" x14ac:dyDescent="0.2">
      <c r="A69" s="36"/>
      <c r="B69" s="57" t="str">
        <f>IF('Modell-Kalibrierung'!B91=0," ",'Modell-Kalibrierung'!B91)</f>
        <v xml:space="preserve"> </v>
      </c>
      <c r="C69" s="21" t="str">
        <f>IF('Modell-Kalibrierung'!C91=0," ",'Modell-Kalibrierung'!C91)</f>
        <v xml:space="preserve"> </v>
      </c>
      <c r="D69" s="59"/>
      <c r="E69" s="117"/>
      <c r="F69" s="54" t="str">
        <f>IF(C69=" "," ",(VLOOKUP(C69,'Modell-Kalibrierung'!$H$28:$I$32,2,FALSE))*D69)</f>
        <v xml:space="preserve"> </v>
      </c>
      <c r="G69" s="36"/>
      <c r="H69" s="36"/>
    </row>
    <row r="70" spans="1:8" x14ac:dyDescent="0.2">
      <c r="A70" s="36"/>
      <c r="B70" s="57" t="str">
        <f>IF('Modell-Kalibrierung'!B92=0," ",'Modell-Kalibrierung'!B92)</f>
        <v xml:space="preserve"> </v>
      </c>
      <c r="C70" s="21" t="str">
        <f>IF('Modell-Kalibrierung'!C92=0," ",'Modell-Kalibrierung'!C92)</f>
        <v xml:space="preserve"> </v>
      </c>
      <c r="D70" s="59"/>
      <c r="E70" s="117"/>
      <c r="F70" s="54" t="str">
        <f>IF(C70=" "," ",(VLOOKUP(C70,'Modell-Kalibrierung'!$H$28:$I$32,2,FALSE))*D70)</f>
        <v xml:space="preserve"> </v>
      </c>
      <c r="G70" s="36"/>
      <c r="H70" s="36"/>
    </row>
    <row r="71" spans="1:8" x14ac:dyDescent="0.2">
      <c r="A71" s="36"/>
      <c r="B71" s="57" t="str">
        <f>IF('Modell-Kalibrierung'!B93=0," ",'Modell-Kalibrierung'!B93)</f>
        <v xml:space="preserve"> </v>
      </c>
      <c r="C71" s="21" t="str">
        <f>IF('Modell-Kalibrierung'!C93=0," ",'Modell-Kalibrierung'!C93)</f>
        <v xml:space="preserve"> </v>
      </c>
      <c r="D71" s="59"/>
      <c r="E71" s="117"/>
      <c r="F71" s="54" t="str">
        <f>IF(C71=" "," ",(VLOOKUP(C71,'Modell-Kalibrierung'!$H$28:$I$32,2,FALSE))*D71)</f>
        <v xml:space="preserve"> </v>
      </c>
      <c r="G71" s="36"/>
      <c r="H71" s="36"/>
    </row>
    <row r="72" spans="1:8" x14ac:dyDescent="0.2">
      <c r="A72" s="36"/>
      <c r="B72" s="57" t="str">
        <f>IF('Modell-Kalibrierung'!B94=0," ",'Modell-Kalibrierung'!B94)</f>
        <v xml:space="preserve"> </v>
      </c>
      <c r="C72" s="21" t="str">
        <f>IF('Modell-Kalibrierung'!C94=0," ",'Modell-Kalibrierung'!C94)</f>
        <v xml:space="preserve"> </v>
      </c>
      <c r="D72" s="59"/>
      <c r="E72" s="117"/>
      <c r="F72" s="54" t="str">
        <f>IF(C72=" "," ",(VLOOKUP(C72,'Modell-Kalibrierung'!$H$28:$I$32,2,FALSE))*D72)</f>
        <v xml:space="preserve"> </v>
      </c>
      <c r="G72" s="36"/>
      <c r="H72" s="36"/>
    </row>
    <row r="73" spans="1:8" x14ac:dyDescent="0.2">
      <c r="A73" s="36"/>
      <c r="B73" s="57" t="str">
        <f>IF('Modell-Kalibrierung'!B95=0," ",'Modell-Kalibrierung'!B95)</f>
        <v xml:space="preserve"> </v>
      </c>
      <c r="C73" s="21" t="str">
        <f>IF('Modell-Kalibrierung'!C95=0," ",'Modell-Kalibrierung'!C95)</f>
        <v xml:space="preserve"> </v>
      </c>
      <c r="D73" s="59"/>
      <c r="E73" s="117"/>
      <c r="F73" s="54" t="str">
        <f>IF(C73=" "," ",(VLOOKUP(C73,'Modell-Kalibrierung'!$H$28:$I$32,2,FALSE))*D73)</f>
        <v xml:space="preserve"> </v>
      </c>
      <c r="G73" s="36"/>
      <c r="H73" s="36"/>
    </row>
    <row r="74" spans="1:8" x14ac:dyDescent="0.2">
      <c r="A74" s="36"/>
      <c r="B74" s="57" t="str">
        <f>IF('Modell-Kalibrierung'!B96=0," ",'Modell-Kalibrierung'!B96)</f>
        <v xml:space="preserve"> </v>
      </c>
      <c r="C74" s="21" t="str">
        <f>IF('Modell-Kalibrierung'!C96=0," ",'Modell-Kalibrierung'!C96)</f>
        <v xml:space="preserve"> </v>
      </c>
      <c r="D74" s="59"/>
      <c r="E74" s="117"/>
      <c r="F74" s="54" t="str">
        <f>IF(C74=" "," ",(VLOOKUP(C74,'Modell-Kalibrierung'!$H$28:$I$32,2,FALSE))*D74)</f>
        <v xml:space="preserve"> </v>
      </c>
      <c r="G74" s="36"/>
      <c r="H74" s="36"/>
    </row>
    <row r="75" spans="1:8" x14ac:dyDescent="0.2">
      <c r="A75" s="36"/>
      <c r="B75" s="57" t="str">
        <f>IF('Modell-Kalibrierung'!B97=0," ",'Modell-Kalibrierung'!B97)</f>
        <v xml:space="preserve"> </v>
      </c>
      <c r="C75" s="21" t="str">
        <f>IF('Modell-Kalibrierung'!C97=0," ",'Modell-Kalibrierung'!C97)</f>
        <v xml:space="preserve"> </v>
      </c>
      <c r="D75" s="59"/>
      <c r="E75" s="117"/>
      <c r="F75" s="54" t="str">
        <f>IF(C75=" "," ",(VLOOKUP(C75,'Modell-Kalibrierung'!$H$28:$I$32,2,FALSE))*D75)</f>
        <v xml:space="preserve"> </v>
      </c>
      <c r="G75" s="36"/>
      <c r="H75" s="36"/>
    </row>
    <row r="76" spans="1:8" x14ac:dyDescent="0.2">
      <c r="A76" s="36"/>
      <c r="B76" s="57" t="str">
        <f>IF('Modell-Kalibrierung'!B98=0," ",'Modell-Kalibrierung'!B98)</f>
        <v xml:space="preserve"> </v>
      </c>
      <c r="C76" s="21" t="str">
        <f>IF('Modell-Kalibrierung'!C98=0," ",'Modell-Kalibrierung'!C98)</f>
        <v xml:space="preserve"> </v>
      </c>
      <c r="D76" s="59"/>
      <c r="E76" s="117"/>
      <c r="F76" s="54" t="str">
        <f>IF(C76=" "," ",(VLOOKUP(C76,'Modell-Kalibrierung'!$H$28:$I$32,2,FALSE))*D76)</f>
        <v xml:space="preserve"> </v>
      </c>
      <c r="G76" s="36"/>
      <c r="H76" s="36"/>
    </row>
    <row r="77" spans="1:8" x14ac:dyDescent="0.2">
      <c r="A77" s="36"/>
      <c r="B77" s="57" t="str">
        <f>IF('Modell-Kalibrierung'!B99=0," ",'Modell-Kalibrierung'!B99)</f>
        <v xml:space="preserve"> </v>
      </c>
      <c r="C77" s="21" t="str">
        <f>IF('Modell-Kalibrierung'!C99=0," ",'Modell-Kalibrierung'!C99)</f>
        <v xml:space="preserve"> </v>
      </c>
      <c r="D77" s="59"/>
      <c r="E77" s="117"/>
      <c r="F77" s="54" t="str">
        <f>IF(C77=" "," ",(VLOOKUP(C77,'Modell-Kalibrierung'!$H$28:$I$32,2,FALSE))*D77)</f>
        <v xml:space="preserve"> </v>
      </c>
      <c r="G77" s="36"/>
      <c r="H77" s="36"/>
    </row>
    <row r="78" spans="1:8" x14ac:dyDescent="0.2">
      <c r="A78" s="36"/>
      <c r="B78" s="57" t="str">
        <f>IF('Modell-Kalibrierung'!B100=0," ",'Modell-Kalibrierung'!B100)</f>
        <v xml:space="preserve"> </v>
      </c>
      <c r="C78" s="21" t="str">
        <f>IF('Modell-Kalibrierung'!C100=0," ",'Modell-Kalibrierung'!C100)</f>
        <v xml:space="preserve"> </v>
      </c>
      <c r="D78" s="59"/>
      <c r="E78" s="117"/>
      <c r="F78" s="54" t="str">
        <f>IF(C78=" "," ",(VLOOKUP(C78,'Modell-Kalibrierung'!$H$28:$I$32,2,FALSE))*D78)</f>
        <v xml:space="preserve"> </v>
      </c>
      <c r="G78" s="36"/>
      <c r="H78" s="36"/>
    </row>
    <row r="79" spans="1:8" x14ac:dyDescent="0.2">
      <c r="A79" s="36"/>
      <c r="B79" s="57" t="str">
        <f>IF('Modell-Kalibrierung'!B101=0," ",'Modell-Kalibrierung'!B101)</f>
        <v xml:space="preserve"> </v>
      </c>
      <c r="C79" s="21" t="str">
        <f>IF('Modell-Kalibrierung'!C101=0," ",'Modell-Kalibrierung'!C101)</f>
        <v xml:space="preserve"> </v>
      </c>
      <c r="D79" s="59"/>
      <c r="E79" s="117"/>
      <c r="F79" s="54" t="str">
        <f>IF(C79=" "," ",(VLOOKUP(C79,'Modell-Kalibrierung'!$H$28:$I$32,2,FALSE))*D79)</f>
        <v xml:space="preserve"> </v>
      </c>
      <c r="G79" s="36"/>
      <c r="H79" s="36"/>
    </row>
    <row r="80" spans="1:8" x14ac:dyDescent="0.2">
      <c r="A80" s="36"/>
      <c r="B80" s="57" t="str">
        <f>IF('Modell-Kalibrierung'!B102=0," ",'Modell-Kalibrierung'!B102)</f>
        <v xml:space="preserve"> </v>
      </c>
      <c r="C80" s="21" t="str">
        <f>IF('Modell-Kalibrierung'!C102=0," ",'Modell-Kalibrierung'!C102)</f>
        <v xml:space="preserve"> </v>
      </c>
      <c r="D80" s="59"/>
      <c r="E80" s="117"/>
      <c r="F80" s="54" t="str">
        <f>IF(C80=" "," ",(VLOOKUP(C80,'Modell-Kalibrierung'!$H$28:$I$32,2,FALSE))*D80)</f>
        <v xml:space="preserve"> </v>
      </c>
      <c r="G80" s="36"/>
      <c r="H80" s="36"/>
    </row>
    <row r="81" spans="1:8" x14ac:dyDescent="0.2">
      <c r="A81" s="36"/>
      <c r="B81" s="57" t="str">
        <f>IF('Modell-Kalibrierung'!B103=0," ",'Modell-Kalibrierung'!B103)</f>
        <v xml:space="preserve"> </v>
      </c>
      <c r="C81" s="21" t="str">
        <f>IF('Modell-Kalibrierung'!C103=0," ",'Modell-Kalibrierung'!C103)</f>
        <v xml:space="preserve"> </v>
      </c>
      <c r="D81" s="59"/>
      <c r="E81" s="117"/>
      <c r="F81" s="54" t="str">
        <f>IF(C81=" "," ",(VLOOKUP(C81,'Modell-Kalibrierung'!$H$28:$I$32,2,FALSE))*D81)</f>
        <v xml:space="preserve"> </v>
      </c>
      <c r="G81" s="36"/>
      <c r="H81" s="36"/>
    </row>
    <row r="82" spans="1:8" x14ac:dyDescent="0.2">
      <c r="A82" s="36"/>
      <c r="B82" s="57" t="str">
        <f>IF('Modell-Kalibrierung'!B104=0," ",'Modell-Kalibrierung'!B104)</f>
        <v xml:space="preserve"> </v>
      </c>
      <c r="C82" s="21" t="str">
        <f>IF('Modell-Kalibrierung'!C104=0," ",'Modell-Kalibrierung'!C104)</f>
        <v xml:space="preserve"> </v>
      </c>
      <c r="D82" s="59"/>
      <c r="E82" s="117"/>
      <c r="F82" s="54" t="str">
        <f>IF(C82=" "," ",(VLOOKUP(C82,'Modell-Kalibrierung'!$H$28:$I$32,2,FALSE))*D82)</f>
        <v xml:space="preserve"> </v>
      </c>
      <c r="G82" s="36"/>
      <c r="H82" s="36"/>
    </row>
    <row r="83" spans="1:8" x14ac:dyDescent="0.2">
      <c r="A83" s="36"/>
      <c r="B83" s="57" t="str">
        <f>IF('Modell-Kalibrierung'!B105=0," ",'Modell-Kalibrierung'!B105)</f>
        <v xml:space="preserve"> </v>
      </c>
      <c r="C83" s="21" t="str">
        <f>IF('Modell-Kalibrierung'!C105=0," ",'Modell-Kalibrierung'!C105)</f>
        <v xml:space="preserve"> </v>
      </c>
      <c r="D83" s="59"/>
      <c r="E83" s="117"/>
      <c r="F83" s="54" t="str">
        <f>IF(C83=" "," ",(VLOOKUP(C83,'Modell-Kalibrierung'!$H$28:$I$32,2,FALSE))*D83)</f>
        <v xml:space="preserve"> </v>
      </c>
      <c r="G83" s="36"/>
      <c r="H83" s="36"/>
    </row>
    <row r="84" spans="1:8" x14ac:dyDescent="0.2">
      <c r="A84" s="36"/>
      <c r="B84" s="57" t="str">
        <f>IF('Modell-Kalibrierung'!B106=0," ",'Modell-Kalibrierung'!B106)</f>
        <v xml:space="preserve"> </v>
      </c>
      <c r="C84" s="21" t="str">
        <f>IF('Modell-Kalibrierung'!C106=0," ",'Modell-Kalibrierung'!C106)</f>
        <v xml:space="preserve"> </v>
      </c>
      <c r="D84" s="59"/>
      <c r="E84" s="117"/>
      <c r="F84" s="54" t="str">
        <f>IF(C84=" "," ",(VLOOKUP(C84,'Modell-Kalibrierung'!$H$28:$I$32,2,FALSE))*D84)</f>
        <v xml:space="preserve"> </v>
      </c>
      <c r="G84" s="36"/>
      <c r="H84" s="36"/>
    </row>
    <row r="85" spans="1:8" x14ac:dyDescent="0.2">
      <c r="A85" s="36"/>
      <c r="B85" s="57" t="str">
        <f>IF('Modell-Kalibrierung'!B107=0," ",'Modell-Kalibrierung'!B107)</f>
        <v xml:space="preserve"> </v>
      </c>
      <c r="C85" s="21" t="str">
        <f>IF('Modell-Kalibrierung'!C107=0," ",'Modell-Kalibrierung'!C107)</f>
        <v xml:space="preserve"> </v>
      </c>
      <c r="D85" s="59"/>
      <c r="E85" s="117"/>
      <c r="F85" s="54" t="str">
        <f>IF(C85=" "," ",(VLOOKUP(C85,'Modell-Kalibrierung'!$H$28:$I$32,2,FALSE))*D85)</f>
        <v xml:space="preserve"> </v>
      </c>
      <c r="G85" s="36"/>
      <c r="H85" s="36"/>
    </row>
    <row r="86" spans="1:8" x14ac:dyDescent="0.2">
      <c r="A86" s="36"/>
      <c r="B86" s="57" t="str">
        <f>IF('Modell-Kalibrierung'!B108=0," ",'Modell-Kalibrierung'!B108)</f>
        <v xml:space="preserve"> </v>
      </c>
      <c r="C86" s="21" t="str">
        <f>IF('Modell-Kalibrierung'!C108=0," ",'Modell-Kalibrierung'!C108)</f>
        <v xml:space="preserve"> </v>
      </c>
      <c r="D86" s="59"/>
      <c r="E86" s="117"/>
      <c r="F86" s="54" t="str">
        <f>IF(C86=" "," ",(VLOOKUP(C86,'Modell-Kalibrierung'!$H$28:$I$32,2,FALSE))*D86)</f>
        <v xml:space="preserve"> </v>
      </c>
      <c r="G86" s="36"/>
      <c r="H86" s="36"/>
    </row>
    <row r="87" spans="1:8" x14ac:dyDescent="0.2">
      <c r="A87" s="36"/>
      <c r="B87" s="57" t="str">
        <f>IF('Modell-Kalibrierung'!B109=0," ",'Modell-Kalibrierung'!B109)</f>
        <v xml:space="preserve"> </v>
      </c>
      <c r="C87" s="21" t="str">
        <f>IF('Modell-Kalibrierung'!C109=0," ",'Modell-Kalibrierung'!C109)</f>
        <v xml:space="preserve"> </v>
      </c>
      <c r="D87" s="59"/>
      <c r="E87" s="117"/>
      <c r="F87" s="54" t="str">
        <f>IF(C87=" "," ",(VLOOKUP(C87,'Modell-Kalibrierung'!$H$28:$I$32,2,FALSE))*D87)</f>
        <v xml:space="preserve"> </v>
      </c>
      <c r="G87" s="36"/>
      <c r="H87" s="36"/>
    </row>
    <row r="88" spans="1:8" x14ac:dyDescent="0.2">
      <c r="A88" s="36"/>
      <c r="B88" s="57" t="str">
        <f>IF('Modell-Kalibrierung'!B110=0," ",'Modell-Kalibrierung'!B110)</f>
        <v xml:space="preserve"> </v>
      </c>
      <c r="C88" s="21" t="str">
        <f>IF('Modell-Kalibrierung'!C110=0," ",'Modell-Kalibrierung'!C110)</f>
        <v xml:space="preserve"> </v>
      </c>
      <c r="D88" s="59"/>
      <c r="E88" s="117"/>
      <c r="F88" s="54" t="str">
        <f>IF(C88=" "," ",(VLOOKUP(C88,'Modell-Kalibrierung'!$H$28:$I$32,2,FALSE))*D88)</f>
        <v xml:space="preserve"> </v>
      </c>
      <c r="G88" s="36"/>
      <c r="H88" s="36"/>
    </row>
    <row r="89" spans="1:8" x14ac:dyDescent="0.2">
      <c r="A89" s="36"/>
      <c r="B89" s="57" t="str">
        <f>IF('Modell-Kalibrierung'!B111=0," ",'Modell-Kalibrierung'!B111)</f>
        <v xml:space="preserve"> </v>
      </c>
      <c r="C89" s="21" t="str">
        <f>IF('Modell-Kalibrierung'!C111=0," ",'Modell-Kalibrierung'!C111)</f>
        <v xml:space="preserve"> </v>
      </c>
      <c r="D89" s="59"/>
      <c r="E89" s="117"/>
      <c r="F89" s="54" t="str">
        <f>IF(C89=" "," ",(VLOOKUP(C89,'Modell-Kalibrierung'!$H$28:$I$32,2,FALSE))*D89)</f>
        <v xml:space="preserve"> </v>
      </c>
      <c r="G89" s="36"/>
      <c r="H89" s="36"/>
    </row>
    <row r="90" spans="1:8" x14ac:dyDescent="0.2">
      <c r="A90" s="36"/>
      <c r="B90" s="57" t="str">
        <f>IF('Modell-Kalibrierung'!B112=0," ",'Modell-Kalibrierung'!B112)</f>
        <v xml:space="preserve"> </v>
      </c>
      <c r="C90" s="21" t="str">
        <f>IF('Modell-Kalibrierung'!C112=0," ",'Modell-Kalibrierung'!C112)</f>
        <v xml:space="preserve"> </v>
      </c>
      <c r="D90" s="59"/>
      <c r="E90" s="117"/>
      <c r="F90" s="54" t="str">
        <f>IF(C90=" "," ",(VLOOKUP(C90,'Modell-Kalibrierung'!$H$28:$I$32,2,FALSE))*D90)</f>
        <v xml:space="preserve"> </v>
      </c>
      <c r="G90" s="36"/>
      <c r="H90" s="36"/>
    </row>
    <row r="91" spans="1:8" x14ac:dyDescent="0.2">
      <c r="A91" s="36"/>
      <c r="B91" s="57" t="str">
        <f>IF('Modell-Kalibrierung'!B113=0," ",'Modell-Kalibrierung'!B113)</f>
        <v xml:space="preserve"> </v>
      </c>
      <c r="C91" s="21" t="str">
        <f>IF('Modell-Kalibrierung'!C113=0," ",'Modell-Kalibrierung'!C113)</f>
        <v xml:space="preserve"> </v>
      </c>
      <c r="D91" s="59"/>
      <c r="E91" s="117"/>
      <c r="F91" s="54" t="str">
        <f>IF(C91=" "," ",(VLOOKUP(C91,'Modell-Kalibrierung'!$H$28:$I$32,2,FALSE))*D91)</f>
        <v xml:space="preserve"> </v>
      </c>
      <c r="G91" s="36"/>
      <c r="H91" s="36"/>
    </row>
    <row r="92" spans="1:8" x14ac:dyDescent="0.2">
      <c r="A92" s="36"/>
      <c r="B92" s="57" t="str">
        <f>IF('Modell-Kalibrierung'!B114=0," ",'Modell-Kalibrierung'!B114)</f>
        <v xml:space="preserve"> </v>
      </c>
      <c r="C92" s="21" t="str">
        <f>IF('Modell-Kalibrierung'!C114=0," ",'Modell-Kalibrierung'!C114)</f>
        <v xml:space="preserve"> </v>
      </c>
      <c r="D92" s="59"/>
      <c r="E92" s="117"/>
      <c r="F92" s="54" t="str">
        <f>IF(C92=" "," ",(VLOOKUP(C92,'Modell-Kalibrierung'!$H$28:$I$32,2,FALSE))*D92)</f>
        <v xml:space="preserve"> </v>
      </c>
      <c r="G92" s="36"/>
      <c r="H92" s="36"/>
    </row>
    <row r="93" spans="1:8" x14ac:dyDescent="0.2">
      <c r="A93" s="36"/>
      <c r="B93" s="57" t="str">
        <f>IF('Modell-Kalibrierung'!B115=0," ",'Modell-Kalibrierung'!B115)</f>
        <v xml:space="preserve"> </v>
      </c>
      <c r="C93" s="21" t="str">
        <f>IF('Modell-Kalibrierung'!C115=0," ",'Modell-Kalibrierung'!C115)</f>
        <v xml:space="preserve"> </v>
      </c>
      <c r="D93" s="59"/>
      <c r="E93" s="117"/>
      <c r="F93" s="54" t="str">
        <f>IF(C93=" "," ",(VLOOKUP(C93,'Modell-Kalibrierung'!$H$28:$I$32,2,FALSE))*D93)</f>
        <v xml:space="preserve"> </v>
      </c>
      <c r="G93" s="36"/>
      <c r="H93" s="36"/>
    </row>
    <row r="94" spans="1:8" x14ac:dyDescent="0.2">
      <c r="A94" s="36"/>
      <c r="B94" s="57" t="str">
        <f>IF('Modell-Kalibrierung'!B116=0," ",'Modell-Kalibrierung'!B116)</f>
        <v xml:space="preserve"> </v>
      </c>
      <c r="C94" s="21" t="str">
        <f>IF('Modell-Kalibrierung'!C116=0," ",'Modell-Kalibrierung'!C116)</f>
        <v xml:space="preserve"> </v>
      </c>
      <c r="D94" s="59"/>
      <c r="E94" s="117"/>
      <c r="F94" s="54" t="str">
        <f>IF(C94=" "," ",(VLOOKUP(C94,'Modell-Kalibrierung'!$H$28:$I$32,2,FALSE))*D94)</f>
        <v xml:space="preserve"> </v>
      </c>
      <c r="G94" s="36"/>
      <c r="H94" s="36"/>
    </row>
    <row r="95" spans="1:8" x14ac:dyDescent="0.2">
      <c r="A95" s="36"/>
      <c r="B95" s="57" t="str">
        <f>IF('Modell-Kalibrierung'!B117=0," ",'Modell-Kalibrierung'!B117)</f>
        <v xml:space="preserve"> </v>
      </c>
      <c r="C95" s="21" t="str">
        <f>IF('Modell-Kalibrierung'!C117=0," ",'Modell-Kalibrierung'!C117)</f>
        <v xml:space="preserve"> </v>
      </c>
      <c r="D95" s="59"/>
      <c r="E95" s="117"/>
      <c r="F95" s="54" t="str">
        <f>IF(C95=" "," ",(VLOOKUP(C95,'Modell-Kalibrierung'!$H$28:$I$32,2,FALSE))*D95)</f>
        <v xml:space="preserve"> </v>
      </c>
      <c r="G95" s="36"/>
      <c r="H95" s="36"/>
    </row>
    <row r="96" spans="1:8" x14ac:dyDescent="0.2">
      <c r="A96" s="36"/>
      <c r="B96" s="57" t="str">
        <f>IF('Modell-Kalibrierung'!B118=0," ",'Modell-Kalibrierung'!B118)</f>
        <v xml:space="preserve"> </v>
      </c>
      <c r="C96" s="21" t="str">
        <f>IF('Modell-Kalibrierung'!C118=0," ",'Modell-Kalibrierung'!C118)</f>
        <v xml:space="preserve"> </v>
      </c>
      <c r="D96" s="59"/>
      <c r="E96" s="117"/>
      <c r="F96" s="54" t="str">
        <f>IF(C96=" "," ",(VLOOKUP(C96,'Modell-Kalibrierung'!$H$28:$I$32,2,FALSE))*D96)</f>
        <v xml:space="preserve"> </v>
      </c>
      <c r="G96" s="36"/>
      <c r="H96" s="36"/>
    </row>
    <row r="97" spans="1:8" x14ac:dyDescent="0.2">
      <c r="A97" s="36"/>
      <c r="B97" s="57" t="str">
        <f>IF('Modell-Kalibrierung'!B119=0," ",'Modell-Kalibrierung'!B119)</f>
        <v xml:space="preserve"> </v>
      </c>
      <c r="C97" s="21" t="str">
        <f>IF('Modell-Kalibrierung'!C119=0," ",'Modell-Kalibrierung'!C119)</f>
        <v xml:space="preserve"> </v>
      </c>
      <c r="D97" s="59"/>
      <c r="E97" s="117"/>
      <c r="F97" s="54" t="str">
        <f>IF(C97=" "," ",(VLOOKUP(C97,'Modell-Kalibrierung'!$H$28:$I$32,2,FALSE))*D97)</f>
        <v xml:space="preserve"> </v>
      </c>
      <c r="G97" s="36"/>
      <c r="H97" s="36"/>
    </row>
    <row r="98" spans="1:8" x14ac:dyDescent="0.2">
      <c r="A98" s="36"/>
      <c r="B98" s="57" t="str">
        <f>IF('Modell-Kalibrierung'!B120=0," ",'Modell-Kalibrierung'!B120)</f>
        <v xml:space="preserve"> </v>
      </c>
      <c r="C98" s="21" t="str">
        <f>IF('Modell-Kalibrierung'!C120=0," ",'Modell-Kalibrierung'!C120)</f>
        <v xml:space="preserve"> </v>
      </c>
      <c r="D98" s="59"/>
      <c r="E98" s="117"/>
      <c r="F98" s="54" t="str">
        <f>IF(C98=" "," ",(VLOOKUP(C98,'Modell-Kalibrierung'!$H$28:$I$32,2,FALSE))*D98)</f>
        <v xml:space="preserve"> </v>
      </c>
      <c r="G98" s="36"/>
      <c r="H98" s="36"/>
    </row>
    <row r="99" spans="1:8" x14ac:dyDescent="0.2">
      <c r="A99" s="36"/>
      <c r="B99" s="57" t="str">
        <f>IF('Modell-Kalibrierung'!B121=0," ",'Modell-Kalibrierung'!B121)</f>
        <v xml:space="preserve"> </v>
      </c>
      <c r="C99" s="21" t="str">
        <f>IF('Modell-Kalibrierung'!C121=0," ",'Modell-Kalibrierung'!C121)</f>
        <v xml:space="preserve"> </v>
      </c>
      <c r="D99" s="59"/>
      <c r="E99" s="117"/>
      <c r="F99" s="54" t="str">
        <f>IF(C99=" "," ",(VLOOKUP(C99,'Modell-Kalibrierung'!$H$28:$I$32,2,FALSE))*D99)</f>
        <v xml:space="preserve"> </v>
      </c>
      <c r="G99" s="36"/>
      <c r="H99" s="36"/>
    </row>
    <row r="100" spans="1:8" x14ac:dyDescent="0.2">
      <c r="A100" s="36"/>
      <c r="B100" s="57" t="str">
        <f>IF('Modell-Kalibrierung'!B122=0," ",'Modell-Kalibrierung'!B122)</f>
        <v xml:space="preserve"> </v>
      </c>
      <c r="C100" s="21" t="str">
        <f>IF('Modell-Kalibrierung'!C122=0," ",'Modell-Kalibrierung'!C122)</f>
        <v xml:space="preserve"> </v>
      </c>
      <c r="D100" s="59"/>
      <c r="E100" s="117"/>
      <c r="F100" s="54" t="str">
        <f>IF(C100=" "," ",(VLOOKUP(C100,'Modell-Kalibrierung'!$H$28:$I$32,2,FALSE))*D100)</f>
        <v xml:space="preserve"> </v>
      </c>
      <c r="G100" s="36"/>
      <c r="H100" s="36"/>
    </row>
    <row r="101" spans="1:8" x14ac:dyDescent="0.2">
      <c r="A101" s="36"/>
      <c r="B101" s="57" t="str">
        <f>IF('Modell-Kalibrierung'!B123=0," ",'Modell-Kalibrierung'!B123)</f>
        <v xml:space="preserve"> </v>
      </c>
      <c r="C101" s="21" t="str">
        <f>IF('Modell-Kalibrierung'!C123=0," ",'Modell-Kalibrierung'!C123)</f>
        <v xml:space="preserve"> </v>
      </c>
      <c r="D101" s="59"/>
      <c r="E101" s="117"/>
      <c r="F101" s="54" t="str">
        <f>IF(C101=" "," ",(VLOOKUP(C101,'Modell-Kalibrierung'!$H$28:$I$32,2,FALSE))*D101)</f>
        <v xml:space="preserve"> </v>
      </c>
      <c r="G101" s="36"/>
      <c r="H101" s="36"/>
    </row>
    <row r="102" spans="1:8" x14ac:dyDescent="0.2">
      <c r="A102" s="36"/>
      <c r="B102" s="57" t="str">
        <f>IF('Modell-Kalibrierung'!B124=0," ",'Modell-Kalibrierung'!B124)</f>
        <v xml:space="preserve"> </v>
      </c>
      <c r="C102" s="21" t="str">
        <f>IF('Modell-Kalibrierung'!C124=0," ",'Modell-Kalibrierung'!C124)</f>
        <v xml:space="preserve"> </v>
      </c>
      <c r="D102" s="59"/>
      <c r="E102" s="117"/>
      <c r="F102" s="54" t="str">
        <f>IF(C102=" "," ",(VLOOKUP(C102,'Modell-Kalibrierung'!$H$28:$I$32,2,FALSE))*D102)</f>
        <v xml:space="preserve"> </v>
      </c>
      <c r="G102" s="36"/>
      <c r="H102" s="36"/>
    </row>
    <row r="103" spans="1:8" x14ac:dyDescent="0.2">
      <c r="A103" s="36"/>
      <c r="B103" s="57" t="str">
        <f>IF('Modell-Kalibrierung'!B125=0," ",'Modell-Kalibrierung'!B125)</f>
        <v xml:space="preserve"> </v>
      </c>
      <c r="C103" s="21" t="str">
        <f>IF('Modell-Kalibrierung'!C125=0," ",'Modell-Kalibrierung'!C125)</f>
        <v xml:space="preserve"> </v>
      </c>
      <c r="D103" s="59"/>
      <c r="E103" s="117"/>
      <c r="F103" s="54" t="str">
        <f>IF(C103=" "," ",(VLOOKUP(C103,'Modell-Kalibrierung'!$H$28:$I$32,2,FALSE))*D103)</f>
        <v xml:space="preserve"> </v>
      </c>
      <c r="G103" s="36"/>
      <c r="H103" s="36"/>
    </row>
    <row r="104" spans="1:8" x14ac:dyDescent="0.2">
      <c r="A104" s="36"/>
      <c r="B104" s="57" t="str">
        <f>IF('Modell-Kalibrierung'!B126=0," ",'Modell-Kalibrierung'!B126)</f>
        <v xml:space="preserve"> </v>
      </c>
      <c r="C104" s="21" t="str">
        <f>IF('Modell-Kalibrierung'!C126=0," ",'Modell-Kalibrierung'!C126)</f>
        <v xml:space="preserve"> </v>
      </c>
      <c r="D104" s="59"/>
      <c r="E104" s="117"/>
      <c r="F104" s="54" t="str">
        <f>IF(C104=" "," ",(VLOOKUP(C104,'Modell-Kalibrierung'!$H$28:$I$32,2,FALSE))*D104)</f>
        <v xml:space="preserve"> </v>
      </c>
      <c r="G104" s="36"/>
      <c r="H104" s="36"/>
    </row>
    <row r="105" spans="1:8" x14ac:dyDescent="0.2">
      <c r="A105" s="36"/>
      <c r="B105" s="57" t="str">
        <f>IF('Modell-Kalibrierung'!B127=0," ",'Modell-Kalibrierung'!B127)</f>
        <v xml:space="preserve"> </v>
      </c>
      <c r="C105" s="21" t="str">
        <f>IF('Modell-Kalibrierung'!C127=0," ",'Modell-Kalibrierung'!C127)</f>
        <v xml:space="preserve"> </v>
      </c>
      <c r="D105" s="59"/>
      <c r="E105" s="117"/>
      <c r="F105" s="54" t="str">
        <f>IF(C105=" "," ",(VLOOKUP(C105,'Modell-Kalibrierung'!$H$28:$I$32,2,FALSE))*D105)</f>
        <v xml:space="preserve"> </v>
      </c>
      <c r="G105" s="36"/>
      <c r="H105" s="36"/>
    </row>
    <row r="106" spans="1:8" x14ac:dyDescent="0.2">
      <c r="A106" s="36"/>
      <c r="B106" s="57" t="str">
        <f>IF('Modell-Kalibrierung'!B128=0," ",'Modell-Kalibrierung'!B128)</f>
        <v xml:space="preserve"> </v>
      </c>
      <c r="C106" s="21" t="str">
        <f>IF('Modell-Kalibrierung'!C128=0," ",'Modell-Kalibrierung'!C128)</f>
        <v xml:space="preserve"> </v>
      </c>
      <c r="D106" s="59"/>
      <c r="E106" s="117"/>
      <c r="F106" s="54" t="str">
        <f>IF(C106=" "," ",(VLOOKUP(C106,'Modell-Kalibrierung'!$H$28:$I$32,2,FALSE))*D106)</f>
        <v xml:space="preserve"> </v>
      </c>
      <c r="G106" s="36"/>
      <c r="H106" s="36"/>
    </row>
    <row r="107" spans="1:8" x14ac:dyDescent="0.2">
      <c r="A107" s="36"/>
      <c r="B107" s="57" t="str">
        <f>IF('Modell-Kalibrierung'!B129=0," ",'Modell-Kalibrierung'!B129)</f>
        <v xml:space="preserve"> </v>
      </c>
      <c r="C107" s="21" t="str">
        <f>IF('Modell-Kalibrierung'!C129=0," ",'Modell-Kalibrierung'!C129)</f>
        <v xml:space="preserve"> </v>
      </c>
      <c r="D107" s="59"/>
      <c r="E107" s="117"/>
      <c r="F107" s="54" t="str">
        <f>IF(C107=" "," ",(VLOOKUP(C107,'Modell-Kalibrierung'!$H$28:$I$32,2,FALSE))*D107)</f>
        <v xml:space="preserve"> </v>
      </c>
      <c r="G107" s="36"/>
      <c r="H107" s="36"/>
    </row>
    <row r="108" spans="1:8" x14ac:dyDescent="0.2">
      <c r="A108" s="36"/>
      <c r="B108" s="57" t="str">
        <f>IF('Modell-Kalibrierung'!B130=0," ",'Modell-Kalibrierung'!B130)</f>
        <v xml:space="preserve"> </v>
      </c>
      <c r="C108" s="21" t="str">
        <f>IF('Modell-Kalibrierung'!C130=0," ",'Modell-Kalibrierung'!C130)</f>
        <v xml:space="preserve"> </v>
      </c>
      <c r="D108" s="59"/>
      <c r="E108" s="117"/>
      <c r="F108" s="54" t="str">
        <f>IF(C108=" "," ",(VLOOKUP(C108,'Modell-Kalibrierung'!$H$28:$I$32,2,FALSE))*D108)</f>
        <v xml:space="preserve"> </v>
      </c>
      <c r="G108" s="36"/>
      <c r="H108" s="36"/>
    </row>
    <row r="109" spans="1:8" x14ac:dyDescent="0.2">
      <c r="A109" s="36"/>
      <c r="B109" s="57" t="str">
        <f>IF('Modell-Kalibrierung'!B131=0," ",'Modell-Kalibrierung'!B131)</f>
        <v xml:space="preserve"> </v>
      </c>
      <c r="C109" s="21" t="str">
        <f>IF('Modell-Kalibrierung'!C131=0," ",'Modell-Kalibrierung'!C131)</f>
        <v xml:space="preserve"> </v>
      </c>
      <c r="D109" s="59"/>
      <c r="E109" s="117"/>
      <c r="F109" s="54" t="str">
        <f>IF(C109=" "," ",(VLOOKUP(C109,'Modell-Kalibrierung'!$H$28:$I$32,2,FALSE))*D109)</f>
        <v xml:space="preserve"> </v>
      </c>
      <c r="G109" s="36"/>
      <c r="H109" s="36"/>
    </row>
    <row r="110" spans="1:8" x14ac:dyDescent="0.2">
      <c r="A110" s="36"/>
      <c r="B110" s="57" t="str">
        <f>IF('Modell-Kalibrierung'!B132=0," ",'Modell-Kalibrierung'!B132)</f>
        <v xml:space="preserve"> </v>
      </c>
      <c r="C110" s="21" t="str">
        <f>IF('Modell-Kalibrierung'!C132=0," ",'Modell-Kalibrierung'!C132)</f>
        <v xml:space="preserve"> </v>
      </c>
      <c r="D110" s="59"/>
      <c r="E110" s="117"/>
      <c r="F110" s="54" t="str">
        <f>IF(C110=" "," ",(VLOOKUP(C110,'Modell-Kalibrierung'!$H$28:$I$32,2,FALSE))*D110)</f>
        <v xml:space="preserve"> </v>
      </c>
      <c r="G110" s="36"/>
      <c r="H110" s="36"/>
    </row>
    <row r="111" spans="1:8" x14ac:dyDescent="0.2">
      <c r="A111" s="36"/>
      <c r="B111" s="57" t="str">
        <f>IF('Modell-Kalibrierung'!B133=0," ",'Modell-Kalibrierung'!B133)</f>
        <v xml:space="preserve"> </v>
      </c>
      <c r="C111" s="21" t="str">
        <f>IF('Modell-Kalibrierung'!C133=0," ",'Modell-Kalibrierung'!C133)</f>
        <v xml:space="preserve"> </v>
      </c>
      <c r="D111" s="59"/>
      <c r="E111" s="117"/>
      <c r="F111" s="54" t="str">
        <f>IF(C111=" "," ",(VLOOKUP(C111,'Modell-Kalibrierung'!$H$28:$I$32,2,FALSE))*D111)</f>
        <v xml:space="preserve"> </v>
      </c>
      <c r="G111" s="36"/>
      <c r="H111" s="36"/>
    </row>
    <row r="112" spans="1:8" x14ac:dyDescent="0.2">
      <c r="A112" s="36"/>
      <c r="B112" s="57" t="str">
        <f>IF('Modell-Kalibrierung'!B134=0," ",'Modell-Kalibrierung'!B134)</f>
        <v xml:space="preserve"> </v>
      </c>
      <c r="C112" s="21" t="str">
        <f>IF('Modell-Kalibrierung'!C134=0," ",'Modell-Kalibrierung'!C134)</f>
        <v xml:space="preserve"> </v>
      </c>
      <c r="D112" s="59"/>
      <c r="E112" s="117"/>
      <c r="F112" s="54" t="str">
        <f>IF(C112=" "," ",(VLOOKUP(C112,'Modell-Kalibrierung'!$H$28:$I$32,2,FALSE))*D112)</f>
        <v xml:space="preserve"> </v>
      </c>
      <c r="G112" s="36"/>
      <c r="H112" s="36"/>
    </row>
    <row r="113" spans="1:8" x14ac:dyDescent="0.2">
      <c r="A113" s="36"/>
      <c r="B113" s="57" t="str">
        <f>IF('Modell-Kalibrierung'!B135=0," ",'Modell-Kalibrierung'!B135)</f>
        <v xml:space="preserve"> </v>
      </c>
      <c r="C113" s="21" t="str">
        <f>IF('Modell-Kalibrierung'!C135=0," ",'Modell-Kalibrierung'!C135)</f>
        <v xml:space="preserve"> </v>
      </c>
      <c r="D113" s="59"/>
      <c r="E113" s="117"/>
      <c r="F113" s="54" t="str">
        <f>IF(C113=" "," ",(VLOOKUP(C113,'Modell-Kalibrierung'!$H$28:$I$32,2,FALSE))*D113)</f>
        <v xml:space="preserve"> </v>
      </c>
      <c r="G113" s="36"/>
      <c r="H113" s="36"/>
    </row>
    <row r="114" spans="1:8" x14ac:dyDescent="0.2">
      <c r="A114" s="36"/>
      <c r="B114" s="57" t="str">
        <f>IF('Modell-Kalibrierung'!B136=0," ",'Modell-Kalibrierung'!B136)</f>
        <v xml:space="preserve"> </v>
      </c>
      <c r="C114" s="21" t="str">
        <f>IF('Modell-Kalibrierung'!C136=0," ",'Modell-Kalibrierung'!C136)</f>
        <v xml:space="preserve"> </v>
      </c>
      <c r="D114" s="59"/>
      <c r="E114" s="117"/>
      <c r="F114" s="54" t="str">
        <f>IF(C114=" "," ",(VLOOKUP(C114,'Modell-Kalibrierung'!$H$28:$I$32,2,FALSE))*D114)</f>
        <v xml:space="preserve"> </v>
      </c>
      <c r="G114" s="36"/>
      <c r="H114" s="36"/>
    </row>
    <row r="115" spans="1:8" x14ac:dyDescent="0.2">
      <c r="A115" s="36"/>
      <c r="B115" s="57" t="str">
        <f>IF('Modell-Kalibrierung'!B137=0," ",'Modell-Kalibrierung'!B137)</f>
        <v xml:space="preserve"> </v>
      </c>
      <c r="C115" s="21" t="str">
        <f>IF('Modell-Kalibrierung'!C137=0," ",'Modell-Kalibrierung'!C137)</f>
        <v xml:space="preserve"> </v>
      </c>
      <c r="D115" s="59"/>
      <c r="E115" s="117"/>
      <c r="F115" s="54" t="str">
        <f>IF(C115=" "," ",(VLOOKUP(C115,'Modell-Kalibrierung'!$H$28:$I$32,2,FALSE))*D115)</f>
        <v xml:space="preserve"> </v>
      </c>
      <c r="G115" s="36"/>
      <c r="H115" s="36"/>
    </row>
    <row r="116" spans="1:8" x14ac:dyDescent="0.2">
      <c r="A116" s="36"/>
      <c r="B116" s="57" t="str">
        <f>IF('Modell-Kalibrierung'!B138=0," ",'Modell-Kalibrierung'!B138)</f>
        <v xml:space="preserve"> </v>
      </c>
      <c r="C116" s="21" t="str">
        <f>IF('Modell-Kalibrierung'!C138=0," ",'Modell-Kalibrierung'!C138)</f>
        <v xml:space="preserve"> </v>
      </c>
      <c r="D116" s="59"/>
      <c r="E116" s="117"/>
      <c r="F116" s="54" t="str">
        <f>IF(C116=" "," ",(VLOOKUP(C116,'Modell-Kalibrierung'!$H$28:$I$32,2,FALSE))*D116)</f>
        <v xml:space="preserve"> </v>
      </c>
      <c r="G116" s="36"/>
      <c r="H116" s="36"/>
    </row>
    <row r="117" spans="1:8" x14ac:dyDescent="0.2">
      <c r="A117" s="36"/>
      <c r="B117" s="57" t="str">
        <f>IF('Modell-Kalibrierung'!B139=0," ",'Modell-Kalibrierung'!B139)</f>
        <v xml:space="preserve"> </v>
      </c>
      <c r="C117" s="21" t="str">
        <f>IF('Modell-Kalibrierung'!C139=0," ",'Modell-Kalibrierung'!C139)</f>
        <v xml:space="preserve"> </v>
      </c>
      <c r="D117" s="59"/>
      <c r="E117" s="117"/>
      <c r="F117" s="54" t="str">
        <f>IF(C117=" "," ",(VLOOKUP(C117,'Modell-Kalibrierung'!$H$28:$I$32,2,FALSE))*D117)</f>
        <v xml:space="preserve"> </v>
      </c>
      <c r="G117" s="36"/>
      <c r="H117" s="36"/>
    </row>
    <row r="118" spans="1:8" x14ac:dyDescent="0.2">
      <c r="A118" s="36"/>
      <c r="B118" s="57" t="str">
        <f>IF('Modell-Kalibrierung'!B140=0," ",'Modell-Kalibrierung'!B140)</f>
        <v xml:space="preserve"> </v>
      </c>
      <c r="C118" s="21" t="str">
        <f>IF('Modell-Kalibrierung'!C140=0," ",'Modell-Kalibrierung'!C140)</f>
        <v xml:space="preserve"> </v>
      </c>
      <c r="D118" s="59"/>
      <c r="E118" s="117"/>
      <c r="F118" s="54" t="str">
        <f>IF(C118=" "," ",(VLOOKUP(C118,'Modell-Kalibrierung'!$H$28:$I$32,2,FALSE))*D118)</f>
        <v xml:space="preserve"> </v>
      </c>
      <c r="G118" s="36"/>
      <c r="H118" s="36"/>
    </row>
    <row r="119" spans="1:8" x14ac:dyDescent="0.2">
      <c r="A119" s="36"/>
      <c r="B119" s="36"/>
      <c r="C119" s="36"/>
      <c r="D119" s="44"/>
      <c r="E119" s="54"/>
      <c r="F119" s="36"/>
      <c r="G119" s="36"/>
      <c r="H119" s="36"/>
    </row>
    <row r="120" spans="1:8" x14ac:dyDescent="0.2">
      <c r="A120" s="36"/>
      <c r="B120" s="36"/>
      <c r="C120" s="36"/>
      <c r="D120" s="44"/>
      <c r="E120" s="54"/>
      <c r="F120" s="36"/>
      <c r="G120" s="36"/>
      <c r="H120" s="36"/>
    </row>
    <row r="121" spans="1:8" x14ac:dyDescent="0.2">
      <c r="A121" s="36"/>
      <c r="B121" s="36"/>
      <c r="C121" s="36"/>
      <c r="D121" s="44"/>
      <c r="E121" s="54"/>
      <c r="F121" s="36"/>
      <c r="G121" s="36"/>
      <c r="H121" s="36"/>
    </row>
    <row r="122" spans="1:8" x14ac:dyDescent="0.2">
      <c r="A122" s="36"/>
      <c r="B122" s="36"/>
      <c r="C122" s="36"/>
      <c r="D122" s="44"/>
      <c r="E122" s="54"/>
      <c r="F122" s="36"/>
      <c r="G122" s="36"/>
      <c r="H122" s="36"/>
    </row>
    <row r="123" spans="1:8" x14ac:dyDescent="0.2">
      <c r="A123" s="36"/>
      <c r="B123" s="36"/>
      <c r="C123" s="36"/>
      <c r="D123" s="44"/>
      <c r="E123" s="54"/>
      <c r="F123" s="36"/>
      <c r="G123" s="36"/>
      <c r="H123" s="36"/>
    </row>
    <row r="124" spans="1:8" x14ac:dyDescent="0.2">
      <c r="A124" s="36"/>
      <c r="B124" s="36"/>
      <c r="C124" s="36"/>
      <c r="D124" s="44"/>
      <c r="E124" s="54"/>
      <c r="F124" s="36"/>
      <c r="G124" s="36"/>
      <c r="H124" s="36"/>
    </row>
    <row r="125" spans="1:8" x14ac:dyDescent="0.2">
      <c r="A125" s="36"/>
      <c r="B125" s="36"/>
      <c r="C125" s="36"/>
      <c r="D125" s="44"/>
      <c r="E125" s="54"/>
      <c r="F125" s="36"/>
      <c r="G125" s="36"/>
      <c r="H125" s="36"/>
    </row>
    <row r="126" spans="1:8" x14ac:dyDescent="0.2">
      <c r="D126" s="13"/>
    </row>
    <row r="127" spans="1:8" x14ac:dyDescent="0.2">
      <c r="D127" s="13"/>
    </row>
    <row r="128" spans="1:8" x14ac:dyDescent="0.2">
      <c r="D128" s="13"/>
    </row>
    <row r="129" spans="4:4" x14ac:dyDescent="0.2">
      <c r="D129" s="13"/>
    </row>
    <row r="130" spans="4:4" x14ac:dyDescent="0.2">
      <c r="D130" s="13"/>
    </row>
    <row r="131" spans="4:4" x14ac:dyDescent="0.2">
      <c r="D131" s="13"/>
    </row>
    <row r="132" spans="4:4" x14ac:dyDescent="0.2">
      <c r="D132" s="13"/>
    </row>
    <row r="133" spans="4:4" x14ac:dyDescent="0.2">
      <c r="D133" s="13"/>
    </row>
    <row r="134" spans="4:4" x14ac:dyDescent="0.2">
      <c r="D134" s="13"/>
    </row>
    <row r="135" spans="4:4" x14ac:dyDescent="0.2">
      <c r="D135" s="13"/>
    </row>
    <row r="136" spans="4:4" x14ac:dyDescent="0.2">
      <c r="D136" s="13"/>
    </row>
    <row r="137" spans="4:4" x14ac:dyDescent="0.2">
      <c r="D137" s="13"/>
    </row>
    <row r="138" spans="4:4" x14ac:dyDescent="0.2">
      <c r="D138" s="13"/>
    </row>
    <row r="139" spans="4:4" x14ac:dyDescent="0.2">
      <c r="D139" s="13"/>
    </row>
    <row r="140" spans="4:4" x14ac:dyDescent="0.2">
      <c r="D140" s="13"/>
    </row>
    <row r="141" spans="4:4" x14ac:dyDescent="0.2">
      <c r="D141" s="13"/>
    </row>
    <row r="142" spans="4:4" x14ac:dyDescent="0.2">
      <c r="D142" s="13"/>
    </row>
    <row r="143" spans="4:4" x14ac:dyDescent="0.2">
      <c r="D143" s="13"/>
    </row>
    <row r="144" spans="4:4" x14ac:dyDescent="0.2">
      <c r="D144" s="13"/>
    </row>
    <row r="145" spans="4:4" x14ac:dyDescent="0.2">
      <c r="D145" s="13"/>
    </row>
    <row r="146" spans="4:4" x14ac:dyDescent="0.2">
      <c r="D146" s="13"/>
    </row>
    <row r="147" spans="4:4" x14ac:dyDescent="0.2">
      <c r="D147" s="13"/>
    </row>
    <row r="148" spans="4:4" x14ac:dyDescent="0.2">
      <c r="D148" s="13"/>
    </row>
    <row r="149" spans="4:4" x14ac:dyDescent="0.2">
      <c r="D149" s="13"/>
    </row>
    <row r="150" spans="4:4" x14ac:dyDescent="0.2">
      <c r="D150" s="13"/>
    </row>
    <row r="151" spans="4:4" x14ac:dyDescent="0.2">
      <c r="D151" s="13"/>
    </row>
    <row r="152" spans="4:4" x14ac:dyDescent="0.2">
      <c r="D152" s="13"/>
    </row>
    <row r="153" spans="4:4" x14ac:dyDescent="0.2">
      <c r="D153" s="13"/>
    </row>
    <row r="154" spans="4:4" x14ac:dyDescent="0.2">
      <c r="D154" s="13"/>
    </row>
    <row r="155" spans="4:4" x14ac:dyDescent="0.2">
      <c r="D155" s="13"/>
    </row>
    <row r="156" spans="4:4" x14ac:dyDescent="0.2">
      <c r="D156" s="13"/>
    </row>
    <row r="157" spans="4:4" x14ac:dyDescent="0.2">
      <c r="D157" s="13"/>
    </row>
    <row r="158" spans="4:4" x14ac:dyDescent="0.2">
      <c r="D158" s="13"/>
    </row>
    <row r="159" spans="4:4" x14ac:dyDescent="0.2">
      <c r="D159" s="13"/>
    </row>
    <row r="160" spans="4:4" x14ac:dyDescent="0.2">
      <c r="D160" s="13"/>
    </row>
    <row r="161" spans="4:4" x14ac:dyDescent="0.2">
      <c r="D161" s="13"/>
    </row>
    <row r="162" spans="4:4" x14ac:dyDescent="0.2">
      <c r="D162" s="13"/>
    </row>
    <row r="163" spans="4:4" x14ac:dyDescent="0.2">
      <c r="D163" s="13"/>
    </row>
    <row r="164" spans="4:4" x14ac:dyDescent="0.2">
      <c r="D164" s="13"/>
    </row>
    <row r="165" spans="4:4" x14ac:dyDescent="0.2">
      <c r="D165" s="13"/>
    </row>
    <row r="166" spans="4:4" x14ac:dyDescent="0.2">
      <c r="D166" s="13"/>
    </row>
    <row r="167" spans="4:4" x14ac:dyDescent="0.2">
      <c r="D167" s="13"/>
    </row>
    <row r="168" spans="4:4" x14ac:dyDescent="0.2">
      <c r="D168" s="13"/>
    </row>
    <row r="169" spans="4:4" x14ac:dyDescent="0.2">
      <c r="D169" s="13"/>
    </row>
    <row r="170" spans="4:4" x14ac:dyDescent="0.2">
      <c r="D170" s="13"/>
    </row>
    <row r="171" spans="4:4" x14ac:dyDescent="0.2">
      <c r="D171" s="13"/>
    </row>
    <row r="172" spans="4:4" x14ac:dyDescent="0.2">
      <c r="D172" s="13"/>
    </row>
    <row r="173" spans="4:4" x14ac:dyDescent="0.2">
      <c r="D173" s="13"/>
    </row>
    <row r="174" spans="4:4" x14ac:dyDescent="0.2">
      <c r="D174" s="13"/>
    </row>
    <row r="175" spans="4:4" x14ac:dyDescent="0.2">
      <c r="D175" s="13"/>
    </row>
    <row r="176" spans="4:4" x14ac:dyDescent="0.2">
      <c r="D176" s="13"/>
    </row>
    <row r="177" spans="4:4" x14ac:dyDescent="0.2">
      <c r="D177" s="13"/>
    </row>
    <row r="178" spans="4:4" x14ac:dyDescent="0.2">
      <c r="D178" s="13"/>
    </row>
    <row r="179" spans="4:4" x14ac:dyDescent="0.2">
      <c r="D179" s="13"/>
    </row>
    <row r="180" spans="4:4" x14ac:dyDescent="0.2">
      <c r="D180" s="13"/>
    </row>
    <row r="181" spans="4:4" x14ac:dyDescent="0.2">
      <c r="D181" s="13"/>
    </row>
    <row r="182" spans="4:4" x14ac:dyDescent="0.2">
      <c r="D182" s="13"/>
    </row>
    <row r="183" spans="4:4" x14ac:dyDescent="0.2">
      <c r="D183" s="13"/>
    </row>
    <row r="184" spans="4:4" x14ac:dyDescent="0.2">
      <c r="D184" s="13"/>
    </row>
    <row r="185" spans="4:4" x14ac:dyDescent="0.2">
      <c r="D185" s="13"/>
    </row>
    <row r="186" spans="4:4" x14ac:dyDescent="0.2">
      <c r="D186" s="13"/>
    </row>
    <row r="187" spans="4:4" x14ac:dyDescent="0.2">
      <c r="D187" s="13"/>
    </row>
    <row r="188" spans="4:4" x14ac:dyDescent="0.2">
      <c r="D188" s="13"/>
    </row>
    <row r="189" spans="4:4" x14ac:dyDescent="0.2">
      <c r="D189" s="13"/>
    </row>
    <row r="190" spans="4:4" x14ac:dyDescent="0.2">
      <c r="D190" s="13"/>
    </row>
    <row r="191" spans="4:4" x14ac:dyDescent="0.2">
      <c r="D191" s="13"/>
    </row>
    <row r="192" spans="4:4" x14ac:dyDescent="0.2">
      <c r="D192" s="13"/>
    </row>
    <row r="193" spans="4:4" x14ac:dyDescent="0.2">
      <c r="D193" s="13"/>
    </row>
    <row r="194" spans="4:4" x14ac:dyDescent="0.2">
      <c r="D194" s="13"/>
    </row>
    <row r="195" spans="4:4" x14ac:dyDescent="0.2">
      <c r="D195" s="13"/>
    </row>
    <row r="196" spans="4:4" x14ac:dyDescent="0.2">
      <c r="D196" s="13"/>
    </row>
    <row r="197" spans="4:4" x14ac:dyDescent="0.2">
      <c r="D197" s="13"/>
    </row>
    <row r="198" spans="4:4" x14ac:dyDescent="0.2">
      <c r="D198" s="13"/>
    </row>
    <row r="199" spans="4:4" x14ac:dyDescent="0.2">
      <c r="D199" s="13"/>
    </row>
    <row r="200" spans="4:4" x14ac:dyDescent="0.2">
      <c r="D200" s="13"/>
    </row>
    <row r="201" spans="4:4" x14ac:dyDescent="0.2">
      <c r="D201" s="13"/>
    </row>
    <row r="202" spans="4:4" x14ac:dyDescent="0.2">
      <c r="D202" s="13"/>
    </row>
    <row r="203" spans="4:4" x14ac:dyDescent="0.2">
      <c r="D203" s="13"/>
    </row>
    <row r="204" spans="4:4" x14ac:dyDescent="0.2">
      <c r="D204" s="13"/>
    </row>
    <row r="205" spans="4:4" x14ac:dyDescent="0.2">
      <c r="D205" s="13"/>
    </row>
    <row r="206" spans="4:4" x14ac:dyDescent="0.2">
      <c r="D206" s="13"/>
    </row>
    <row r="207" spans="4:4" x14ac:dyDescent="0.2">
      <c r="D207" s="13"/>
    </row>
    <row r="208" spans="4:4" x14ac:dyDescent="0.2">
      <c r="D208" s="13"/>
    </row>
    <row r="209" spans="4:4" x14ac:dyDescent="0.2">
      <c r="D209" s="13"/>
    </row>
    <row r="210" spans="4:4" x14ac:dyDescent="0.2">
      <c r="D210" s="13"/>
    </row>
    <row r="211" spans="4:4" x14ac:dyDescent="0.2">
      <c r="D211" s="13"/>
    </row>
    <row r="212" spans="4:4" x14ac:dyDescent="0.2">
      <c r="D212" s="13"/>
    </row>
    <row r="213" spans="4:4" x14ac:dyDescent="0.2">
      <c r="D213" s="13"/>
    </row>
    <row r="214" spans="4:4" x14ac:dyDescent="0.2">
      <c r="D214" s="13"/>
    </row>
    <row r="215" spans="4:4" x14ac:dyDescent="0.2">
      <c r="D215" s="13"/>
    </row>
    <row r="216" spans="4:4" x14ac:dyDescent="0.2">
      <c r="D216" s="13"/>
    </row>
    <row r="217" spans="4:4" x14ac:dyDescent="0.2">
      <c r="D217" s="13"/>
    </row>
    <row r="218" spans="4:4" x14ac:dyDescent="0.2">
      <c r="D218" s="13"/>
    </row>
    <row r="219" spans="4:4" x14ac:dyDescent="0.2">
      <c r="D219" s="13"/>
    </row>
    <row r="220" spans="4:4" x14ac:dyDescent="0.2">
      <c r="D220" s="13"/>
    </row>
    <row r="221" spans="4:4" x14ac:dyDescent="0.2">
      <c r="D221" s="13"/>
    </row>
    <row r="222" spans="4:4" x14ac:dyDescent="0.2">
      <c r="D222" s="13"/>
    </row>
    <row r="223" spans="4:4" x14ac:dyDescent="0.2">
      <c r="D223" s="13"/>
    </row>
    <row r="224" spans="4:4" x14ac:dyDescent="0.2">
      <c r="D224" s="13"/>
    </row>
    <row r="225" spans="4:4" x14ac:dyDescent="0.2">
      <c r="D225" s="13"/>
    </row>
    <row r="226" spans="4:4" x14ac:dyDescent="0.2">
      <c r="D226" s="13"/>
    </row>
    <row r="227" spans="4:4" x14ac:dyDescent="0.2">
      <c r="D227" s="13"/>
    </row>
    <row r="228" spans="4:4" x14ac:dyDescent="0.2">
      <c r="D228" s="13"/>
    </row>
    <row r="229" spans="4:4" x14ac:dyDescent="0.2">
      <c r="D229" s="13"/>
    </row>
    <row r="230" spans="4:4" x14ac:dyDescent="0.2">
      <c r="D230" s="13"/>
    </row>
    <row r="231" spans="4:4" x14ac:dyDescent="0.2">
      <c r="D231" s="13"/>
    </row>
    <row r="232" spans="4:4" x14ac:dyDescent="0.2">
      <c r="D232" s="13"/>
    </row>
    <row r="233" spans="4:4" x14ac:dyDescent="0.2">
      <c r="D233" s="13"/>
    </row>
    <row r="234" spans="4:4" x14ac:dyDescent="0.2">
      <c r="D234" s="13"/>
    </row>
    <row r="235" spans="4:4" x14ac:dyDescent="0.2">
      <c r="D235" s="13"/>
    </row>
    <row r="236" spans="4:4" x14ac:dyDescent="0.2">
      <c r="D236" s="13"/>
    </row>
    <row r="237" spans="4:4" x14ac:dyDescent="0.2">
      <c r="D237" s="13"/>
    </row>
    <row r="238" spans="4:4" x14ac:dyDescent="0.2">
      <c r="D238" s="13"/>
    </row>
    <row r="239" spans="4:4" x14ac:dyDescent="0.2">
      <c r="D239" s="13"/>
    </row>
    <row r="240" spans="4:4" x14ac:dyDescent="0.2">
      <c r="D240" s="13"/>
    </row>
    <row r="241" spans="4:4" x14ac:dyDescent="0.2">
      <c r="D241" s="13"/>
    </row>
    <row r="242" spans="4:4" x14ac:dyDescent="0.2">
      <c r="D242" s="13"/>
    </row>
    <row r="243" spans="4:4" x14ac:dyDescent="0.2">
      <c r="D243" s="13"/>
    </row>
    <row r="244" spans="4:4" x14ac:dyDescent="0.2">
      <c r="D244" s="13"/>
    </row>
    <row r="245" spans="4:4" x14ac:dyDescent="0.2">
      <c r="D245" s="13"/>
    </row>
    <row r="246" spans="4:4" x14ac:dyDescent="0.2">
      <c r="D246" s="13"/>
    </row>
    <row r="247" spans="4:4" x14ac:dyDescent="0.2">
      <c r="D247" s="13"/>
    </row>
    <row r="248" spans="4:4" x14ac:dyDescent="0.2">
      <c r="D248" s="13"/>
    </row>
    <row r="249" spans="4:4" x14ac:dyDescent="0.2">
      <c r="D249" s="13"/>
    </row>
  </sheetData>
  <sheetProtection sheet="1" objects="1" scenarios="1" selectLockedCells="1"/>
  <mergeCells count="2">
    <mergeCell ref="B1:H1"/>
    <mergeCell ref="G6:H6"/>
  </mergeCells>
  <pageMargins left="0.7" right="0.7" top="0.78740157499999996" bottom="0.78740157499999996" header="0.3" footer="0.3"/>
  <pageSetup paperSize="8" scale="62" orientation="portrait" r:id="rId1"/>
  <drawing r:id="rId2"/>
  <legacyDrawing r:id="rId3"/>
  <controls>
    <mc:AlternateContent xmlns:mc="http://schemas.openxmlformats.org/markup-compatibility/2006">
      <mc:Choice Requires="x14">
        <control shapeId="132097" r:id="rId4" name="ComboBox1">
          <controlPr defaultSize="0" autoLine="0" r:id="rId5">
            <anchor moveWithCells="1">
              <from>
                <xdr:col>1</xdr:col>
                <xdr:colOff>1600200</xdr:colOff>
                <xdr:row>0</xdr:row>
                <xdr:rowOff>28575</xdr:rowOff>
              </from>
              <to>
                <xdr:col>1</xdr:col>
                <xdr:colOff>3400425</xdr:colOff>
                <xdr:row>0</xdr:row>
                <xdr:rowOff>657225</xdr:rowOff>
              </to>
            </anchor>
          </controlPr>
        </control>
      </mc:Choice>
      <mc:Fallback>
        <control shapeId="132097" r:id="rId4" name="ComboBox1"/>
      </mc:Fallback>
    </mc:AlternateContent>
    <mc:AlternateContent xmlns:mc="http://schemas.openxmlformats.org/markup-compatibility/2006">
      <mc:Choice Requires="x14">
        <control shapeId="132098" r:id="rId6" name="Löschbutton">
          <controlPr defaultSize="0" autoLine="0" r:id="rId7">
            <anchor moveWithCells="1">
              <from>
                <xdr:col>0</xdr:col>
                <xdr:colOff>123825</xdr:colOff>
                <xdr:row>0</xdr:row>
                <xdr:rowOff>28575</xdr:rowOff>
              </from>
              <to>
                <xdr:col>1</xdr:col>
                <xdr:colOff>1524000</xdr:colOff>
                <xdr:row>0</xdr:row>
                <xdr:rowOff>657225</xdr:rowOff>
              </to>
            </anchor>
          </controlPr>
        </control>
      </mc:Choice>
      <mc:Fallback>
        <control shapeId="132098" r:id="rId6" name="Löschbutton"/>
      </mc:Fallback>
    </mc:AlternateContent>
    <mc:AlternateContent xmlns:mc="http://schemas.openxmlformats.org/markup-compatibility/2006">
      <mc:Choice Requires="x14">
        <control shapeId="132099" r:id="rId8" name="Portfolioview">
          <controlPr defaultSize="0" autoLine="0" r:id="rId9">
            <anchor moveWithCells="1">
              <from>
                <xdr:col>1</xdr:col>
                <xdr:colOff>1600200</xdr:colOff>
                <xdr:row>0</xdr:row>
                <xdr:rowOff>28575</xdr:rowOff>
              </from>
              <to>
                <xdr:col>1</xdr:col>
                <xdr:colOff>3238500</xdr:colOff>
                <xdr:row>0</xdr:row>
                <xdr:rowOff>657225</xdr:rowOff>
              </to>
            </anchor>
          </controlPr>
        </control>
      </mc:Choice>
      <mc:Fallback>
        <control shapeId="132099" r:id="rId8" name="Portfolioview"/>
      </mc:Fallback>
    </mc:AlternateContent>
  </controls>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'Modell-Kalibrierung'!$E$29:$E$36</xm:f>
          </x14:formula1>
          <xm:sqref>D7:D59</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11</vt:i4>
      </vt:variant>
    </vt:vector>
  </HeadingPairs>
  <TitlesOfParts>
    <vt:vector size="25" baseType="lpstr">
      <vt:lpstr>Projekt-Nutzen-Score</vt:lpstr>
      <vt:lpstr>STEP-Analyse</vt:lpstr>
      <vt:lpstr>WorkbookNames</vt:lpstr>
      <vt:lpstr>Übersicht</vt:lpstr>
      <vt:lpstr>Modell-Kalibrierung</vt:lpstr>
      <vt:lpstr>Project-Portfolio-View</vt:lpstr>
      <vt:lpstr>STEP-Analyse Brasilien</vt:lpstr>
      <vt:lpstr>Nutzen-Score Brasilien</vt:lpstr>
      <vt:lpstr>STEP-Analyse Nigeria</vt:lpstr>
      <vt:lpstr>Nutzen-Score Nigeria</vt:lpstr>
      <vt:lpstr>STEP-Analyse Russland</vt:lpstr>
      <vt:lpstr>Nutzen-Score Russland</vt:lpstr>
      <vt:lpstr>STEP-Analyse China</vt:lpstr>
      <vt:lpstr>Nutzen-Score China</vt:lpstr>
      <vt:lpstr>'Nutzen-Score Brasilien'!Druckbereich</vt:lpstr>
      <vt:lpstr>'Nutzen-Score China'!Druckbereich</vt:lpstr>
      <vt:lpstr>'Nutzen-Score Nigeria'!Druckbereich</vt:lpstr>
      <vt:lpstr>'Nutzen-Score Russland'!Druckbereich</vt:lpstr>
      <vt:lpstr>'Project-Portfolio-View'!Druckbereich</vt:lpstr>
      <vt:lpstr>'Projekt-Nutzen-Score'!Druckbereich</vt:lpstr>
      <vt:lpstr>'STEP-Analyse'!Druckbereich</vt:lpstr>
      <vt:lpstr>'STEP-Analyse Brasilien'!Druckbereich</vt:lpstr>
      <vt:lpstr>'STEP-Analyse China'!Druckbereich</vt:lpstr>
      <vt:lpstr>'STEP-Analyse Nigeria'!Druckbereich</vt:lpstr>
      <vt:lpstr>'STEP-Analyse Russland'!Druckbereich</vt:lpstr>
    </vt:vector>
  </TitlesOfParts>
  <Company>Deutsche Bundesbank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Ronny Schwab</dc:creator>
  <cp:lastModifiedBy>Benutzer</cp:lastModifiedBy>
  <cp:lastPrinted>2014-07-25T12:25:33Z</cp:lastPrinted>
  <dcterms:created xsi:type="dcterms:W3CDTF">2014-06-12T09:24:26Z</dcterms:created>
  <dcterms:modified xsi:type="dcterms:W3CDTF">2014-11-12T08:22:05Z</dcterms:modified>
</cp:coreProperties>
</file>