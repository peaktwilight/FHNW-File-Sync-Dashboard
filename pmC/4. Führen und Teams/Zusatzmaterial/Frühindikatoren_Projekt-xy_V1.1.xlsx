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4795" windowHeight="12270" activeTab="1"/>
  </bookViews>
  <sheets>
    <sheet name="Wochen" sheetId="1" r:id="rId1"/>
    <sheet name="All" sheetId="4" r:id="rId2"/>
  </sheets>
  <definedNames>
    <definedName name="_xlnm._FilterDatabase" localSheetId="1" hidden="1">All!$D$7:$E$7</definedName>
  </definedNames>
  <calcPr calcId="125725"/>
</workbook>
</file>

<file path=xl/calcChain.xml><?xml version="1.0" encoding="utf-8"?>
<calcChain xmlns="http://schemas.openxmlformats.org/spreadsheetml/2006/main">
  <c r="O41" i="4"/>
  <c r="P41"/>
  <c r="Q41"/>
  <c r="R41"/>
  <c r="O42"/>
  <c r="P42"/>
  <c r="Q42"/>
  <c r="R42"/>
  <c r="S42"/>
  <c r="T42"/>
  <c r="U42"/>
  <c r="V42"/>
  <c r="O43"/>
  <c r="P43"/>
  <c r="Q43"/>
  <c r="R43"/>
  <c r="S43"/>
  <c r="T43"/>
  <c r="U43"/>
  <c r="V43"/>
  <c r="O44"/>
  <c r="P44"/>
  <c r="Q44"/>
  <c r="R44"/>
  <c r="S44"/>
  <c r="T44"/>
  <c r="U44"/>
  <c r="V44"/>
  <c r="O45"/>
  <c r="P45"/>
  <c r="Q45"/>
  <c r="R45"/>
  <c r="S45"/>
  <c r="T45"/>
  <c r="U45"/>
  <c r="V45"/>
  <c r="V40"/>
  <c r="U40"/>
  <c r="T40"/>
  <c r="S40"/>
  <c r="R40"/>
  <c r="Q40"/>
  <c r="P40"/>
  <c r="O40"/>
  <c r="Q30"/>
  <c r="R30"/>
  <c r="Q31"/>
  <c r="R31"/>
  <c r="S31"/>
  <c r="T31"/>
  <c r="U31"/>
  <c r="V31"/>
  <c r="Q32"/>
  <c r="R32"/>
  <c r="S32"/>
  <c r="T32"/>
  <c r="U32"/>
  <c r="V32"/>
  <c r="Q33"/>
  <c r="R33"/>
  <c r="S33"/>
  <c r="T33"/>
  <c r="U33"/>
  <c r="V33"/>
  <c r="Q34"/>
  <c r="R34"/>
  <c r="S34"/>
  <c r="T34"/>
  <c r="U34"/>
  <c r="V34"/>
  <c r="V29"/>
  <c r="U29"/>
  <c r="T29"/>
  <c r="S29"/>
  <c r="R29"/>
  <c r="Q29"/>
  <c r="P29"/>
  <c r="O29"/>
  <c r="P34"/>
  <c r="O34"/>
  <c r="P33"/>
  <c r="O33"/>
  <c r="P32"/>
  <c r="O32"/>
  <c r="P31"/>
  <c r="O31"/>
  <c r="P30"/>
  <c r="O30"/>
  <c r="O19"/>
  <c r="P19"/>
  <c r="Q19"/>
  <c r="R19"/>
  <c r="O20"/>
  <c r="P20"/>
  <c r="Q20"/>
  <c r="R20"/>
  <c r="S20"/>
  <c r="T20"/>
  <c r="U20"/>
  <c r="V20"/>
  <c r="O21"/>
  <c r="P21"/>
  <c r="Q21"/>
  <c r="R21"/>
  <c r="S21"/>
  <c r="T21"/>
  <c r="U21"/>
  <c r="V21"/>
  <c r="O22"/>
  <c r="P22"/>
  <c r="Q22"/>
  <c r="R22"/>
  <c r="S22"/>
  <c r="T22"/>
  <c r="U22"/>
  <c r="V22"/>
  <c r="O23"/>
  <c r="P23"/>
  <c r="Q23"/>
  <c r="R23"/>
  <c r="S23"/>
  <c r="T23"/>
  <c r="U23"/>
  <c r="V23"/>
  <c r="V18"/>
  <c r="U18"/>
  <c r="T18"/>
  <c r="S18"/>
  <c r="R18"/>
  <c r="Q18"/>
  <c r="P18"/>
  <c r="O18"/>
  <c r="U9"/>
  <c r="V9"/>
  <c r="U10"/>
  <c r="V10"/>
  <c r="U11"/>
  <c r="V11"/>
  <c r="U12"/>
  <c r="V12"/>
  <c r="V7"/>
  <c r="S9"/>
  <c r="T9"/>
  <c r="S10"/>
  <c r="T10"/>
  <c r="S11"/>
  <c r="T11"/>
  <c r="S12"/>
  <c r="T12"/>
  <c r="T7"/>
  <c r="Q8"/>
  <c r="R8"/>
  <c r="Q9"/>
  <c r="R9"/>
  <c r="Q10"/>
  <c r="R10"/>
  <c r="Q11"/>
  <c r="R11"/>
  <c r="Q12"/>
  <c r="R12"/>
  <c r="R7"/>
  <c r="O8"/>
  <c r="P8"/>
  <c r="O9"/>
  <c r="P9"/>
  <c r="O10"/>
  <c r="P10"/>
  <c r="O11"/>
  <c r="P11"/>
  <c r="O12"/>
  <c r="P12"/>
  <c r="U7"/>
  <c r="S7"/>
  <c r="Q7"/>
  <c r="P7"/>
  <c r="O7"/>
  <c r="U37"/>
  <c r="S37"/>
  <c r="Q37"/>
  <c r="O37"/>
  <c r="U26"/>
  <c r="S26"/>
  <c r="Q26"/>
  <c r="O26"/>
  <c r="U15"/>
  <c r="S15"/>
  <c r="Q15"/>
  <c r="O15"/>
  <c r="U4"/>
  <c r="S4"/>
  <c r="Q4"/>
  <c r="O4"/>
  <c r="G30"/>
  <c r="D30" s="1"/>
  <c r="K30"/>
  <c r="H40"/>
  <c r="E40" s="1"/>
  <c r="H41"/>
  <c r="E41" s="1"/>
  <c r="H42"/>
  <c r="E42" s="1"/>
  <c r="H43"/>
  <c r="E43" s="1"/>
  <c r="J40"/>
  <c r="J41"/>
  <c r="J42"/>
  <c r="J43"/>
  <c r="L40"/>
  <c r="L41"/>
  <c r="L42"/>
  <c r="L43"/>
  <c r="L44"/>
  <c r="E44" s="1"/>
  <c r="N40"/>
  <c r="N41"/>
  <c r="N42"/>
  <c r="N43"/>
  <c r="N44"/>
  <c r="N45"/>
  <c r="E45" s="1"/>
  <c r="M41"/>
  <c r="M42"/>
  <c r="M43"/>
  <c r="M44"/>
  <c r="M45"/>
  <c r="D45" s="1"/>
  <c r="K41"/>
  <c r="K42"/>
  <c r="K43"/>
  <c r="K44"/>
  <c r="D44" s="1"/>
  <c r="I41"/>
  <c r="I42"/>
  <c r="I43"/>
  <c r="G41"/>
  <c r="D41" s="1"/>
  <c r="G42"/>
  <c r="D42" s="1"/>
  <c r="G43"/>
  <c r="D43" s="1"/>
  <c r="M40"/>
  <c r="K40"/>
  <c r="I40"/>
  <c r="G40"/>
  <c r="D40" s="1"/>
  <c r="J29"/>
  <c r="J30"/>
  <c r="J31"/>
  <c r="J32"/>
  <c r="I30"/>
  <c r="I31"/>
  <c r="I32"/>
  <c r="L29"/>
  <c r="L30"/>
  <c r="L31"/>
  <c r="L32"/>
  <c r="L33"/>
  <c r="E33" s="1"/>
  <c r="K31"/>
  <c r="K32"/>
  <c r="K33"/>
  <c r="D33" s="1"/>
  <c r="N29"/>
  <c r="N30"/>
  <c r="N31"/>
  <c r="N32"/>
  <c r="N33"/>
  <c r="N34"/>
  <c r="E34" s="1"/>
  <c r="M30"/>
  <c r="M31"/>
  <c r="M32"/>
  <c r="M33"/>
  <c r="M34"/>
  <c r="D34" s="1"/>
  <c r="M29"/>
  <c r="K29"/>
  <c r="I29"/>
  <c r="H29"/>
  <c r="E29" s="1"/>
  <c r="H30"/>
  <c r="E30" s="1"/>
  <c r="H31"/>
  <c r="E31" s="1"/>
  <c r="H32"/>
  <c r="E32" s="1"/>
  <c r="G31"/>
  <c r="D31" s="1"/>
  <c r="G32"/>
  <c r="D32" s="1"/>
  <c r="G29"/>
  <c r="D29" s="1"/>
  <c r="M37"/>
  <c r="K37"/>
  <c r="I37"/>
  <c r="G37"/>
  <c r="M26"/>
  <c r="K26"/>
  <c r="I26"/>
  <c r="G26"/>
  <c r="M15"/>
  <c r="K15"/>
  <c r="I15"/>
  <c r="G15"/>
  <c r="M4"/>
  <c r="K4"/>
  <c r="I4"/>
  <c r="G4"/>
  <c r="N18"/>
  <c r="N19"/>
  <c r="N20"/>
  <c r="N21"/>
  <c r="N22"/>
  <c r="N23"/>
  <c r="E23" s="1"/>
  <c r="M19"/>
  <c r="M20"/>
  <c r="M21"/>
  <c r="M22"/>
  <c r="M23"/>
  <c r="D23" s="1"/>
  <c r="L18"/>
  <c r="L19"/>
  <c r="L20"/>
  <c r="L21"/>
  <c r="L22"/>
  <c r="E22" s="1"/>
  <c r="K19"/>
  <c r="K20"/>
  <c r="K21"/>
  <c r="K22"/>
  <c r="D22" s="1"/>
  <c r="J18"/>
  <c r="J19"/>
  <c r="J20"/>
  <c r="J21"/>
  <c r="I19"/>
  <c r="I20"/>
  <c r="I21"/>
  <c r="M18"/>
  <c r="K18"/>
  <c r="I18"/>
  <c r="H18"/>
  <c r="E18" s="1"/>
  <c r="H19"/>
  <c r="E19" s="1"/>
  <c r="H20"/>
  <c r="E20" s="1"/>
  <c r="H21"/>
  <c r="E21" s="1"/>
  <c r="G19"/>
  <c r="D19" s="1"/>
  <c r="G20"/>
  <c r="D20" s="1"/>
  <c r="G21"/>
  <c r="D21" s="1"/>
  <c r="G18"/>
  <c r="D18" s="1"/>
  <c r="M7"/>
  <c r="G7"/>
  <c r="D7" s="1"/>
  <c r="N12"/>
  <c r="E12" s="1"/>
  <c r="M12"/>
  <c r="D12" s="1"/>
  <c r="N11"/>
  <c r="M11"/>
  <c r="L11"/>
  <c r="E11" s="1"/>
  <c r="K11"/>
  <c r="D11" s="1"/>
  <c r="N10"/>
  <c r="M10"/>
  <c r="L10"/>
  <c r="K10"/>
  <c r="J10"/>
  <c r="I10"/>
  <c r="H10"/>
  <c r="E10" s="1"/>
  <c r="G10"/>
  <c r="D10" s="1"/>
  <c r="N9"/>
  <c r="M9"/>
  <c r="L9"/>
  <c r="K9"/>
  <c r="J9"/>
  <c r="I9"/>
  <c r="H9"/>
  <c r="E9" s="1"/>
  <c r="G9"/>
  <c r="D9" s="1"/>
  <c r="N8"/>
  <c r="M8"/>
  <c r="L8"/>
  <c r="K8"/>
  <c r="J8"/>
  <c r="I8"/>
  <c r="H8"/>
  <c r="E8" s="1"/>
  <c r="G8"/>
  <c r="D8" s="1"/>
  <c r="N7"/>
  <c r="K7"/>
  <c r="L7"/>
  <c r="I7"/>
  <c r="J7"/>
  <c r="H7"/>
  <c r="E7" s="1"/>
</calcChain>
</file>

<file path=xl/comments1.xml><?xml version="1.0" encoding="utf-8"?>
<comments xmlns="http://schemas.openxmlformats.org/spreadsheetml/2006/main">
  <authors>
    <author>Hanspeter Jakob</author>
  </authors>
  <commentList>
    <comment ref="D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1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1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1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1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1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1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1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1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2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2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2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2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2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2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2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2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3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3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3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3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3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3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3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3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4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4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4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4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4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4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4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4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5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5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5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5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5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5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5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5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6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6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6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6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6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6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6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6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7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7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7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7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7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7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7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7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</commentList>
</comments>
</file>

<file path=xl/sharedStrings.xml><?xml version="1.0" encoding="utf-8"?>
<sst xmlns="http://schemas.openxmlformats.org/spreadsheetml/2006/main" count="254" uniqueCount="17">
  <si>
    <t>Name</t>
  </si>
  <si>
    <t>Einzel</t>
  </si>
  <si>
    <t>Team</t>
  </si>
  <si>
    <t>Kommunikation</t>
  </si>
  <si>
    <t>Engagament</t>
  </si>
  <si>
    <t>Wohlfühlfaktor</t>
  </si>
  <si>
    <t>Motivation</t>
  </si>
  <si>
    <t>Meier</t>
  </si>
  <si>
    <t>Müller</t>
  </si>
  <si>
    <t>Huber</t>
  </si>
  <si>
    <t>Gerber</t>
  </si>
  <si>
    <t>Blaser</t>
  </si>
  <si>
    <t>Lüthi</t>
  </si>
  <si>
    <t>Bewertung der Frühindikatoren</t>
  </si>
  <si>
    <t>Engagement</t>
  </si>
  <si>
    <t>Schnitt</t>
  </si>
  <si>
    <t>Frühindikatoren - All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</si>
</sst>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8"/>
      <color indexed="81"/>
      <name val="Tahoma"/>
      <charset val="1"/>
    </font>
    <font>
      <sz val="8"/>
      <color indexed="81"/>
      <name val="Tahoma"/>
      <family val="2"/>
    </font>
    <font>
      <sz val="8"/>
      <color indexed="17"/>
      <name val="Tahoma"/>
      <family val="2"/>
    </font>
    <font>
      <sz val="8"/>
      <color indexed="52"/>
      <name val="Tahoma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ck">
        <color indexed="64"/>
      </bottom>
      <diagonal/>
    </border>
    <border>
      <left/>
      <right style="thin">
        <color indexed="64"/>
      </right>
      <top style="thin">
        <color theme="0"/>
      </top>
      <bottom style="thick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0" xfId="0" applyFont="1" applyBorder="1"/>
    <xf numFmtId="0" fontId="7" fillId="0" borderId="0" xfId="0" applyFont="1"/>
    <xf numFmtId="0" fontId="8" fillId="0" borderId="0" xfId="0" applyFont="1"/>
    <xf numFmtId="14" fontId="9" fillId="2" borderId="1" xfId="0" applyNumberFormat="1" applyFont="1" applyFill="1" applyBorder="1" applyAlignment="1">
      <alignment horizontal="left"/>
    </xf>
    <xf numFmtId="2" fontId="6" fillId="0" borderId="5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3" borderId="8" xfId="0" applyFont="1" applyFill="1" applyBorder="1" applyAlignment="1"/>
    <xf numFmtId="0" fontId="10" fillId="3" borderId="9" xfId="0" applyFont="1" applyFill="1" applyBorder="1" applyAlignment="1"/>
    <xf numFmtId="0" fontId="11" fillId="0" borderId="0" xfId="0" applyFont="1" applyAlignment="1"/>
    <xf numFmtId="1" fontId="6" fillId="0" borderId="5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" fontId="6" fillId="0" borderId="0" xfId="0" applyNumberFormat="1" applyFont="1" applyBorder="1"/>
    <xf numFmtId="0" fontId="8" fillId="4" borderId="0" xfId="0" applyFont="1" applyFill="1"/>
    <xf numFmtId="0" fontId="5" fillId="4" borderId="1" xfId="0" applyFont="1" applyFill="1" applyBorder="1"/>
    <xf numFmtId="0" fontId="5" fillId="4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0" xfId="0" applyFont="1" applyFill="1"/>
    <xf numFmtId="0" fontId="6" fillId="4" borderId="4" xfId="0" applyFont="1" applyFill="1" applyBorder="1"/>
    <xf numFmtId="0" fontId="6" fillId="4" borderId="5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0" xfId="0" applyFont="1" applyFill="1" applyBorder="1"/>
    <xf numFmtId="0" fontId="6" fillId="4" borderId="0" xfId="0" applyFont="1" applyFill="1" applyAlignment="1">
      <alignment horizontal="center"/>
    </xf>
    <xf numFmtId="14" fontId="9" fillId="2" borderId="4" xfId="0" applyNumberFormat="1" applyFont="1" applyFill="1" applyBorder="1" applyAlignment="1">
      <alignment horizontal="left"/>
    </xf>
    <xf numFmtId="0" fontId="6" fillId="4" borderId="11" xfId="0" applyFont="1" applyFill="1" applyBorder="1"/>
    <xf numFmtId="0" fontId="6" fillId="4" borderId="2" xfId="0" applyFont="1" applyFill="1" applyBorder="1"/>
    <xf numFmtId="0" fontId="6" fillId="4" borderId="3" xfId="0" applyFont="1" applyFill="1" applyBorder="1"/>
    <xf numFmtId="0" fontId="5" fillId="4" borderId="11" xfId="0" applyFont="1" applyFill="1" applyBorder="1"/>
    <xf numFmtId="0" fontId="5" fillId="4" borderId="12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11" fillId="4" borderId="0" xfId="0" applyFont="1" applyFill="1" applyAlignment="1">
      <alignment horizontal="left"/>
    </xf>
    <xf numFmtId="0" fontId="11" fillId="4" borderId="0" xfId="0" applyFont="1" applyFill="1" applyAlignment="1">
      <alignment horizontal="center"/>
    </xf>
    <xf numFmtId="14" fontId="12" fillId="2" borderId="17" xfId="0" applyNumberFormat="1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14" fontId="12" fillId="3" borderId="16" xfId="0" applyNumberFormat="1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14" fontId="12" fillId="3" borderId="13" xfId="0" applyNumberFormat="1" applyFont="1" applyFill="1" applyBorder="1" applyAlignment="1">
      <alignment horizontal="center"/>
    </xf>
    <xf numFmtId="0" fontId="8" fillId="3" borderId="12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12" fillId="3" borderId="14" xfId="0" applyNumberFormat="1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/>
    </xf>
  </cellXfs>
  <cellStyles count="1">
    <cellStyle name="Standard" xfId="0" builtinId="0"/>
  </cellStyles>
  <dxfs count="24"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81"/>
  <sheetViews>
    <sheetView zoomScaleNormal="100" workbookViewId="0">
      <selection activeCell="N27" sqref="N27"/>
    </sheetView>
  </sheetViews>
  <sheetFormatPr baseColWidth="10" defaultRowHeight="12.75"/>
  <cols>
    <col min="1" max="1" width="2.7109375" style="31" customWidth="1"/>
    <col min="2" max="2" width="18.5703125" style="31" customWidth="1"/>
    <col min="3" max="3" width="1" style="35" customWidth="1"/>
    <col min="4" max="11" width="7.7109375" style="36" customWidth="1"/>
    <col min="12" max="16384" width="11.42578125" style="31"/>
  </cols>
  <sheetData>
    <row r="1" spans="2:11" s="24" customFormat="1" ht="15.75">
      <c r="B1" s="44" t="s">
        <v>13</v>
      </c>
      <c r="C1" s="44"/>
      <c r="D1" s="44"/>
      <c r="E1" s="44"/>
      <c r="F1" s="44"/>
      <c r="G1" s="44"/>
      <c r="H1" s="44"/>
      <c r="I1" s="44"/>
      <c r="J1" s="45"/>
      <c r="K1" s="45"/>
    </row>
    <row r="3" spans="2:11" s="26" customFormat="1">
      <c r="B3" s="13">
        <v>40004</v>
      </c>
      <c r="C3" s="25"/>
      <c r="D3" s="42" t="s">
        <v>3</v>
      </c>
      <c r="E3" s="43"/>
      <c r="F3" s="42" t="s">
        <v>6</v>
      </c>
      <c r="G3" s="43"/>
      <c r="H3" s="42" t="s">
        <v>4</v>
      </c>
      <c r="I3" s="43"/>
      <c r="J3" s="42" t="s">
        <v>5</v>
      </c>
      <c r="K3" s="43"/>
    </row>
    <row r="4" spans="2:11">
      <c r="B4" s="27" t="s">
        <v>0</v>
      </c>
      <c r="C4" s="28"/>
      <c r="D4" s="29" t="s">
        <v>1</v>
      </c>
      <c r="E4" s="30" t="s">
        <v>2</v>
      </c>
      <c r="F4" s="29" t="s">
        <v>1</v>
      </c>
      <c r="G4" s="30" t="s">
        <v>2</v>
      </c>
      <c r="H4" s="29" t="s">
        <v>1</v>
      </c>
      <c r="I4" s="30" t="s">
        <v>2</v>
      </c>
      <c r="J4" s="29" t="s">
        <v>1</v>
      </c>
      <c r="K4" s="30" t="s">
        <v>2</v>
      </c>
    </row>
    <row r="5" spans="2:11" ht="6" customHeight="1">
      <c r="B5" s="28"/>
      <c r="C5" s="28"/>
      <c r="D5" s="29"/>
      <c r="E5" s="30"/>
      <c r="F5" s="29"/>
      <c r="G5" s="30"/>
      <c r="H5" s="29"/>
      <c r="I5" s="30"/>
      <c r="J5" s="29"/>
      <c r="K5" s="30"/>
    </row>
    <row r="6" spans="2:11">
      <c r="B6" s="32" t="s">
        <v>7</v>
      </c>
      <c r="C6" s="28"/>
      <c r="D6" s="33">
        <v>3</v>
      </c>
      <c r="E6" s="34">
        <v>3</v>
      </c>
      <c r="F6" s="33">
        <v>3</v>
      </c>
      <c r="G6" s="34">
        <v>3</v>
      </c>
      <c r="H6" s="33">
        <v>3</v>
      </c>
      <c r="I6" s="34">
        <v>3</v>
      </c>
      <c r="J6" s="33">
        <v>3</v>
      </c>
      <c r="K6" s="34">
        <v>3</v>
      </c>
    </row>
    <row r="7" spans="2:11">
      <c r="B7" s="32" t="s">
        <v>8</v>
      </c>
      <c r="C7" s="28"/>
      <c r="D7" s="33">
        <v>2</v>
      </c>
      <c r="E7" s="34">
        <v>3</v>
      </c>
      <c r="F7" s="33">
        <v>2</v>
      </c>
      <c r="G7" s="34">
        <v>3</v>
      </c>
      <c r="H7" s="33">
        <v>2</v>
      </c>
      <c r="I7" s="34">
        <v>3</v>
      </c>
      <c r="J7" s="33">
        <v>2</v>
      </c>
      <c r="K7" s="34">
        <v>3</v>
      </c>
    </row>
    <row r="8" spans="2:11">
      <c r="B8" s="32" t="s">
        <v>9</v>
      </c>
      <c r="C8" s="28"/>
      <c r="D8" s="33">
        <v>3</v>
      </c>
      <c r="E8" s="34">
        <v>2</v>
      </c>
      <c r="F8" s="33">
        <v>3</v>
      </c>
      <c r="G8" s="34">
        <v>2</v>
      </c>
      <c r="H8" s="33">
        <v>3</v>
      </c>
      <c r="I8" s="34">
        <v>2</v>
      </c>
      <c r="J8" s="33">
        <v>3</v>
      </c>
      <c r="K8" s="34">
        <v>2</v>
      </c>
    </row>
    <row r="9" spans="2:11">
      <c r="B9" s="32" t="s">
        <v>10</v>
      </c>
      <c r="C9" s="28"/>
      <c r="D9" s="33">
        <v>3</v>
      </c>
      <c r="E9" s="34">
        <v>3</v>
      </c>
      <c r="F9" s="33">
        <v>3</v>
      </c>
      <c r="G9" s="34">
        <v>3</v>
      </c>
      <c r="H9" s="33">
        <v>3</v>
      </c>
      <c r="I9" s="34">
        <v>3</v>
      </c>
      <c r="J9" s="33">
        <v>3</v>
      </c>
      <c r="K9" s="34">
        <v>3</v>
      </c>
    </row>
    <row r="10" spans="2:11">
      <c r="B10" s="32"/>
      <c r="C10" s="28"/>
      <c r="D10" s="33"/>
      <c r="E10" s="34"/>
      <c r="F10" s="33"/>
      <c r="G10" s="34"/>
      <c r="H10" s="33"/>
      <c r="I10" s="34"/>
      <c r="J10" s="33"/>
      <c r="K10" s="34"/>
    </row>
    <row r="11" spans="2:11">
      <c r="B11" s="32"/>
      <c r="C11" s="28"/>
      <c r="D11" s="33"/>
      <c r="E11" s="34"/>
      <c r="F11" s="33"/>
      <c r="G11" s="34"/>
      <c r="H11" s="33"/>
      <c r="I11" s="34"/>
      <c r="J11" s="33"/>
      <c r="K11" s="34"/>
    </row>
    <row r="13" spans="2:11" s="26" customFormat="1">
      <c r="B13" s="37">
        <v>40018</v>
      </c>
      <c r="C13" s="25"/>
      <c r="D13" s="42" t="s">
        <v>3</v>
      </c>
      <c r="E13" s="43"/>
      <c r="F13" s="42" t="s">
        <v>6</v>
      </c>
      <c r="G13" s="43"/>
      <c r="H13" s="42" t="s">
        <v>4</v>
      </c>
      <c r="I13" s="43"/>
      <c r="J13" s="42" t="s">
        <v>5</v>
      </c>
      <c r="K13" s="43"/>
    </row>
    <row r="14" spans="2:11">
      <c r="B14" s="27" t="s">
        <v>0</v>
      </c>
      <c r="C14" s="28"/>
      <c r="D14" s="29" t="s">
        <v>1</v>
      </c>
      <c r="E14" s="30" t="s">
        <v>2</v>
      </c>
      <c r="F14" s="29" t="s">
        <v>1</v>
      </c>
      <c r="G14" s="30" t="s">
        <v>2</v>
      </c>
      <c r="H14" s="29" t="s">
        <v>1</v>
      </c>
      <c r="I14" s="30" t="s">
        <v>2</v>
      </c>
      <c r="J14" s="29" t="s">
        <v>1</v>
      </c>
      <c r="K14" s="30" t="s">
        <v>2</v>
      </c>
    </row>
    <row r="15" spans="2:11" ht="6" customHeight="1">
      <c r="B15" s="28"/>
      <c r="C15" s="28"/>
      <c r="D15" s="29"/>
      <c r="E15" s="30"/>
      <c r="F15" s="29"/>
      <c r="G15" s="30"/>
      <c r="H15" s="29"/>
      <c r="I15" s="30"/>
      <c r="J15" s="29"/>
      <c r="K15" s="30"/>
    </row>
    <row r="16" spans="2:11">
      <c r="B16" s="32" t="s">
        <v>7</v>
      </c>
      <c r="C16" s="28"/>
      <c r="D16" s="33">
        <v>2</v>
      </c>
      <c r="E16" s="34">
        <v>3</v>
      </c>
      <c r="F16" s="33">
        <v>2</v>
      </c>
      <c r="G16" s="34">
        <v>3</v>
      </c>
      <c r="H16" s="33">
        <v>2</v>
      </c>
      <c r="I16" s="34">
        <v>1</v>
      </c>
      <c r="J16" s="33">
        <v>2</v>
      </c>
      <c r="K16" s="34">
        <v>3</v>
      </c>
    </row>
    <row r="17" spans="2:11">
      <c r="B17" s="32" t="s">
        <v>8</v>
      </c>
      <c r="C17" s="28"/>
      <c r="D17" s="33">
        <v>3</v>
      </c>
      <c r="E17" s="34">
        <v>2</v>
      </c>
      <c r="F17" s="33">
        <v>2</v>
      </c>
      <c r="G17" s="34">
        <v>2</v>
      </c>
      <c r="H17" s="33">
        <v>1</v>
      </c>
      <c r="I17" s="34">
        <v>2</v>
      </c>
      <c r="J17" s="33">
        <v>3</v>
      </c>
      <c r="K17" s="34">
        <v>2</v>
      </c>
    </row>
    <row r="18" spans="2:11">
      <c r="B18" s="32" t="s">
        <v>9</v>
      </c>
      <c r="C18" s="28"/>
      <c r="D18" s="33">
        <v>3</v>
      </c>
      <c r="E18" s="34">
        <v>3</v>
      </c>
      <c r="F18" s="33">
        <v>3</v>
      </c>
      <c r="G18" s="34">
        <v>3</v>
      </c>
      <c r="H18" s="33">
        <v>3</v>
      </c>
      <c r="I18" s="34">
        <v>3</v>
      </c>
      <c r="J18" s="33">
        <v>3</v>
      </c>
      <c r="K18" s="34">
        <v>3</v>
      </c>
    </row>
    <row r="19" spans="2:11">
      <c r="B19" s="32" t="s">
        <v>10</v>
      </c>
      <c r="C19" s="28"/>
      <c r="D19" s="33">
        <v>2</v>
      </c>
      <c r="E19" s="34">
        <v>3</v>
      </c>
      <c r="F19" s="33">
        <v>2</v>
      </c>
      <c r="G19" s="34">
        <v>3</v>
      </c>
      <c r="H19" s="33">
        <v>2</v>
      </c>
      <c r="I19" s="34">
        <v>3</v>
      </c>
      <c r="J19" s="33">
        <v>2</v>
      </c>
      <c r="K19" s="34">
        <v>3</v>
      </c>
    </row>
    <row r="20" spans="2:11">
      <c r="B20" s="32"/>
      <c r="C20" s="28"/>
      <c r="D20" s="33"/>
      <c r="E20" s="34"/>
      <c r="F20" s="33"/>
      <c r="G20" s="34"/>
      <c r="H20" s="33"/>
      <c r="I20" s="34"/>
      <c r="J20" s="33"/>
      <c r="K20" s="34"/>
    </row>
    <row r="21" spans="2:11">
      <c r="B21" s="32"/>
      <c r="C21" s="28"/>
      <c r="D21" s="33"/>
      <c r="E21" s="34"/>
      <c r="F21" s="33"/>
      <c r="G21" s="34"/>
      <c r="H21" s="33"/>
      <c r="I21" s="34"/>
      <c r="J21" s="33"/>
      <c r="K21" s="34"/>
    </row>
    <row r="23" spans="2:11" s="26" customFormat="1">
      <c r="B23" s="13">
        <v>40032</v>
      </c>
      <c r="C23" s="25"/>
      <c r="D23" s="42" t="s">
        <v>3</v>
      </c>
      <c r="E23" s="43"/>
      <c r="F23" s="42" t="s">
        <v>6</v>
      </c>
      <c r="G23" s="43"/>
      <c r="H23" s="42" t="s">
        <v>4</v>
      </c>
      <c r="I23" s="43"/>
      <c r="J23" s="42" t="s">
        <v>5</v>
      </c>
      <c r="K23" s="43"/>
    </row>
    <row r="24" spans="2:11">
      <c r="B24" s="27" t="s">
        <v>0</v>
      </c>
      <c r="C24" s="28"/>
      <c r="D24" s="29" t="s">
        <v>1</v>
      </c>
      <c r="E24" s="30" t="s">
        <v>2</v>
      </c>
      <c r="F24" s="29" t="s">
        <v>1</v>
      </c>
      <c r="G24" s="30" t="s">
        <v>2</v>
      </c>
      <c r="H24" s="29" t="s">
        <v>1</v>
      </c>
      <c r="I24" s="30" t="s">
        <v>2</v>
      </c>
      <c r="J24" s="29" t="s">
        <v>1</v>
      </c>
      <c r="K24" s="30" t="s">
        <v>2</v>
      </c>
    </row>
    <row r="25" spans="2:11" ht="6" customHeight="1">
      <c r="B25" s="28"/>
      <c r="C25" s="28"/>
      <c r="D25" s="29"/>
      <c r="E25" s="30"/>
      <c r="F25" s="29"/>
      <c r="G25" s="30"/>
      <c r="H25" s="29"/>
      <c r="I25" s="30"/>
      <c r="J25" s="29"/>
      <c r="K25" s="30"/>
    </row>
    <row r="26" spans="2:11">
      <c r="B26" s="32" t="s">
        <v>7</v>
      </c>
      <c r="C26" s="28"/>
      <c r="D26" s="33">
        <v>1</v>
      </c>
      <c r="E26" s="34">
        <v>2</v>
      </c>
      <c r="F26" s="33">
        <v>3</v>
      </c>
      <c r="G26" s="34">
        <v>2</v>
      </c>
      <c r="H26" s="33">
        <v>3</v>
      </c>
      <c r="I26" s="34">
        <v>2</v>
      </c>
      <c r="J26" s="33">
        <v>3</v>
      </c>
      <c r="K26" s="34">
        <v>2</v>
      </c>
    </row>
    <row r="27" spans="2:11">
      <c r="B27" s="32" t="s">
        <v>8</v>
      </c>
      <c r="C27" s="28"/>
      <c r="D27" s="33">
        <v>3</v>
      </c>
      <c r="E27" s="34">
        <v>3</v>
      </c>
      <c r="F27" s="33">
        <v>1</v>
      </c>
      <c r="G27" s="34">
        <v>3</v>
      </c>
      <c r="H27" s="33">
        <v>2</v>
      </c>
      <c r="I27" s="34">
        <v>3</v>
      </c>
      <c r="J27" s="33">
        <v>3</v>
      </c>
      <c r="K27" s="34">
        <v>3</v>
      </c>
    </row>
    <row r="28" spans="2:11">
      <c r="B28" s="32" t="s">
        <v>9</v>
      </c>
      <c r="C28" s="28"/>
      <c r="D28" s="33">
        <v>2</v>
      </c>
      <c r="E28" s="34">
        <v>3</v>
      </c>
      <c r="F28" s="33">
        <v>2</v>
      </c>
      <c r="G28" s="34">
        <v>3</v>
      </c>
      <c r="H28" s="33">
        <v>2</v>
      </c>
      <c r="I28" s="34">
        <v>2</v>
      </c>
      <c r="J28" s="33">
        <v>2</v>
      </c>
      <c r="K28" s="34">
        <v>3</v>
      </c>
    </row>
    <row r="29" spans="2:11">
      <c r="B29" s="32" t="s">
        <v>10</v>
      </c>
      <c r="C29" s="28"/>
      <c r="D29" s="33">
        <v>2</v>
      </c>
      <c r="E29" s="34">
        <v>2</v>
      </c>
      <c r="F29" s="33">
        <v>2</v>
      </c>
      <c r="G29" s="34">
        <v>2</v>
      </c>
      <c r="H29" s="33">
        <v>2</v>
      </c>
      <c r="I29" s="34">
        <v>2</v>
      </c>
      <c r="J29" s="33">
        <v>2</v>
      </c>
      <c r="K29" s="34">
        <v>2</v>
      </c>
    </row>
    <row r="30" spans="2:11">
      <c r="B30" s="32" t="s">
        <v>11</v>
      </c>
      <c r="C30" s="28"/>
      <c r="D30" s="33">
        <v>3</v>
      </c>
      <c r="E30" s="34">
        <v>3</v>
      </c>
      <c r="F30" s="33">
        <v>3</v>
      </c>
      <c r="G30" s="34">
        <v>3</v>
      </c>
      <c r="H30" s="33">
        <v>3</v>
      </c>
      <c r="I30" s="34">
        <v>3</v>
      </c>
      <c r="J30" s="33">
        <v>3</v>
      </c>
      <c r="K30" s="34">
        <v>3</v>
      </c>
    </row>
    <row r="31" spans="2:11">
      <c r="B31" s="32"/>
      <c r="C31" s="28"/>
      <c r="D31" s="33"/>
      <c r="E31" s="34"/>
      <c r="F31" s="33"/>
      <c r="G31" s="34"/>
      <c r="H31" s="33"/>
      <c r="I31" s="34"/>
      <c r="J31" s="33"/>
      <c r="K31" s="34"/>
    </row>
    <row r="33" spans="2:11" s="26" customFormat="1">
      <c r="B33" s="13">
        <v>40046</v>
      </c>
      <c r="C33" s="25"/>
      <c r="D33" s="42" t="s">
        <v>3</v>
      </c>
      <c r="E33" s="43"/>
      <c r="F33" s="42" t="s">
        <v>6</v>
      </c>
      <c r="G33" s="43"/>
      <c r="H33" s="42" t="s">
        <v>4</v>
      </c>
      <c r="I33" s="43"/>
      <c r="J33" s="42" t="s">
        <v>5</v>
      </c>
      <c r="K33" s="43"/>
    </row>
    <row r="34" spans="2:11">
      <c r="B34" s="27" t="s">
        <v>0</v>
      </c>
      <c r="C34" s="28"/>
      <c r="D34" s="29" t="s">
        <v>1</v>
      </c>
      <c r="E34" s="30" t="s">
        <v>2</v>
      </c>
      <c r="F34" s="29" t="s">
        <v>1</v>
      </c>
      <c r="G34" s="30" t="s">
        <v>2</v>
      </c>
      <c r="H34" s="29" t="s">
        <v>1</v>
      </c>
      <c r="I34" s="30" t="s">
        <v>2</v>
      </c>
      <c r="J34" s="29" t="s">
        <v>1</v>
      </c>
      <c r="K34" s="30" t="s">
        <v>2</v>
      </c>
    </row>
    <row r="35" spans="2:11" ht="6" customHeight="1">
      <c r="B35" s="28"/>
      <c r="C35" s="28"/>
      <c r="D35" s="29"/>
      <c r="E35" s="30"/>
      <c r="F35" s="29"/>
      <c r="G35" s="30"/>
      <c r="H35" s="29"/>
      <c r="I35" s="30"/>
      <c r="J35" s="29"/>
      <c r="K35" s="30"/>
    </row>
    <row r="36" spans="2:11">
      <c r="B36" s="32" t="s">
        <v>7</v>
      </c>
      <c r="C36" s="28"/>
      <c r="D36" s="33">
        <v>3</v>
      </c>
      <c r="E36" s="34">
        <v>3</v>
      </c>
      <c r="F36" s="33">
        <v>3</v>
      </c>
      <c r="G36" s="34">
        <v>3</v>
      </c>
      <c r="H36" s="33">
        <v>3</v>
      </c>
      <c r="I36" s="34">
        <v>3</v>
      </c>
      <c r="J36" s="33">
        <v>3</v>
      </c>
      <c r="K36" s="34">
        <v>3</v>
      </c>
    </row>
    <row r="37" spans="2:11">
      <c r="B37" s="32" t="s">
        <v>8</v>
      </c>
      <c r="C37" s="28"/>
      <c r="D37" s="33">
        <v>2</v>
      </c>
      <c r="E37" s="34">
        <v>3</v>
      </c>
      <c r="F37" s="33">
        <v>2</v>
      </c>
      <c r="G37" s="34">
        <v>3</v>
      </c>
      <c r="H37" s="33">
        <v>1</v>
      </c>
      <c r="I37" s="34">
        <v>2</v>
      </c>
      <c r="J37" s="33">
        <v>2</v>
      </c>
      <c r="K37" s="34">
        <v>3</v>
      </c>
    </row>
    <row r="38" spans="2:11">
      <c r="B38" s="32" t="s">
        <v>9</v>
      </c>
      <c r="C38" s="28"/>
      <c r="D38" s="33">
        <v>2</v>
      </c>
      <c r="E38" s="34">
        <v>2</v>
      </c>
      <c r="F38" s="33">
        <v>2</v>
      </c>
      <c r="G38" s="34">
        <v>2</v>
      </c>
      <c r="H38" s="33">
        <v>2</v>
      </c>
      <c r="I38" s="34">
        <v>2</v>
      </c>
      <c r="J38" s="33">
        <v>2</v>
      </c>
      <c r="K38" s="34">
        <v>2</v>
      </c>
    </row>
    <row r="39" spans="2:11">
      <c r="B39" s="32" t="s">
        <v>10</v>
      </c>
      <c r="C39" s="28"/>
      <c r="D39" s="33">
        <v>3</v>
      </c>
      <c r="E39" s="34">
        <v>3</v>
      </c>
      <c r="F39" s="33">
        <v>3</v>
      </c>
      <c r="G39" s="34">
        <v>3</v>
      </c>
      <c r="H39" s="33">
        <v>3</v>
      </c>
      <c r="I39" s="34">
        <v>3</v>
      </c>
      <c r="J39" s="33">
        <v>3</v>
      </c>
      <c r="K39" s="34">
        <v>3</v>
      </c>
    </row>
    <row r="40" spans="2:11">
      <c r="B40" s="32" t="s">
        <v>11</v>
      </c>
      <c r="C40" s="28"/>
      <c r="D40" s="33">
        <v>2</v>
      </c>
      <c r="E40" s="34">
        <v>3</v>
      </c>
      <c r="F40" s="33">
        <v>2</v>
      </c>
      <c r="G40" s="34">
        <v>3</v>
      </c>
      <c r="H40" s="33">
        <v>2</v>
      </c>
      <c r="I40" s="34">
        <v>3</v>
      </c>
      <c r="J40" s="33">
        <v>2</v>
      </c>
      <c r="K40" s="34">
        <v>3</v>
      </c>
    </row>
    <row r="41" spans="2:11">
      <c r="B41" s="32" t="s">
        <v>12</v>
      </c>
      <c r="C41" s="28"/>
      <c r="D41" s="33">
        <v>3</v>
      </c>
      <c r="E41" s="34">
        <v>2</v>
      </c>
      <c r="F41" s="33">
        <v>3</v>
      </c>
      <c r="G41" s="34">
        <v>2</v>
      </c>
      <c r="H41" s="33">
        <v>3</v>
      </c>
      <c r="I41" s="34">
        <v>2</v>
      </c>
      <c r="J41" s="33">
        <v>3</v>
      </c>
      <c r="K41" s="34">
        <v>2</v>
      </c>
    </row>
    <row r="43" spans="2:11" s="26" customFormat="1">
      <c r="B43" s="13">
        <v>40060</v>
      </c>
      <c r="C43" s="25"/>
      <c r="D43" s="42" t="s">
        <v>3</v>
      </c>
      <c r="E43" s="43"/>
      <c r="F43" s="42" t="s">
        <v>6</v>
      </c>
      <c r="G43" s="43"/>
      <c r="H43" s="42" t="s">
        <v>4</v>
      </c>
      <c r="I43" s="43"/>
      <c r="J43" s="42" t="s">
        <v>5</v>
      </c>
      <c r="K43" s="43"/>
    </row>
    <row r="44" spans="2:11">
      <c r="B44" s="27" t="s">
        <v>0</v>
      </c>
      <c r="C44" s="28"/>
      <c r="D44" s="29" t="s">
        <v>1</v>
      </c>
      <c r="E44" s="30" t="s">
        <v>2</v>
      </c>
      <c r="F44" s="29" t="s">
        <v>1</v>
      </c>
      <c r="G44" s="30" t="s">
        <v>2</v>
      </c>
      <c r="H44" s="29" t="s">
        <v>1</v>
      </c>
      <c r="I44" s="30" t="s">
        <v>2</v>
      </c>
      <c r="J44" s="29" t="s">
        <v>1</v>
      </c>
      <c r="K44" s="30" t="s">
        <v>2</v>
      </c>
    </row>
    <row r="45" spans="2:11" ht="6" customHeight="1">
      <c r="B45" s="28"/>
      <c r="C45" s="28"/>
      <c r="D45" s="29"/>
      <c r="E45" s="30"/>
      <c r="F45" s="29"/>
      <c r="G45" s="30"/>
      <c r="H45" s="29"/>
      <c r="I45" s="30"/>
      <c r="J45" s="29"/>
      <c r="K45" s="30"/>
    </row>
    <row r="46" spans="2:11">
      <c r="B46" s="32" t="s">
        <v>7</v>
      </c>
      <c r="C46" s="28"/>
      <c r="D46" s="33">
        <v>3</v>
      </c>
      <c r="E46" s="34">
        <v>3</v>
      </c>
      <c r="F46" s="33">
        <v>3</v>
      </c>
      <c r="G46" s="34">
        <v>3</v>
      </c>
      <c r="H46" s="33">
        <v>3</v>
      </c>
      <c r="I46" s="34">
        <v>3</v>
      </c>
      <c r="J46" s="33">
        <v>3</v>
      </c>
      <c r="K46" s="34">
        <v>3</v>
      </c>
    </row>
    <row r="47" spans="2:11">
      <c r="B47" s="32" t="s">
        <v>8</v>
      </c>
      <c r="C47" s="28"/>
      <c r="D47" s="33">
        <v>2</v>
      </c>
      <c r="E47" s="34">
        <v>3</v>
      </c>
      <c r="F47" s="33">
        <v>2</v>
      </c>
      <c r="G47" s="34">
        <v>3</v>
      </c>
      <c r="H47" s="33">
        <v>2</v>
      </c>
      <c r="I47" s="34">
        <v>3</v>
      </c>
      <c r="J47" s="33">
        <v>2</v>
      </c>
      <c r="K47" s="34">
        <v>3</v>
      </c>
    </row>
    <row r="48" spans="2:11">
      <c r="B48" s="32" t="s">
        <v>9</v>
      </c>
      <c r="C48" s="28"/>
      <c r="D48" s="33">
        <v>3</v>
      </c>
      <c r="E48" s="34">
        <v>2</v>
      </c>
      <c r="F48" s="33">
        <v>3</v>
      </c>
      <c r="G48" s="34">
        <v>2</v>
      </c>
      <c r="H48" s="33">
        <v>3</v>
      </c>
      <c r="I48" s="34">
        <v>2</v>
      </c>
      <c r="J48" s="33">
        <v>3</v>
      </c>
      <c r="K48" s="34">
        <v>2</v>
      </c>
    </row>
    <row r="49" spans="2:11">
      <c r="B49" s="32" t="s">
        <v>10</v>
      </c>
      <c r="C49" s="28"/>
      <c r="D49" s="33">
        <v>3</v>
      </c>
      <c r="E49" s="34">
        <v>3</v>
      </c>
      <c r="F49" s="33">
        <v>3</v>
      </c>
      <c r="G49" s="34">
        <v>3</v>
      </c>
      <c r="H49" s="33">
        <v>3</v>
      </c>
      <c r="I49" s="34">
        <v>3</v>
      </c>
      <c r="J49" s="33">
        <v>3</v>
      </c>
      <c r="K49" s="34">
        <v>3</v>
      </c>
    </row>
    <row r="50" spans="2:11">
      <c r="B50" s="32" t="s">
        <v>11</v>
      </c>
      <c r="C50" s="28"/>
      <c r="D50" s="33">
        <v>2</v>
      </c>
      <c r="E50" s="34">
        <v>3</v>
      </c>
      <c r="F50" s="33">
        <v>2</v>
      </c>
      <c r="G50" s="34">
        <v>3</v>
      </c>
      <c r="H50" s="33">
        <v>2</v>
      </c>
      <c r="I50" s="34">
        <v>3</v>
      </c>
      <c r="J50" s="33">
        <v>2</v>
      </c>
      <c r="K50" s="34">
        <v>3</v>
      </c>
    </row>
    <row r="51" spans="2:11">
      <c r="B51" s="32" t="s">
        <v>12</v>
      </c>
      <c r="C51" s="28"/>
      <c r="D51" s="33">
        <v>2</v>
      </c>
      <c r="E51" s="34">
        <v>2</v>
      </c>
      <c r="F51" s="33">
        <v>2</v>
      </c>
      <c r="G51" s="34">
        <v>2</v>
      </c>
      <c r="H51" s="33">
        <v>2</v>
      </c>
      <c r="I51" s="34">
        <v>2</v>
      </c>
      <c r="J51" s="33">
        <v>2</v>
      </c>
      <c r="K51" s="34">
        <v>2</v>
      </c>
    </row>
    <row r="53" spans="2:11" s="26" customFormat="1">
      <c r="B53" s="13">
        <v>40074</v>
      </c>
      <c r="C53" s="25"/>
      <c r="D53" s="42" t="s">
        <v>3</v>
      </c>
      <c r="E53" s="43"/>
      <c r="F53" s="42" t="s">
        <v>6</v>
      </c>
      <c r="G53" s="43"/>
      <c r="H53" s="42" t="s">
        <v>4</v>
      </c>
      <c r="I53" s="43"/>
      <c r="J53" s="42" t="s">
        <v>5</v>
      </c>
      <c r="K53" s="43"/>
    </row>
    <row r="54" spans="2:11">
      <c r="B54" s="27" t="s">
        <v>0</v>
      </c>
      <c r="C54" s="28"/>
      <c r="D54" s="29" t="s">
        <v>1</v>
      </c>
      <c r="E54" s="30" t="s">
        <v>2</v>
      </c>
      <c r="F54" s="29" t="s">
        <v>1</v>
      </c>
      <c r="G54" s="30" t="s">
        <v>2</v>
      </c>
      <c r="H54" s="29" t="s">
        <v>1</v>
      </c>
      <c r="I54" s="30" t="s">
        <v>2</v>
      </c>
      <c r="J54" s="29" t="s">
        <v>1</v>
      </c>
      <c r="K54" s="30" t="s">
        <v>2</v>
      </c>
    </row>
    <row r="55" spans="2:11" ht="6" customHeight="1">
      <c r="B55" s="28"/>
      <c r="C55" s="28"/>
      <c r="D55" s="29"/>
      <c r="E55" s="30"/>
      <c r="F55" s="29"/>
      <c r="G55" s="30"/>
      <c r="H55" s="29"/>
      <c r="I55" s="30"/>
      <c r="J55" s="29"/>
      <c r="K55" s="30"/>
    </row>
    <row r="56" spans="2:11">
      <c r="B56" s="32" t="s">
        <v>7</v>
      </c>
      <c r="C56" s="28"/>
      <c r="D56" s="33">
        <v>2</v>
      </c>
      <c r="E56" s="34">
        <v>3</v>
      </c>
      <c r="F56" s="33">
        <v>2</v>
      </c>
      <c r="G56" s="34">
        <v>3</v>
      </c>
      <c r="H56" s="33">
        <v>2</v>
      </c>
      <c r="I56" s="34">
        <v>1</v>
      </c>
      <c r="J56" s="33">
        <v>2</v>
      </c>
      <c r="K56" s="34">
        <v>3</v>
      </c>
    </row>
    <row r="57" spans="2:11">
      <c r="B57" s="32" t="s">
        <v>8</v>
      </c>
      <c r="C57" s="28"/>
      <c r="D57" s="33">
        <v>3</v>
      </c>
      <c r="E57" s="34">
        <v>2</v>
      </c>
      <c r="F57" s="33">
        <v>2</v>
      </c>
      <c r="G57" s="34">
        <v>2</v>
      </c>
      <c r="H57" s="33">
        <v>1</v>
      </c>
      <c r="I57" s="34">
        <v>2</v>
      </c>
      <c r="J57" s="33">
        <v>3</v>
      </c>
      <c r="K57" s="34">
        <v>2</v>
      </c>
    </row>
    <row r="58" spans="2:11">
      <c r="B58" s="32" t="s">
        <v>9</v>
      </c>
      <c r="C58" s="28"/>
      <c r="D58" s="33">
        <v>3</v>
      </c>
      <c r="E58" s="34">
        <v>3</v>
      </c>
      <c r="F58" s="33">
        <v>3</v>
      </c>
      <c r="G58" s="34">
        <v>3</v>
      </c>
      <c r="H58" s="33">
        <v>3</v>
      </c>
      <c r="I58" s="34">
        <v>3</v>
      </c>
      <c r="J58" s="33">
        <v>3</v>
      </c>
      <c r="K58" s="34">
        <v>3</v>
      </c>
    </row>
    <row r="59" spans="2:11">
      <c r="B59" s="32" t="s">
        <v>10</v>
      </c>
      <c r="C59" s="28"/>
      <c r="D59" s="33">
        <v>2</v>
      </c>
      <c r="E59" s="34">
        <v>3</v>
      </c>
      <c r="F59" s="33">
        <v>2</v>
      </c>
      <c r="G59" s="34">
        <v>3</v>
      </c>
      <c r="H59" s="33">
        <v>2</v>
      </c>
      <c r="I59" s="34">
        <v>3</v>
      </c>
      <c r="J59" s="33">
        <v>2</v>
      </c>
      <c r="K59" s="34">
        <v>3</v>
      </c>
    </row>
    <row r="60" spans="2:11">
      <c r="B60" s="32" t="s">
        <v>11</v>
      </c>
      <c r="C60" s="28"/>
      <c r="D60" s="33">
        <v>2</v>
      </c>
      <c r="E60" s="34">
        <v>2</v>
      </c>
      <c r="F60" s="33">
        <v>2</v>
      </c>
      <c r="G60" s="34">
        <v>2</v>
      </c>
      <c r="H60" s="33">
        <v>2</v>
      </c>
      <c r="I60" s="34">
        <v>2</v>
      </c>
      <c r="J60" s="33">
        <v>2</v>
      </c>
      <c r="K60" s="34">
        <v>2</v>
      </c>
    </row>
    <row r="61" spans="2:11">
      <c r="B61" s="32" t="s">
        <v>12</v>
      </c>
      <c r="C61" s="28"/>
      <c r="D61" s="33">
        <v>3</v>
      </c>
      <c r="E61" s="34">
        <v>3</v>
      </c>
      <c r="F61" s="33">
        <v>3</v>
      </c>
      <c r="G61" s="34">
        <v>3</v>
      </c>
      <c r="H61" s="33">
        <v>3</v>
      </c>
      <c r="I61" s="34">
        <v>3</v>
      </c>
      <c r="J61" s="33">
        <v>3</v>
      </c>
      <c r="K61" s="34">
        <v>3</v>
      </c>
    </row>
    <row r="63" spans="2:11" s="26" customFormat="1">
      <c r="B63" s="13">
        <v>40088</v>
      </c>
      <c r="C63" s="25"/>
      <c r="D63" s="42" t="s">
        <v>3</v>
      </c>
      <c r="E63" s="43"/>
      <c r="F63" s="42" t="s">
        <v>6</v>
      </c>
      <c r="G63" s="43"/>
      <c r="H63" s="42" t="s">
        <v>4</v>
      </c>
      <c r="I63" s="43"/>
      <c r="J63" s="42" t="s">
        <v>5</v>
      </c>
      <c r="K63" s="43"/>
    </row>
    <row r="64" spans="2:11">
      <c r="B64" s="27" t="s">
        <v>0</v>
      </c>
      <c r="C64" s="28"/>
      <c r="D64" s="29" t="s">
        <v>1</v>
      </c>
      <c r="E64" s="30" t="s">
        <v>2</v>
      </c>
      <c r="F64" s="29" t="s">
        <v>1</v>
      </c>
      <c r="G64" s="30" t="s">
        <v>2</v>
      </c>
      <c r="H64" s="29" t="s">
        <v>1</v>
      </c>
      <c r="I64" s="30" t="s">
        <v>2</v>
      </c>
      <c r="J64" s="29" t="s">
        <v>1</v>
      </c>
      <c r="K64" s="30" t="s">
        <v>2</v>
      </c>
    </row>
    <row r="65" spans="2:11" ht="6" customHeight="1">
      <c r="B65" s="28"/>
      <c r="C65" s="28"/>
      <c r="D65" s="29"/>
      <c r="E65" s="30"/>
      <c r="F65" s="29"/>
      <c r="G65" s="30"/>
      <c r="H65" s="29"/>
      <c r="I65" s="30"/>
      <c r="J65" s="29"/>
      <c r="K65" s="30"/>
    </row>
    <row r="66" spans="2:11">
      <c r="B66" s="32" t="s">
        <v>7</v>
      </c>
      <c r="C66" s="28"/>
      <c r="D66" s="33">
        <v>1</v>
      </c>
      <c r="E66" s="34">
        <v>2</v>
      </c>
      <c r="F66" s="33">
        <v>3</v>
      </c>
      <c r="G66" s="34">
        <v>2</v>
      </c>
      <c r="H66" s="33">
        <v>3</v>
      </c>
      <c r="I66" s="34">
        <v>2</v>
      </c>
      <c r="J66" s="33">
        <v>3</v>
      </c>
      <c r="K66" s="34">
        <v>2</v>
      </c>
    </row>
    <row r="67" spans="2:11">
      <c r="B67" s="32"/>
      <c r="C67" s="28"/>
      <c r="D67" s="33"/>
      <c r="E67" s="34"/>
      <c r="F67" s="33"/>
      <c r="G67" s="34"/>
      <c r="H67" s="33"/>
      <c r="I67" s="34"/>
      <c r="J67" s="33"/>
      <c r="K67" s="34"/>
    </row>
    <row r="68" spans="2:11">
      <c r="B68" s="32" t="s">
        <v>9</v>
      </c>
      <c r="C68" s="28"/>
      <c r="D68" s="33">
        <v>2</v>
      </c>
      <c r="E68" s="34">
        <v>3</v>
      </c>
      <c r="F68" s="33">
        <v>2</v>
      </c>
      <c r="G68" s="34">
        <v>3</v>
      </c>
      <c r="H68" s="33">
        <v>2</v>
      </c>
      <c r="I68" s="34">
        <v>2</v>
      </c>
      <c r="J68" s="33">
        <v>2</v>
      </c>
      <c r="K68" s="34">
        <v>3</v>
      </c>
    </row>
    <row r="69" spans="2:11">
      <c r="B69" s="32" t="s">
        <v>10</v>
      </c>
      <c r="C69" s="28"/>
      <c r="D69" s="33">
        <v>2</v>
      </c>
      <c r="E69" s="34">
        <v>2</v>
      </c>
      <c r="F69" s="33">
        <v>2</v>
      </c>
      <c r="G69" s="34">
        <v>2</v>
      </c>
      <c r="H69" s="33">
        <v>2</v>
      </c>
      <c r="I69" s="34">
        <v>2</v>
      </c>
      <c r="J69" s="33">
        <v>2</v>
      </c>
      <c r="K69" s="34">
        <v>2</v>
      </c>
    </row>
    <row r="70" spans="2:11">
      <c r="B70" s="32" t="s">
        <v>11</v>
      </c>
      <c r="C70" s="28"/>
      <c r="D70" s="33">
        <v>3</v>
      </c>
      <c r="E70" s="34">
        <v>3</v>
      </c>
      <c r="F70" s="33">
        <v>3</v>
      </c>
      <c r="G70" s="34">
        <v>3</v>
      </c>
      <c r="H70" s="33">
        <v>3</v>
      </c>
      <c r="I70" s="34">
        <v>3</v>
      </c>
      <c r="J70" s="33">
        <v>3</v>
      </c>
      <c r="K70" s="34">
        <v>3</v>
      </c>
    </row>
    <row r="71" spans="2:11">
      <c r="B71" s="32" t="s">
        <v>12</v>
      </c>
      <c r="C71" s="28"/>
      <c r="D71" s="33">
        <v>2</v>
      </c>
      <c r="E71" s="34">
        <v>3</v>
      </c>
      <c r="F71" s="33">
        <v>2</v>
      </c>
      <c r="G71" s="34">
        <v>3</v>
      </c>
      <c r="H71" s="33">
        <v>2</v>
      </c>
      <c r="I71" s="34">
        <v>3</v>
      </c>
      <c r="J71" s="33">
        <v>2</v>
      </c>
      <c r="K71" s="34">
        <v>3</v>
      </c>
    </row>
    <row r="73" spans="2:11" s="26" customFormat="1">
      <c r="B73" s="13">
        <v>40102</v>
      </c>
      <c r="C73" s="25"/>
      <c r="D73" s="42" t="s">
        <v>3</v>
      </c>
      <c r="E73" s="43"/>
      <c r="F73" s="42" t="s">
        <v>6</v>
      </c>
      <c r="G73" s="43"/>
      <c r="H73" s="42" t="s">
        <v>4</v>
      </c>
      <c r="I73" s="43"/>
      <c r="J73" s="42" t="s">
        <v>5</v>
      </c>
      <c r="K73" s="43"/>
    </row>
    <row r="74" spans="2:11">
      <c r="B74" s="27" t="s">
        <v>0</v>
      </c>
      <c r="C74" s="28"/>
      <c r="D74" s="29" t="s">
        <v>1</v>
      </c>
      <c r="E74" s="30" t="s">
        <v>2</v>
      </c>
      <c r="F74" s="29" t="s">
        <v>1</v>
      </c>
      <c r="G74" s="30" t="s">
        <v>2</v>
      </c>
      <c r="H74" s="29" t="s">
        <v>1</v>
      </c>
      <c r="I74" s="30" t="s">
        <v>2</v>
      </c>
      <c r="J74" s="29" t="s">
        <v>1</v>
      </c>
      <c r="K74" s="30" t="s">
        <v>2</v>
      </c>
    </row>
    <row r="75" spans="2:11" ht="6" customHeight="1">
      <c r="B75" s="28"/>
      <c r="C75" s="28"/>
      <c r="D75" s="29"/>
      <c r="E75" s="30"/>
      <c r="F75" s="29"/>
      <c r="G75" s="30"/>
      <c r="H75" s="29"/>
      <c r="I75" s="30"/>
      <c r="J75" s="29"/>
      <c r="K75" s="30"/>
    </row>
    <row r="76" spans="2:11">
      <c r="B76" s="32"/>
      <c r="C76" s="28"/>
      <c r="D76" s="33"/>
      <c r="E76" s="34"/>
      <c r="F76" s="33"/>
      <c r="G76" s="34"/>
      <c r="H76" s="33"/>
      <c r="I76" s="34"/>
      <c r="J76" s="33"/>
      <c r="K76" s="34"/>
    </row>
    <row r="77" spans="2:11">
      <c r="B77" s="32"/>
      <c r="C77" s="28"/>
      <c r="D77" s="33"/>
      <c r="E77" s="34"/>
      <c r="F77" s="33"/>
      <c r="G77" s="34"/>
      <c r="H77" s="33"/>
      <c r="I77" s="34"/>
      <c r="J77" s="33"/>
      <c r="K77" s="34"/>
    </row>
    <row r="78" spans="2:11">
      <c r="B78" s="32" t="s">
        <v>9</v>
      </c>
      <c r="C78" s="28"/>
      <c r="D78" s="33">
        <v>2</v>
      </c>
      <c r="E78" s="34">
        <v>2</v>
      </c>
      <c r="F78" s="33">
        <v>2</v>
      </c>
      <c r="G78" s="34">
        <v>2</v>
      </c>
      <c r="H78" s="33">
        <v>2</v>
      </c>
      <c r="I78" s="34">
        <v>2</v>
      </c>
      <c r="J78" s="33">
        <v>2</v>
      </c>
      <c r="K78" s="34">
        <v>2</v>
      </c>
    </row>
    <row r="79" spans="2:11">
      <c r="B79" s="32" t="s">
        <v>10</v>
      </c>
      <c r="C79" s="28"/>
      <c r="D79" s="33">
        <v>3</v>
      </c>
      <c r="E79" s="34">
        <v>3</v>
      </c>
      <c r="F79" s="33">
        <v>3</v>
      </c>
      <c r="G79" s="34">
        <v>3</v>
      </c>
      <c r="H79" s="33">
        <v>3</v>
      </c>
      <c r="I79" s="34">
        <v>3</v>
      </c>
      <c r="J79" s="33">
        <v>3</v>
      </c>
      <c r="K79" s="34">
        <v>3</v>
      </c>
    </row>
    <row r="80" spans="2:11">
      <c r="B80" s="32" t="s">
        <v>11</v>
      </c>
      <c r="C80" s="28"/>
      <c r="D80" s="33">
        <v>2</v>
      </c>
      <c r="E80" s="34">
        <v>3</v>
      </c>
      <c r="F80" s="33">
        <v>2</v>
      </c>
      <c r="G80" s="34">
        <v>3</v>
      </c>
      <c r="H80" s="33">
        <v>2</v>
      </c>
      <c r="I80" s="34">
        <v>3</v>
      </c>
      <c r="J80" s="33">
        <v>2</v>
      </c>
      <c r="K80" s="34">
        <v>3</v>
      </c>
    </row>
    <row r="81" spans="2:11">
      <c r="B81" s="32" t="s">
        <v>12</v>
      </c>
      <c r="C81" s="28"/>
      <c r="D81" s="33">
        <v>3</v>
      </c>
      <c r="E81" s="34">
        <v>2</v>
      </c>
      <c r="F81" s="33">
        <v>3</v>
      </c>
      <c r="G81" s="34">
        <v>2</v>
      </c>
      <c r="H81" s="33">
        <v>3</v>
      </c>
      <c r="I81" s="34">
        <v>2</v>
      </c>
      <c r="J81" s="33">
        <v>3</v>
      </c>
      <c r="K81" s="34">
        <v>2</v>
      </c>
    </row>
  </sheetData>
  <mergeCells count="34">
    <mergeCell ref="D73:E73"/>
    <mergeCell ref="F73:G73"/>
    <mergeCell ref="H73:I73"/>
    <mergeCell ref="J73:K73"/>
    <mergeCell ref="D53:E53"/>
    <mergeCell ref="F53:G53"/>
    <mergeCell ref="H53:I53"/>
    <mergeCell ref="J53:K53"/>
    <mergeCell ref="D63:E63"/>
    <mergeCell ref="F63:G63"/>
    <mergeCell ref="B1:I1"/>
    <mergeCell ref="J1:K1"/>
    <mergeCell ref="D43:E43"/>
    <mergeCell ref="F43:G43"/>
    <mergeCell ref="H43:I43"/>
    <mergeCell ref="J43:K43"/>
    <mergeCell ref="H23:I23"/>
    <mergeCell ref="J23:K23"/>
    <mergeCell ref="H13:I13"/>
    <mergeCell ref="J13:K13"/>
    <mergeCell ref="H63:I63"/>
    <mergeCell ref="J63:K63"/>
    <mergeCell ref="D3:E3"/>
    <mergeCell ref="F3:G3"/>
    <mergeCell ref="H3:I3"/>
    <mergeCell ref="J3:K3"/>
    <mergeCell ref="D33:E33"/>
    <mergeCell ref="F33:G33"/>
    <mergeCell ref="H33:I33"/>
    <mergeCell ref="J33:K33"/>
    <mergeCell ref="D13:E13"/>
    <mergeCell ref="F13:G13"/>
    <mergeCell ref="D23:E23"/>
    <mergeCell ref="F23:G23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V45"/>
  <sheetViews>
    <sheetView tabSelected="1" topLeftCell="A10" zoomScaleNormal="100" workbookViewId="0">
      <selection activeCell="Y46" sqref="Y46"/>
    </sheetView>
  </sheetViews>
  <sheetFormatPr baseColWidth="10" defaultRowHeight="12.75"/>
  <cols>
    <col min="1" max="1" width="2.7109375" style="3" customWidth="1"/>
    <col min="2" max="2" width="16.85546875" style="3" customWidth="1"/>
    <col min="3" max="3" width="1" style="10" customWidth="1"/>
    <col min="4" max="5" width="5.7109375" style="10" customWidth="1"/>
    <col min="6" max="6" width="1" style="10" customWidth="1"/>
    <col min="7" max="22" width="5.7109375" style="3" customWidth="1"/>
    <col min="23" max="16384" width="11.42578125" style="3"/>
  </cols>
  <sheetData>
    <row r="1" spans="2:22" s="12" customFormat="1" ht="15.75">
      <c r="B1" s="54" t="s">
        <v>16</v>
      </c>
      <c r="C1" s="54"/>
      <c r="D1" s="54"/>
      <c r="E1" s="54"/>
      <c r="F1" s="20"/>
      <c r="G1" s="20"/>
      <c r="H1" s="20"/>
      <c r="I1" s="20"/>
      <c r="J1" s="20"/>
      <c r="K1" s="20"/>
      <c r="L1" s="20"/>
      <c r="M1" s="53"/>
      <c r="N1" s="53"/>
      <c r="O1" s="20"/>
      <c r="P1" s="20"/>
      <c r="Q1" s="20"/>
      <c r="R1" s="20"/>
      <c r="S1" s="20"/>
      <c r="T1" s="20"/>
      <c r="U1" s="53"/>
      <c r="V1" s="53"/>
    </row>
    <row r="3" spans="2:22" s="11" customFormat="1" ht="15" customHeight="1">
      <c r="B3" s="51" t="s">
        <v>3</v>
      </c>
      <c r="C3" s="52"/>
      <c r="D3" s="52"/>
      <c r="E3" s="52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9"/>
    </row>
    <row r="4" spans="2:22" s="2" customFormat="1" ht="13.5" thickBot="1">
      <c r="B4" s="25"/>
      <c r="C4" s="41"/>
      <c r="D4" s="46" t="s">
        <v>15</v>
      </c>
      <c r="E4" s="47"/>
      <c r="F4" s="15"/>
      <c r="G4" s="48">
        <f>Wochen!$B$3</f>
        <v>40004</v>
      </c>
      <c r="H4" s="49"/>
      <c r="I4" s="50">
        <f>Wochen!$B$13</f>
        <v>40018</v>
      </c>
      <c r="J4" s="49"/>
      <c r="K4" s="50">
        <f>Wochen!$B$23</f>
        <v>40032</v>
      </c>
      <c r="L4" s="49"/>
      <c r="M4" s="50">
        <f>Wochen!$B$33</f>
        <v>40046</v>
      </c>
      <c r="N4" s="49"/>
      <c r="O4" s="50">
        <f>Wochen!$B$43</f>
        <v>40060</v>
      </c>
      <c r="P4" s="49"/>
      <c r="Q4" s="50">
        <f>Wochen!$B$53</f>
        <v>40074</v>
      </c>
      <c r="R4" s="49"/>
      <c r="S4" s="50">
        <f>Wochen!$B$63</f>
        <v>40088</v>
      </c>
      <c r="T4" s="49"/>
      <c r="U4" s="55">
        <f>Wochen!$B$73</f>
        <v>40102</v>
      </c>
      <c r="V4" s="56"/>
    </row>
    <row r="5" spans="2:22" ht="13.5" thickTop="1">
      <c r="B5" s="27" t="s">
        <v>0</v>
      </c>
      <c r="C5" s="38"/>
      <c r="D5" s="5" t="s">
        <v>1</v>
      </c>
      <c r="E5" s="6" t="s">
        <v>2</v>
      </c>
      <c r="G5" s="5" t="s">
        <v>1</v>
      </c>
      <c r="H5" s="6" t="s">
        <v>2</v>
      </c>
      <c r="I5" s="5" t="s">
        <v>1</v>
      </c>
      <c r="J5" s="6" t="s">
        <v>2</v>
      </c>
      <c r="K5" s="5" t="s">
        <v>1</v>
      </c>
      <c r="L5" s="6" t="s">
        <v>2</v>
      </c>
      <c r="M5" s="5" t="s">
        <v>1</v>
      </c>
      <c r="N5" s="6" t="s">
        <v>2</v>
      </c>
      <c r="O5" s="5" t="s">
        <v>1</v>
      </c>
      <c r="P5" s="6" t="s">
        <v>2</v>
      </c>
      <c r="Q5" s="5" t="s">
        <v>1</v>
      </c>
      <c r="R5" s="6" t="s">
        <v>2</v>
      </c>
      <c r="S5" s="5" t="s">
        <v>1</v>
      </c>
      <c r="T5" s="6" t="s">
        <v>2</v>
      </c>
      <c r="U5" s="16" t="s">
        <v>1</v>
      </c>
      <c r="V5" s="17" t="s">
        <v>2</v>
      </c>
    </row>
    <row r="6" spans="2:22" s="31" customFormat="1" ht="6" customHeight="1">
      <c r="B6" s="28"/>
      <c r="C6" s="38"/>
      <c r="D6" s="39"/>
      <c r="E6" s="40"/>
      <c r="F6" s="35"/>
      <c r="G6" s="39"/>
      <c r="H6" s="40"/>
      <c r="I6" s="39"/>
      <c r="J6" s="40"/>
      <c r="K6" s="39"/>
      <c r="L6" s="40"/>
      <c r="M6" s="39"/>
      <c r="N6" s="40"/>
      <c r="O6" s="39"/>
      <c r="P6" s="40"/>
      <c r="Q6" s="39"/>
      <c r="R6" s="40"/>
      <c r="S6" s="39"/>
      <c r="T6" s="40"/>
      <c r="U6" s="39"/>
      <c r="V6" s="40"/>
    </row>
    <row r="7" spans="2:22">
      <c r="B7" s="9" t="s">
        <v>7</v>
      </c>
      <c r="C7" s="38"/>
      <c r="D7" s="14">
        <f>AVERAGE(G7,I7,K7,M7,O7,Q7,S7)</f>
        <v>2.1428571428571428</v>
      </c>
      <c r="E7" s="14">
        <f>AVERAGE(H7,J7,L7,N7,P7,R7,T7)</f>
        <v>2.7142857142857144</v>
      </c>
      <c r="G7" s="21">
        <f>Wochen!D6</f>
        <v>3</v>
      </c>
      <c r="H7" s="22">
        <f>Wochen!E6</f>
        <v>3</v>
      </c>
      <c r="I7" s="21">
        <f>Wochen!D16</f>
        <v>2</v>
      </c>
      <c r="J7" s="22">
        <f>Wochen!E16</f>
        <v>3</v>
      </c>
      <c r="K7" s="21">
        <f>Wochen!D26</f>
        <v>1</v>
      </c>
      <c r="L7" s="22">
        <f>Wochen!E26</f>
        <v>2</v>
      </c>
      <c r="M7" s="21">
        <f>Wochen!D36</f>
        <v>3</v>
      </c>
      <c r="N7" s="22">
        <f>Wochen!E36</f>
        <v>3</v>
      </c>
      <c r="O7" s="21">
        <f>Wochen!D46</f>
        <v>3</v>
      </c>
      <c r="P7" s="22">
        <f>Wochen!E46</f>
        <v>3</v>
      </c>
      <c r="Q7" s="21">
        <f>Wochen!D56</f>
        <v>2</v>
      </c>
      <c r="R7" s="22">
        <f>Wochen!E56</f>
        <v>3</v>
      </c>
      <c r="S7" s="21">
        <f>Wochen!D66</f>
        <v>1</v>
      </c>
      <c r="T7" s="22">
        <f>Wochen!E66</f>
        <v>2</v>
      </c>
      <c r="U7" s="21">
        <f>Wochen!D76</f>
        <v>0</v>
      </c>
      <c r="V7" s="22">
        <f>Wochen!E76</f>
        <v>0</v>
      </c>
    </row>
    <row r="8" spans="2:22">
      <c r="B8" s="9" t="s">
        <v>8</v>
      </c>
      <c r="C8" s="38"/>
      <c r="D8" s="14">
        <f>AVERAGE(G8,I8,K8,M8,O8,Q8)</f>
        <v>2.5</v>
      </c>
      <c r="E8" s="14">
        <f>AVERAGE(H8,J8,L8,N8,P8,R8)</f>
        <v>2.6666666666666665</v>
      </c>
      <c r="G8" s="21">
        <f>Wochen!D7</f>
        <v>2</v>
      </c>
      <c r="H8" s="22">
        <f>Wochen!E7</f>
        <v>3</v>
      </c>
      <c r="I8" s="21">
        <f>Wochen!D17</f>
        <v>3</v>
      </c>
      <c r="J8" s="22">
        <f>Wochen!E17</f>
        <v>2</v>
      </c>
      <c r="K8" s="21">
        <f>Wochen!D27</f>
        <v>3</v>
      </c>
      <c r="L8" s="22">
        <f>Wochen!E27</f>
        <v>3</v>
      </c>
      <c r="M8" s="21">
        <f>Wochen!D37</f>
        <v>2</v>
      </c>
      <c r="N8" s="22">
        <f>Wochen!E37</f>
        <v>3</v>
      </c>
      <c r="O8" s="21">
        <f>Wochen!D47</f>
        <v>2</v>
      </c>
      <c r="P8" s="22">
        <f>Wochen!E47</f>
        <v>3</v>
      </c>
      <c r="Q8" s="21">
        <f>Wochen!D57</f>
        <v>3</v>
      </c>
      <c r="R8" s="22">
        <f>Wochen!E57</f>
        <v>2</v>
      </c>
      <c r="S8" s="21"/>
      <c r="T8" s="22"/>
      <c r="U8" s="21"/>
      <c r="V8" s="22"/>
    </row>
    <row r="9" spans="2:22">
      <c r="B9" s="9" t="s">
        <v>9</v>
      </c>
      <c r="C9" s="38"/>
      <c r="D9" s="14">
        <f t="shared" ref="D9:E12" si="0">AVERAGE(G9,I9,K9,M9,O9,Q9,S9,U9)</f>
        <v>2.5</v>
      </c>
      <c r="E9" s="14">
        <f t="shared" si="0"/>
        <v>2.5</v>
      </c>
      <c r="G9" s="21">
        <f>Wochen!D8</f>
        <v>3</v>
      </c>
      <c r="H9" s="22">
        <f>Wochen!E8</f>
        <v>2</v>
      </c>
      <c r="I9" s="21">
        <f>Wochen!D18</f>
        <v>3</v>
      </c>
      <c r="J9" s="22">
        <f>Wochen!E18</f>
        <v>3</v>
      </c>
      <c r="K9" s="21">
        <f>Wochen!D28</f>
        <v>2</v>
      </c>
      <c r="L9" s="22">
        <f>Wochen!E28</f>
        <v>3</v>
      </c>
      <c r="M9" s="21">
        <f>Wochen!D38</f>
        <v>2</v>
      </c>
      <c r="N9" s="22">
        <f>Wochen!E38</f>
        <v>2</v>
      </c>
      <c r="O9" s="21">
        <f>Wochen!D48</f>
        <v>3</v>
      </c>
      <c r="P9" s="22">
        <f>Wochen!E48</f>
        <v>2</v>
      </c>
      <c r="Q9" s="21">
        <f>Wochen!D58</f>
        <v>3</v>
      </c>
      <c r="R9" s="22">
        <f>Wochen!E58</f>
        <v>3</v>
      </c>
      <c r="S9" s="21">
        <f>Wochen!D68</f>
        <v>2</v>
      </c>
      <c r="T9" s="22">
        <f>Wochen!E68</f>
        <v>3</v>
      </c>
      <c r="U9" s="21">
        <f>Wochen!D78</f>
        <v>2</v>
      </c>
      <c r="V9" s="22">
        <f>Wochen!E78</f>
        <v>2</v>
      </c>
    </row>
    <row r="10" spans="2:22">
      <c r="B10" s="9" t="s">
        <v>10</v>
      </c>
      <c r="C10" s="38"/>
      <c r="D10" s="14">
        <f t="shared" si="0"/>
        <v>2.5</v>
      </c>
      <c r="E10" s="14">
        <f t="shared" si="0"/>
        <v>2.75</v>
      </c>
      <c r="G10" s="21">
        <f>Wochen!D9</f>
        <v>3</v>
      </c>
      <c r="H10" s="22">
        <f>Wochen!E9</f>
        <v>3</v>
      </c>
      <c r="I10" s="21">
        <f>Wochen!D19</f>
        <v>2</v>
      </c>
      <c r="J10" s="22">
        <f>Wochen!E19</f>
        <v>3</v>
      </c>
      <c r="K10" s="21">
        <f>Wochen!D29</f>
        <v>2</v>
      </c>
      <c r="L10" s="22">
        <f>Wochen!E29</f>
        <v>2</v>
      </c>
      <c r="M10" s="21">
        <f>Wochen!D39</f>
        <v>3</v>
      </c>
      <c r="N10" s="22">
        <f>Wochen!E39</f>
        <v>3</v>
      </c>
      <c r="O10" s="21">
        <f>Wochen!D49</f>
        <v>3</v>
      </c>
      <c r="P10" s="22">
        <f>Wochen!E49</f>
        <v>3</v>
      </c>
      <c r="Q10" s="21">
        <f>Wochen!D59</f>
        <v>2</v>
      </c>
      <c r="R10" s="22">
        <f>Wochen!E59</f>
        <v>3</v>
      </c>
      <c r="S10" s="21">
        <f>Wochen!D69</f>
        <v>2</v>
      </c>
      <c r="T10" s="22">
        <f>Wochen!E69</f>
        <v>2</v>
      </c>
      <c r="U10" s="21">
        <f>Wochen!D79</f>
        <v>3</v>
      </c>
      <c r="V10" s="22">
        <f>Wochen!E79</f>
        <v>3</v>
      </c>
    </row>
    <row r="11" spans="2:22">
      <c r="B11" s="9" t="s">
        <v>11</v>
      </c>
      <c r="C11" s="38"/>
      <c r="D11" s="14">
        <f t="shared" si="0"/>
        <v>2.3333333333333335</v>
      </c>
      <c r="E11" s="14">
        <f t="shared" si="0"/>
        <v>2.8333333333333335</v>
      </c>
      <c r="G11" s="21"/>
      <c r="H11" s="22"/>
      <c r="I11" s="21"/>
      <c r="J11" s="22"/>
      <c r="K11" s="21">
        <f>Wochen!D30</f>
        <v>3</v>
      </c>
      <c r="L11" s="22">
        <f>Wochen!E30</f>
        <v>3</v>
      </c>
      <c r="M11" s="21">
        <f>Wochen!D40</f>
        <v>2</v>
      </c>
      <c r="N11" s="22">
        <f>Wochen!E40</f>
        <v>3</v>
      </c>
      <c r="O11" s="21">
        <f>Wochen!D50</f>
        <v>2</v>
      </c>
      <c r="P11" s="22">
        <f>Wochen!E50</f>
        <v>3</v>
      </c>
      <c r="Q11" s="21">
        <f>Wochen!D60</f>
        <v>2</v>
      </c>
      <c r="R11" s="22">
        <f>Wochen!E60</f>
        <v>2</v>
      </c>
      <c r="S11" s="21">
        <f>Wochen!D70</f>
        <v>3</v>
      </c>
      <c r="T11" s="22">
        <f>Wochen!E70</f>
        <v>3</v>
      </c>
      <c r="U11" s="21">
        <f>Wochen!D80</f>
        <v>2</v>
      </c>
      <c r="V11" s="22">
        <f>Wochen!E80</f>
        <v>3</v>
      </c>
    </row>
    <row r="12" spans="2:22">
      <c r="B12" s="9" t="s">
        <v>12</v>
      </c>
      <c r="C12" s="38"/>
      <c r="D12" s="14">
        <f t="shared" si="0"/>
        <v>2.6</v>
      </c>
      <c r="E12" s="14">
        <f>AVERAGE(H12,J12,L12,N12,P12,R12,T12,V12)</f>
        <v>2.4</v>
      </c>
      <c r="G12" s="21"/>
      <c r="H12" s="22"/>
      <c r="I12" s="21"/>
      <c r="J12" s="22"/>
      <c r="K12" s="21"/>
      <c r="L12" s="22"/>
      <c r="M12" s="21">
        <f>Wochen!D41</f>
        <v>3</v>
      </c>
      <c r="N12" s="22">
        <f>Wochen!E41</f>
        <v>2</v>
      </c>
      <c r="O12" s="21">
        <f>Wochen!D51</f>
        <v>2</v>
      </c>
      <c r="P12" s="22">
        <f>Wochen!E51</f>
        <v>2</v>
      </c>
      <c r="Q12" s="21">
        <f>Wochen!D61</f>
        <v>3</v>
      </c>
      <c r="R12" s="22">
        <f>Wochen!E61</f>
        <v>3</v>
      </c>
      <c r="S12" s="21">
        <f>Wochen!D71</f>
        <v>2</v>
      </c>
      <c r="T12" s="22">
        <f>Wochen!E71</f>
        <v>3</v>
      </c>
      <c r="U12" s="21">
        <f>Wochen!D81</f>
        <v>3</v>
      </c>
      <c r="V12" s="22">
        <f>Wochen!E81</f>
        <v>2</v>
      </c>
    </row>
    <row r="13" spans="2:22">
      <c r="B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2:22" s="11" customFormat="1" ht="15.75">
      <c r="B14" s="51" t="s">
        <v>6</v>
      </c>
      <c r="C14" s="52"/>
      <c r="D14" s="52"/>
      <c r="E14" s="52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</row>
    <row r="15" spans="2:22" s="2" customFormat="1" ht="13.5" thickBot="1">
      <c r="B15" s="25"/>
      <c r="C15" s="1"/>
      <c r="D15" s="46" t="s">
        <v>15</v>
      </c>
      <c r="E15" s="47"/>
      <c r="F15" s="1"/>
      <c r="G15" s="48">
        <f>Wochen!$B$3</f>
        <v>40004</v>
      </c>
      <c r="H15" s="49"/>
      <c r="I15" s="50">
        <f>Wochen!$B$13</f>
        <v>40018</v>
      </c>
      <c r="J15" s="49"/>
      <c r="K15" s="50">
        <f>Wochen!$B$23</f>
        <v>40032</v>
      </c>
      <c r="L15" s="49"/>
      <c r="M15" s="50">
        <f>Wochen!$B$33</f>
        <v>40046</v>
      </c>
      <c r="N15" s="49"/>
      <c r="O15" s="50">
        <f>Wochen!$B$43</f>
        <v>40060</v>
      </c>
      <c r="P15" s="49"/>
      <c r="Q15" s="50">
        <f>Wochen!$B$53</f>
        <v>40074</v>
      </c>
      <c r="R15" s="49"/>
      <c r="S15" s="50">
        <f>Wochen!$B$63</f>
        <v>40088</v>
      </c>
      <c r="T15" s="49"/>
      <c r="U15" s="55">
        <f>Wochen!$B$73</f>
        <v>40102</v>
      </c>
      <c r="V15" s="56"/>
    </row>
    <row r="16" spans="2:22" ht="13.5" thickTop="1">
      <c r="B16" s="27" t="s">
        <v>0</v>
      </c>
      <c r="C16" s="4"/>
      <c r="D16" s="5" t="s">
        <v>1</v>
      </c>
      <c r="E16" s="6" t="s">
        <v>2</v>
      </c>
      <c r="F16" s="4"/>
      <c r="G16" s="5" t="s">
        <v>1</v>
      </c>
      <c r="H16" s="6" t="s">
        <v>2</v>
      </c>
      <c r="I16" s="5" t="s">
        <v>1</v>
      </c>
      <c r="J16" s="6" t="s">
        <v>2</v>
      </c>
      <c r="K16" s="5" t="s">
        <v>1</v>
      </c>
      <c r="L16" s="6" t="s">
        <v>2</v>
      </c>
      <c r="M16" s="5" t="s">
        <v>1</v>
      </c>
      <c r="N16" s="6" t="s">
        <v>2</v>
      </c>
      <c r="O16" s="5" t="s">
        <v>1</v>
      </c>
      <c r="P16" s="6" t="s">
        <v>2</v>
      </c>
      <c r="Q16" s="5" t="s">
        <v>1</v>
      </c>
      <c r="R16" s="6" t="s">
        <v>2</v>
      </c>
      <c r="S16" s="5" t="s">
        <v>1</v>
      </c>
      <c r="T16" s="6" t="s">
        <v>2</v>
      </c>
      <c r="U16" s="16" t="s">
        <v>1</v>
      </c>
      <c r="V16" s="17" t="s">
        <v>2</v>
      </c>
    </row>
    <row r="17" spans="2:22" ht="6" customHeight="1">
      <c r="B17" s="28"/>
      <c r="C17" s="4"/>
      <c r="D17" s="7"/>
      <c r="E17" s="8"/>
      <c r="F17" s="4"/>
      <c r="G17" s="7"/>
      <c r="H17" s="8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8"/>
      <c r="U17" s="7"/>
      <c r="V17" s="8"/>
    </row>
    <row r="18" spans="2:22">
      <c r="B18" s="9" t="s">
        <v>7</v>
      </c>
      <c r="C18" s="4"/>
      <c r="D18" s="14">
        <f>AVERAGE(G18,I18,K18,M18,O18,Q18,S18)</f>
        <v>2.7142857142857144</v>
      </c>
      <c r="E18" s="14">
        <f>AVERAGE(H18,J18,L18,N18,P18,R18,T18)</f>
        <v>2.7142857142857144</v>
      </c>
      <c r="F18" s="4"/>
      <c r="G18" s="21">
        <f>Wochen!F6</f>
        <v>3</v>
      </c>
      <c r="H18" s="22">
        <f>Wochen!G6</f>
        <v>3</v>
      </c>
      <c r="I18" s="21">
        <f>Wochen!F16</f>
        <v>2</v>
      </c>
      <c r="J18" s="22">
        <f>Wochen!G16</f>
        <v>3</v>
      </c>
      <c r="K18" s="21">
        <f>Wochen!F26</f>
        <v>3</v>
      </c>
      <c r="L18" s="22">
        <f>Wochen!G26</f>
        <v>2</v>
      </c>
      <c r="M18" s="21">
        <f>Wochen!F36</f>
        <v>3</v>
      </c>
      <c r="N18" s="22">
        <f>Wochen!G36</f>
        <v>3</v>
      </c>
      <c r="O18" s="21">
        <f>Wochen!F46</f>
        <v>3</v>
      </c>
      <c r="P18" s="22">
        <f>Wochen!G46</f>
        <v>3</v>
      </c>
      <c r="Q18" s="21">
        <f>Wochen!F56</f>
        <v>2</v>
      </c>
      <c r="R18" s="22">
        <f>Wochen!G56</f>
        <v>3</v>
      </c>
      <c r="S18" s="21">
        <f>Wochen!F66</f>
        <v>3</v>
      </c>
      <c r="T18" s="22">
        <f>Wochen!G66</f>
        <v>2</v>
      </c>
      <c r="U18" s="21">
        <f>Wochen!F76</f>
        <v>0</v>
      </c>
      <c r="V18" s="22">
        <f>Wochen!G76</f>
        <v>0</v>
      </c>
    </row>
    <row r="19" spans="2:22">
      <c r="B19" s="9" t="s">
        <v>8</v>
      </c>
      <c r="C19" s="4"/>
      <c r="D19" s="14">
        <f t="shared" ref="D19:E23" si="1">AVERAGE(G19,I19,K19,M19,O19,Q19,S19,U19)</f>
        <v>1.8333333333333333</v>
      </c>
      <c r="E19" s="14">
        <f t="shared" si="1"/>
        <v>2.6666666666666665</v>
      </c>
      <c r="F19" s="4"/>
      <c r="G19" s="21">
        <f>Wochen!F7</f>
        <v>2</v>
      </c>
      <c r="H19" s="22">
        <f>Wochen!G7</f>
        <v>3</v>
      </c>
      <c r="I19" s="21">
        <f>Wochen!F17</f>
        <v>2</v>
      </c>
      <c r="J19" s="22">
        <f>Wochen!G17</f>
        <v>2</v>
      </c>
      <c r="K19" s="21">
        <f>Wochen!F27</f>
        <v>1</v>
      </c>
      <c r="L19" s="22">
        <f>Wochen!G27</f>
        <v>3</v>
      </c>
      <c r="M19" s="21">
        <f>Wochen!F37</f>
        <v>2</v>
      </c>
      <c r="N19" s="22">
        <f>Wochen!G37</f>
        <v>3</v>
      </c>
      <c r="O19" s="21">
        <f>Wochen!F47</f>
        <v>2</v>
      </c>
      <c r="P19" s="22">
        <f>Wochen!G47</f>
        <v>3</v>
      </c>
      <c r="Q19" s="21">
        <f>Wochen!F57</f>
        <v>2</v>
      </c>
      <c r="R19" s="22">
        <f>Wochen!G57</f>
        <v>2</v>
      </c>
      <c r="S19" s="21"/>
      <c r="T19" s="22"/>
      <c r="U19" s="21"/>
      <c r="V19" s="22"/>
    </row>
    <row r="20" spans="2:22">
      <c r="B20" s="9" t="s">
        <v>9</v>
      </c>
      <c r="C20" s="4"/>
      <c r="D20" s="14">
        <f t="shared" si="1"/>
        <v>2.5</v>
      </c>
      <c r="E20" s="14">
        <f t="shared" si="1"/>
        <v>2.5</v>
      </c>
      <c r="F20" s="4"/>
      <c r="G20" s="21">
        <f>Wochen!F8</f>
        <v>3</v>
      </c>
      <c r="H20" s="22">
        <f>Wochen!G8</f>
        <v>2</v>
      </c>
      <c r="I20" s="21">
        <f>Wochen!F18</f>
        <v>3</v>
      </c>
      <c r="J20" s="22">
        <f>Wochen!G18</f>
        <v>3</v>
      </c>
      <c r="K20" s="21">
        <f>Wochen!F28</f>
        <v>2</v>
      </c>
      <c r="L20" s="22">
        <f>Wochen!G28</f>
        <v>3</v>
      </c>
      <c r="M20" s="21">
        <f>Wochen!F38</f>
        <v>2</v>
      </c>
      <c r="N20" s="22">
        <f>Wochen!G38</f>
        <v>2</v>
      </c>
      <c r="O20" s="21">
        <f>Wochen!F48</f>
        <v>3</v>
      </c>
      <c r="P20" s="22">
        <f>Wochen!G48</f>
        <v>2</v>
      </c>
      <c r="Q20" s="21">
        <f>Wochen!F58</f>
        <v>3</v>
      </c>
      <c r="R20" s="22">
        <f>Wochen!G58</f>
        <v>3</v>
      </c>
      <c r="S20" s="21">
        <f>Wochen!F68</f>
        <v>2</v>
      </c>
      <c r="T20" s="22">
        <f>Wochen!G68</f>
        <v>3</v>
      </c>
      <c r="U20" s="21">
        <f>Wochen!F78</f>
        <v>2</v>
      </c>
      <c r="V20" s="22">
        <f>Wochen!G78</f>
        <v>2</v>
      </c>
    </row>
    <row r="21" spans="2:22">
      <c r="B21" s="9" t="s">
        <v>10</v>
      </c>
      <c r="C21" s="4"/>
      <c r="D21" s="14">
        <f t="shared" si="1"/>
        <v>2.5</v>
      </c>
      <c r="E21" s="14">
        <f t="shared" si="1"/>
        <v>2.75</v>
      </c>
      <c r="F21" s="4"/>
      <c r="G21" s="21">
        <f>Wochen!F9</f>
        <v>3</v>
      </c>
      <c r="H21" s="22">
        <f>Wochen!G9</f>
        <v>3</v>
      </c>
      <c r="I21" s="21">
        <f>Wochen!F19</f>
        <v>2</v>
      </c>
      <c r="J21" s="22">
        <f>Wochen!G19</f>
        <v>3</v>
      </c>
      <c r="K21" s="21">
        <f>Wochen!F29</f>
        <v>2</v>
      </c>
      <c r="L21" s="22">
        <f>Wochen!G29</f>
        <v>2</v>
      </c>
      <c r="M21" s="21">
        <f>Wochen!F39</f>
        <v>3</v>
      </c>
      <c r="N21" s="22">
        <f>Wochen!G39</f>
        <v>3</v>
      </c>
      <c r="O21" s="21">
        <f>Wochen!F49</f>
        <v>3</v>
      </c>
      <c r="P21" s="22">
        <f>Wochen!G49</f>
        <v>3</v>
      </c>
      <c r="Q21" s="21">
        <f>Wochen!F59</f>
        <v>2</v>
      </c>
      <c r="R21" s="22">
        <f>Wochen!G59</f>
        <v>3</v>
      </c>
      <c r="S21" s="21">
        <f>Wochen!F69</f>
        <v>2</v>
      </c>
      <c r="T21" s="22">
        <f>Wochen!G69</f>
        <v>2</v>
      </c>
      <c r="U21" s="21">
        <f>Wochen!F79</f>
        <v>3</v>
      </c>
      <c r="V21" s="22">
        <f>Wochen!G79</f>
        <v>3</v>
      </c>
    </row>
    <row r="22" spans="2:22">
      <c r="B22" s="9" t="s">
        <v>11</v>
      </c>
      <c r="C22" s="4"/>
      <c r="D22" s="14">
        <f t="shared" si="1"/>
        <v>2.3333333333333335</v>
      </c>
      <c r="E22" s="14">
        <f t="shared" si="1"/>
        <v>2.8333333333333335</v>
      </c>
      <c r="F22" s="4"/>
      <c r="G22" s="21"/>
      <c r="H22" s="22"/>
      <c r="I22" s="21"/>
      <c r="J22" s="22"/>
      <c r="K22" s="21">
        <f>Wochen!F30</f>
        <v>3</v>
      </c>
      <c r="L22" s="22">
        <f>Wochen!G30</f>
        <v>3</v>
      </c>
      <c r="M22" s="21">
        <f>Wochen!F40</f>
        <v>2</v>
      </c>
      <c r="N22" s="22">
        <f>Wochen!G40</f>
        <v>3</v>
      </c>
      <c r="O22" s="21">
        <f>Wochen!F50</f>
        <v>2</v>
      </c>
      <c r="P22" s="22">
        <f>Wochen!G50</f>
        <v>3</v>
      </c>
      <c r="Q22" s="21">
        <f>Wochen!F60</f>
        <v>2</v>
      </c>
      <c r="R22" s="22">
        <f>Wochen!G60</f>
        <v>2</v>
      </c>
      <c r="S22" s="21">
        <f>Wochen!F70</f>
        <v>3</v>
      </c>
      <c r="T22" s="22">
        <f>Wochen!G70</f>
        <v>3</v>
      </c>
      <c r="U22" s="21">
        <f>Wochen!F80</f>
        <v>2</v>
      </c>
      <c r="V22" s="22">
        <f>Wochen!G80</f>
        <v>3</v>
      </c>
    </row>
    <row r="23" spans="2:22">
      <c r="B23" s="9" t="s">
        <v>12</v>
      </c>
      <c r="C23" s="4"/>
      <c r="D23" s="14">
        <f t="shared" si="1"/>
        <v>2.6</v>
      </c>
      <c r="E23" s="14">
        <f t="shared" si="1"/>
        <v>2.4</v>
      </c>
      <c r="F23" s="4"/>
      <c r="G23" s="21"/>
      <c r="H23" s="22"/>
      <c r="I23" s="21"/>
      <c r="J23" s="22"/>
      <c r="K23" s="21"/>
      <c r="L23" s="22"/>
      <c r="M23" s="21">
        <f>Wochen!F41</f>
        <v>3</v>
      </c>
      <c r="N23" s="22">
        <f>Wochen!G41</f>
        <v>2</v>
      </c>
      <c r="O23" s="21">
        <f>Wochen!F51</f>
        <v>2</v>
      </c>
      <c r="P23" s="22">
        <f>Wochen!G51</f>
        <v>2</v>
      </c>
      <c r="Q23" s="21">
        <f>Wochen!F61</f>
        <v>3</v>
      </c>
      <c r="R23" s="22">
        <f>Wochen!G61</f>
        <v>3</v>
      </c>
      <c r="S23" s="21">
        <f>Wochen!F71</f>
        <v>2</v>
      </c>
      <c r="T23" s="22">
        <f>Wochen!G71</f>
        <v>3</v>
      </c>
      <c r="U23" s="21">
        <f>Wochen!F81</f>
        <v>3</v>
      </c>
      <c r="V23" s="22">
        <f>Wochen!G81</f>
        <v>2</v>
      </c>
    </row>
    <row r="25" spans="2:22" s="11" customFormat="1" ht="15.75">
      <c r="B25" s="51" t="s">
        <v>14</v>
      </c>
      <c r="C25" s="52"/>
      <c r="D25" s="52"/>
      <c r="E25" s="52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/>
    </row>
    <row r="26" spans="2:22" s="2" customFormat="1" ht="13.5" thickBot="1">
      <c r="B26" s="25"/>
      <c r="C26" s="1"/>
      <c r="D26" s="46" t="s">
        <v>15</v>
      </c>
      <c r="E26" s="47"/>
      <c r="F26" s="1"/>
      <c r="G26" s="48">
        <f>Wochen!$B$3</f>
        <v>40004</v>
      </c>
      <c r="H26" s="49"/>
      <c r="I26" s="50">
        <f>Wochen!$B$13</f>
        <v>40018</v>
      </c>
      <c r="J26" s="49"/>
      <c r="K26" s="50">
        <f>Wochen!$B$23</f>
        <v>40032</v>
      </c>
      <c r="L26" s="49"/>
      <c r="M26" s="50">
        <f>Wochen!$B$33</f>
        <v>40046</v>
      </c>
      <c r="N26" s="49"/>
      <c r="O26" s="50">
        <f>Wochen!$B$43</f>
        <v>40060</v>
      </c>
      <c r="P26" s="49"/>
      <c r="Q26" s="50">
        <f>Wochen!$B$53</f>
        <v>40074</v>
      </c>
      <c r="R26" s="49"/>
      <c r="S26" s="50">
        <f>Wochen!$B$63</f>
        <v>40088</v>
      </c>
      <c r="T26" s="49"/>
      <c r="U26" s="55">
        <f>Wochen!$B$73</f>
        <v>40102</v>
      </c>
      <c r="V26" s="56"/>
    </row>
    <row r="27" spans="2:22" ht="13.5" thickTop="1">
      <c r="B27" s="27" t="s">
        <v>0</v>
      </c>
      <c r="C27" s="4"/>
      <c r="D27" s="5" t="s">
        <v>1</v>
      </c>
      <c r="E27" s="6" t="s">
        <v>2</v>
      </c>
      <c r="F27" s="4"/>
      <c r="G27" s="5" t="s">
        <v>1</v>
      </c>
      <c r="H27" s="6" t="s">
        <v>2</v>
      </c>
      <c r="I27" s="5" t="s">
        <v>1</v>
      </c>
      <c r="J27" s="6" t="s">
        <v>2</v>
      </c>
      <c r="K27" s="5" t="s">
        <v>1</v>
      </c>
      <c r="L27" s="6" t="s">
        <v>2</v>
      </c>
      <c r="M27" s="5" t="s">
        <v>1</v>
      </c>
      <c r="N27" s="6" t="s">
        <v>2</v>
      </c>
      <c r="O27" s="5" t="s">
        <v>1</v>
      </c>
      <c r="P27" s="6" t="s">
        <v>2</v>
      </c>
      <c r="Q27" s="5" t="s">
        <v>1</v>
      </c>
      <c r="R27" s="6" t="s">
        <v>2</v>
      </c>
      <c r="S27" s="5" t="s">
        <v>1</v>
      </c>
      <c r="T27" s="6" t="s">
        <v>2</v>
      </c>
      <c r="U27" s="16" t="s">
        <v>1</v>
      </c>
      <c r="V27" s="17" t="s">
        <v>2</v>
      </c>
    </row>
    <row r="28" spans="2:22" ht="6" customHeight="1">
      <c r="B28" s="28"/>
      <c r="C28" s="4"/>
      <c r="D28" s="7"/>
      <c r="E28" s="8"/>
      <c r="F28" s="4"/>
      <c r="G28" s="7"/>
      <c r="H28" s="8"/>
      <c r="I28" s="7"/>
      <c r="J28" s="8"/>
      <c r="K28" s="7"/>
      <c r="L28" s="8"/>
      <c r="M28" s="7"/>
      <c r="N28" s="8"/>
      <c r="O28" s="7"/>
      <c r="P28" s="8"/>
      <c r="Q28" s="7"/>
      <c r="R28" s="8"/>
      <c r="S28" s="7"/>
      <c r="T28" s="8"/>
      <c r="U28" s="7"/>
      <c r="V28" s="8"/>
    </row>
    <row r="29" spans="2:22">
      <c r="B29" s="9" t="s">
        <v>7</v>
      </c>
      <c r="C29" s="4"/>
      <c r="D29" s="14">
        <f>AVERAGE(G29,I29,K29,M29,O29,Q29,S29)</f>
        <v>2.7142857142857144</v>
      </c>
      <c r="E29" s="14">
        <f>AVERAGE(H29,J29,L29,N29,P29,R29,T29)</f>
        <v>2.1428571428571428</v>
      </c>
      <c r="F29" s="4"/>
      <c r="G29" s="21">
        <f>Wochen!H6</f>
        <v>3</v>
      </c>
      <c r="H29" s="22">
        <f>Wochen!I6</f>
        <v>3</v>
      </c>
      <c r="I29" s="21">
        <f>Wochen!H16</f>
        <v>2</v>
      </c>
      <c r="J29" s="22">
        <f>Wochen!I16</f>
        <v>1</v>
      </c>
      <c r="K29" s="21">
        <f>Wochen!H26</f>
        <v>3</v>
      </c>
      <c r="L29" s="22">
        <f>Wochen!I26</f>
        <v>2</v>
      </c>
      <c r="M29" s="21">
        <f>Wochen!H36</f>
        <v>3</v>
      </c>
      <c r="N29" s="22">
        <f>Wochen!I36</f>
        <v>3</v>
      </c>
      <c r="O29" s="21">
        <f>Wochen!H46</f>
        <v>3</v>
      </c>
      <c r="P29" s="22">
        <f>Wochen!I46</f>
        <v>3</v>
      </c>
      <c r="Q29" s="21">
        <f>Wochen!H56</f>
        <v>2</v>
      </c>
      <c r="R29" s="22">
        <f>Wochen!I56</f>
        <v>1</v>
      </c>
      <c r="S29" s="21">
        <f>Wochen!H66</f>
        <v>3</v>
      </c>
      <c r="T29" s="22">
        <f>Wochen!I66</f>
        <v>2</v>
      </c>
      <c r="U29" s="21">
        <f>Wochen!H76</f>
        <v>0</v>
      </c>
      <c r="V29" s="22">
        <f>Wochen!I76</f>
        <v>0</v>
      </c>
    </row>
    <row r="30" spans="2:22">
      <c r="B30" s="9" t="s">
        <v>8</v>
      </c>
      <c r="C30" s="4"/>
      <c r="D30" s="14">
        <f t="shared" ref="D30:E34" si="2">AVERAGE(G30,I30,K30,M30,O30,Q30,S30,U30)</f>
        <v>1.5</v>
      </c>
      <c r="E30" s="14">
        <f t="shared" si="2"/>
        <v>2.5</v>
      </c>
      <c r="F30" s="4"/>
      <c r="G30" s="21">
        <f>Wochen!H7</f>
        <v>2</v>
      </c>
      <c r="H30" s="22">
        <f>Wochen!I7</f>
        <v>3</v>
      </c>
      <c r="I30" s="21">
        <f>Wochen!H17</f>
        <v>1</v>
      </c>
      <c r="J30" s="22">
        <f>Wochen!I17</f>
        <v>2</v>
      </c>
      <c r="K30" s="21">
        <f>Wochen!H27</f>
        <v>2</v>
      </c>
      <c r="L30" s="22">
        <f>Wochen!I27</f>
        <v>3</v>
      </c>
      <c r="M30" s="21">
        <f>Wochen!H37</f>
        <v>1</v>
      </c>
      <c r="N30" s="22">
        <f>Wochen!I37</f>
        <v>2</v>
      </c>
      <c r="O30" s="21">
        <f>Wochen!J37</f>
        <v>2</v>
      </c>
      <c r="P30" s="22">
        <f>Wochen!K37</f>
        <v>3</v>
      </c>
      <c r="Q30" s="21">
        <f>Wochen!H57</f>
        <v>1</v>
      </c>
      <c r="R30" s="22">
        <f>Wochen!I57</f>
        <v>2</v>
      </c>
      <c r="S30" s="21"/>
      <c r="T30" s="22"/>
      <c r="U30" s="21"/>
      <c r="V30" s="22"/>
    </row>
    <row r="31" spans="2:22">
      <c r="B31" s="9" t="s">
        <v>9</v>
      </c>
      <c r="C31" s="4"/>
      <c r="D31" s="14">
        <f t="shared" si="2"/>
        <v>2.375</v>
      </c>
      <c r="E31" s="14">
        <f t="shared" si="2"/>
        <v>2.25</v>
      </c>
      <c r="F31" s="4"/>
      <c r="G31" s="21">
        <f>Wochen!H8</f>
        <v>3</v>
      </c>
      <c r="H31" s="22">
        <f>Wochen!I8</f>
        <v>2</v>
      </c>
      <c r="I31" s="21">
        <f>Wochen!H18</f>
        <v>3</v>
      </c>
      <c r="J31" s="22">
        <f>Wochen!I18</f>
        <v>3</v>
      </c>
      <c r="K31" s="21">
        <f>Wochen!H28</f>
        <v>2</v>
      </c>
      <c r="L31" s="22">
        <f>Wochen!I28</f>
        <v>2</v>
      </c>
      <c r="M31" s="21">
        <f>Wochen!H38</f>
        <v>2</v>
      </c>
      <c r="N31" s="22">
        <f>Wochen!I38</f>
        <v>2</v>
      </c>
      <c r="O31" s="21">
        <f>Wochen!J38</f>
        <v>2</v>
      </c>
      <c r="P31" s="22">
        <f>Wochen!K38</f>
        <v>2</v>
      </c>
      <c r="Q31" s="21">
        <f>Wochen!H58</f>
        <v>3</v>
      </c>
      <c r="R31" s="22">
        <f>Wochen!I58</f>
        <v>3</v>
      </c>
      <c r="S31" s="21">
        <f>Wochen!H68</f>
        <v>2</v>
      </c>
      <c r="T31" s="22">
        <f>Wochen!I68</f>
        <v>2</v>
      </c>
      <c r="U31" s="21">
        <f>Wochen!H78</f>
        <v>2</v>
      </c>
      <c r="V31" s="22">
        <f>Wochen!I78</f>
        <v>2</v>
      </c>
    </row>
    <row r="32" spans="2:22">
      <c r="B32" s="9" t="s">
        <v>10</v>
      </c>
      <c r="C32" s="4"/>
      <c r="D32" s="14">
        <f t="shared" si="2"/>
        <v>2.5</v>
      </c>
      <c r="E32" s="14">
        <f t="shared" si="2"/>
        <v>2.75</v>
      </c>
      <c r="F32" s="4"/>
      <c r="G32" s="21">
        <f>Wochen!H9</f>
        <v>3</v>
      </c>
      <c r="H32" s="22">
        <f>Wochen!I9</f>
        <v>3</v>
      </c>
      <c r="I32" s="21">
        <f>Wochen!H19</f>
        <v>2</v>
      </c>
      <c r="J32" s="22">
        <f>Wochen!I19</f>
        <v>3</v>
      </c>
      <c r="K32" s="21">
        <f>Wochen!H29</f>
        <v>2</v>
      </c>
      <c r="L32" s="22">
        <f>Wochen!I29</f>
        <v>2</v>
      </c>
      <c r="M32" s="21">
        <f>Wochen!H39</f>
        <v>3</v>
      </c>
      <c r="N32" s="22">
        <f>Wochen!I39</f>
        <v>3</v>
      </c>
      <c r="O32" s="21">
        <f>Wochen!J39</f>
        <v>3</v>
      </c>
      <c r="P32" s="22">
        <f>Wochen!K39</f>
        <v>3</v>
      </c>
      <c r="Q32" s="21">
        <f>Wochen!H59</f>
        <v>2</v>
      </c>
      <c r="R32" s="22">
        <f>Wochen!I59</f>
        <v>3</v>
      </c>
      <c r="S32" s="21">
        <f>Wochen!H69</f>
        <v>2</v>
      </c>
      <c r="T32" s="22">
        <f>Wochen!I69</f>
        <v>2</v>
      </c>
      <c r="U32" s="21">
        <f>Wochen!H79</f>
        <v>3</v>
      </c>
      <c r="V32" s="22">
        <f>Wochen!I79</f>
        <v>3</v>
      </c>
    </row>
    <row r="33" spans="2:22">
      <c r="B33" s="9" t="s">
        <v>11</v>
      </c>
      <c r="C33" s="4"/>
      <c r="D33" s="14">
        <f t="shared" si="2"/>
        <v>2.3333333333333335</v>
      </c>
      <c r="E33" s="14">
        <f>AVERAGE(H33,J33,L33,N33,P33,R33,T33,V33)</f>
        <v>2.8333333333333335</v>
      </c>
      <c r="F33" s="4"/>
      <c r="G33" s="21"/>
      <c r="H33" s="22"/>
      <c r="I33" s="21"/>
      <c r="J33" s="22"/>
      <c r="K33" s="21">
        <f>Wochen!H30</f>
        <v>3</v>
      </c>
      <c r="L33" s="22">
        <f>Wochen!I30</f>
        <v>3</v>
      </c>
      <c r="M33" s="21">
        <f>Wochen!H40</f>
        <v>2</v>
      </c>
      <c r="N33" s="22">
        <f>Wochen!I40</f>
        <v>3</v>
      </c>
      <c r="O33" s="21">
        <f>Wochen!J40</f>
        <v>2</v>
      </c>
      <c r="P33" s="22">
        <f>Wochen!K40</f>
        <v>3</v>
      </c>
      <c r="Q33" s="21">
        <f>Wochen!H60</f>
        <v>2</v>
      </c>
      <c r="R33" s="22">
        <f>Wochen!I60</f>
        <v>2</v>
      </c>
      <c r="S33" s="21">
        <f>Wochen!H70</f>
        <v>3</v>
      </c>
      <c r="T33" s="22">
        <f>Wochen!I70</f>
        <v>3</v>
      </c>
      <c r="U33" s="21">
        <f>Wochen!H80</f>
        <v>2</v>
      </c>
      <c r="V33" s="22">
        <f>Wochen!I80</f>
        <v>3</v>
      </c>
    </row>
    <row r="34" spans="2:22">
      <c r="B34" s="9" t="s">
        <v>12</v>
      </c>
      <c r="C34" s="4"/>
      <c r="D34" s="14">
        <f t="shared" si="2"/>
        <v>2.8</v>
      </c>
      <c r="E34" s="14">
        <f t="shared" si="2"/>
        <v>2.4</v>
      </c>
      <c r="F34" s="4"/>
      <c r="G34" s="21"/>
      <c r="H34" s="22"/>
      <c r="I34" s="21"/>
      <c r="J34" s="22"/>
      <c r="K34" s="21"/>
      <c r="L34" s="22"/>
      <c r="M34" s="21">
        <f>Wochen!H41</f>
        <v>3</v>
      </c>
      <c r="N34" s="22">
        <f>Wochen!I41</f>
        <v>2</v>
      </c>
      <c r="O34" s="21">
        <f>Wochen!J41</f>
        <v>3</v>
      </c>
      <c r="P34" s="22">
        <f>Wochen!K41</f>
        <v>2</v>
      </c>
      <c r="Q34" s="21">
        <f>Wochen!H61</f>
        <v>3</v>
      </c>
      <c r="R34" s="22">
        <f>Wochen!I61</f>
        <v>3</v>
      </c>
      <c r="S34" s="21">
        <f>Wochen!H71</f>
        <v>2</v>
      </c>
      <c r="T34" s="22">
        <f>Wochen!I71</f>
        <v>3</v>
      </c>
      <c r="U34" s="21">
        <f>Wochen!H81</f>
        <v>3</v>
      </c>
      <c r="V34" s="22">
        <f>Wochen!I81</f>
        <v>2</v>
      </c>
    </row>
    <row r="35" spans="2:22">
      <c r="B35" s="10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spans="2:22" s="11" customFormat="1" ht="15.75">
      <c r="B36" s="51" t="s">
        <v>5</v>
      </c>
      <c r="C36" s="52"/>
      <c r="D36" s="52"/>
      <c r="E36" s="52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9"/>
    </row>
    <row r="37" spans="2:22" s="2" customFormat="1" ht="13.5" thickBot="1">
      <c r="B37" s="25"/>
      <c r="C37" s="1"/>
      <c r="D37" s="46" t="s">
        <v>15</v>
      </c>
      <c r="E37" s="47"/>
      <c r="F37" s="1"/>
      <c r="G37" s="48">
        <f>Wochen!$B$3</f>
        <v>40004</v>
      </c>
      <c r="H37" s="49"/>
      <c r="I37" s="50">
        <f>Wochen!$B$13</f>
        <v>40018</v>
      </c>
      <c r="J37" s="49"/>
      <c r="K37" s="50">
        <f>Wochen!$B$23</f>
        <v>40032</v>
      </c>
      <c r="L37" s="49"/>
      <c r="M37" s="50">
        <f>Wochen!$B$33</f>
        <v>40046</v>
      </c>
      <c r="N37" s="49"/>
      <c r="O37" s="50">
        <f>Wochen!$B$43</f>
        <v>40060</v>
      </c>
      <c r="P37" s="49"/>
      <c r="Q37" s="50">
        <f>Wochen!$B$53</f>
        <v>40074</v>
      </c>
      <c r="R37" s="49"/>
      <c r="S37" s="50">
        <f>Wochen!$B$63</f>
        <v>40088</v>
      </c>
      <c r="T37" s="49"/>
      <c r="U37" s="55">
        <f>Wochen!$B$73</f>
        <v>40102</v>
      </c>
      <c r="V37" s="56"/>
    </row>
    <row r="38" spans="2:22" ht="13.5" thickTop="1">
      <c r="B38" s="27" t="s">
        <v>0</v>
      </c>
      <c r="C38" s="4"/>
      <c r="D38" s="5" t="s">
        <v>1</v>
      </c>
      <c r="E38" s="6" t="s">
        <v>2</v>
      </c>
      <c r="F38" s="4"/>
      <c r="G38" s="5" t="s">
        <v>1</v>
      </c>
      <c r="H38" s="6" t="s">
        <v>2</v>
      </c>
      <c r="I38" s="5" t="s">
        <v>1</v>
      </c>
      <c r="J38" s="6" t="s">
        <v>2</v>
      </c>
      <c r="K38" s="5" t="s">
        <v>1</v>
      </c>
      <c r="L38" s="6" t="s">
        <v>2</v>
      </c>
      <c r="M38" s="5" t="s">
        <v>1</v>
      </c>
      <c r="N38" s="6" t="s">
        <v>2</v>
      </c>
      <c r="O38" s="5" t="s">
        <v>1</v>
      </c>
      <c r="P38" s="6" t="s">
        <v>2</v>
      </c>
      <c r="Q38" s="5" t="s">
        <v>1</v>
      </c>
      <c r="R38" s="6" t="s">
        <v>2</v>
      </c>
      <c r="S38" s="5" t="s">
        <v>1</v>
      </c>
      <c r="T38" s="6" t="s">
        <v>2</v>
      </c>
      <c r="U38" s="16" t="s">
        <v>1</v>
      </c>
      <c r="V38" s="17" t="s">
        <v>2</v>
      </c>
    </row>
    <row r="39" spans="2:22" ht="6" customHeight="1">
      <c r="B39" s="28"/>
      <c r="C39" s="4"/>
      <c r="D39" s="7"/>
      <c r="E39" s="8"/>
      <c r="F39" s="4"/>
      <c r="G39" s="7"/>
      <c r="H39" s="8"/>
      <c r="I39" s="7"/>
      <c r="J39" s="8"/>
      <c r="K39" s="7"/>
      <c r="L39" s="8"/>
      <c r="M39" s="7"/>
      <c r="N39" s="8"/>
      <c r="O39" s="7"/>
      <c r="P39" s="8"/>
      <c r="Q39" s="7"/>
      <c r="R39" s="8"/>
      <c r="S39" s="7"/>
      <c r="T39" s="8"/>
      <c r="U39" s="7"/>
      <c r="V39" s="8"/>
    </row>
    <row r="40" spans="2:22">
      <c r="B40" s="9" t="s">
        <v>7</v>
      </c>
      <c r="C40" s="4"/>
      <c r="D40" s="14">
        <f>AVERAGE(G40,I40,K40,M40,O40,Q40,S40)</f>
        <v>2.7142857142857144</v>
      </c>
      <c r="E40" s="14">
        <f>AVERAGE(H40,J40,L40,N40,P40,R40,T40)</f>
        <v>2.7142857142857144</v>
      </c>
      <c r="F40" s="4"/>
      <c r="G40" s="21">
        <f>Wochen!J6</f>
        <v>3</v>
      </c>
      <c r="H40" s="22">
        <f>Wochen!K6</f>
        <v>3</v>
      </c>
      <c r="I40" s="21">
        <f>Wochen!J16</f>
        <v>2</v>
      </c>
      <c r="J40" s="22">
        <f>Wochen!K16</f>
        <v>3</v>
      </c>
      <c r="K40" s="21">
        <f>Wochen!J26</f>
        <v>3</v>
      </c>
      <c r="L40" s="22">
        <f>Wochen!K26</f>
        <v>2</v>
      </c>
      <c r="M40" s="21">
        <f>Wochen!J36</f>
        <v>3</v>
      </c>
      <c r="N40" s="22">
        <f>Wochen!K36</f>
        <v>3</v>
      </c>
      <c r="O40" s="21">
        <f>Wochen!J46</f>
        <v>3</v>
      </c>
      <c r="P40" s="22">
        <f>Wochen!K46</f>
        <v>3</v>
      </c>
      <c r="Q40" s="21">
        <f>Wochen!J56</f>
        <v>2</v>
      </c>
      <c r="R40" s="22">
        <f>Wochen!K56</f>
        <v>3</v>
      </c>
      <c r="S40" s="21">
        <f>Wochen!J66</f>
        <v>3</v>
      </c>
      <c r="T40" s="22">
        <f>Wochen!K66</f>
        <v>2</v>
      </c>
      <c r="U40" s="21">
        <f>Wochen!J76</f>
        <v>0</v>
      </c>
      <c r="V40" s="22">
        <f>Wochen!K76</f>
        <v>0</v>
      </c>
    </row>
    <row r="41" spans="2:22">
      <c r="B41" s="9" t="s">
        <v>8</v>
      </c>
      <c r="C41" s="4"/>
      <c r="D41" s="14">
        <f t="shared" ref="D41:E45" si="3">AVERAGE(G41,I41,K41,M41,O41,Q41,S41,U41)</f>
        <v>2.5</v>
      </c>
      <c r="E41" s="14">
        <f t="shared" si="3"/>
        <v>2.6666666666666665</v>
      </c>
      <c r="F41" s="4"/>
      <c r="G41" s="21">
        <f>Wochen!J7</f>
        <v>2</v>
      </c>
      <c r="H41" s="22">
        <f>Wochen!K7</f>
        <v>3</v>
      </c>
      <c r="I41" s="21">
        <f>Wochen!J17</f>
        <v>3</v>
      </c>
      <c r="J41" s="22">
        <f>Wochen!K17</f>
        <v>2</v>
      </c>
      <c r="K41" s="21">
        <f>Wochen!J27</f>
        <v>3</v>
      </c>
      <c r="L41" s="22">
        <f>Wochen!K27</f>
        <v>3</v>
      </c>
      <c r="M41" s="21">
        <f>Wochen!J37</f>
        <v>2</v>
      </c>
      <c r="N41" s="22">
        <f>Wochen!K37</f>
        <v>3</v>
      </c>
      <c r="O41" s="21">
        <f>Wochen!J47</f>
        <v>2</v>
      </c>
      <c r="P41" s="22">
        <f>Wochen!K47</f>
        <v>3</v>
      </c>
      <c r="Q41" s="21">
        <f>Wochen!J57</f>
        <v>3</v>
      </c>
      <c r="R41" s="22">
        <f>Wochen!K57</f>
        <v>2</v>
      </c>
      <c r="S41" s="21"/>
      <c r="T41" s="22"/>
      <c r="U41" s="21"/>
      <c r="V41" s="22"/>
    </row>
    <row r="42" spans="2:22">
      <c r="B42" s="9" t="s">
        <v>9</v>
      </c>
      <c r="C42" s="4"/>
      <c r="D42" s="14">
        <f t="shared" si="3"/>
        <v>2.5</v>
      </c>
      <c r="E42" s="14">
        <f t="shared" si="3"/>
        <v>2.5</v>
      </c>
      <c r="F42" s="4"/>
      <c r="G42" s="21">
        <f>Wochen!J8</f>
        <v>3</v>
      </c>
      <c r="H42" s="22">
        <f>Wochen!K8</f>
        <v>2</v>
      </c>
      <c r="I42" s="21">
        <f>Wochen!J18</f>
        <v>3</v>
      </c>
      <c r="J42" s="22">
        <f>Wochen!K18</f>
        <v>3</v>
      </c>
      <c r="K42" s="21">
        <f>Wochen!J28</f>
        <v>2</v>
      </c>
      <c r="L42" s="22">
        <f>Wochen!K28</f>
        <v>3</v>
      </c>
      <c r="M42" s="21">
        <f>Wochen!J38</f>
        <v>2</v>
      </c>
      <c r="N42" s="22">
        <f>Wochen!K38</f>
        <v>2</v>
      </c>
      <c r="O42" s="21">
        <f>Wochen!J48</f>
        <v>3</v>
      </c>
      <c r="P42" s="22">
        <f>Wochen!K48</f>
        <v>2</v>
      </c>
      <c r="Q42" s="21">
        <f>Wochen!J58</f>
        <v>3</v>
      </c>
      <c r="R42" s="22">
        <f>Wochen!K58</f>
        <v>3</v>
      </c>
      <c r="S42" s="21">
        <f>Wochen!J68</f>
        <v>2</v>
      </c>
      <c r="T42" s="22">
        <f>Wochen!K68</f>
        <v>3</v>
      </c>
      <c r="U42" s="21">
        <f>Wochen!J78</f>
        <v>2</v>
      </c>
      <c r="V42" s="22">
        <f>Wochen!K78</f>
        <v>2</v>
      </c>
    </row>
    <row r="43" spans="2:22">
      <c r="B43" s="9" t="s">
        <v>10</v>
      </c>
      <c r="C43" s="4"/>
      <c r="D43" s="14">
        <f t="shared" si="3"/>
        <v>2.5</v>
      </c>
      <c r="E43" s="14">
        <f t="shared" si="3"/>
        <v>2.75</v>
      </c>
      <c r="F43" s="4"/>
      <c r="G43" s="21">
        <f>Wochen!J9</f>
        <v>3</v>
      </c>
      <c r="H43" s="22">
        <f>Wochen!K9</f>
        <v>3</v>
      </c>
      <c r="I43" s="21">
        <f>Wochen!J19</f>
        <v>2</v>
      </c>
      <c r="J43" s="22">
        <f>Wochen!K19</f>
        <v>3</v>
      </c>
      <c r="K43" s="21">
        <f>Wochen!J29</f>
        <v>2</v>
      </c>
      <c r="L43" s="22">
        <f>Wochen!K29</f>
        <v>2</v>
      </c>
      <c r="M43" s="21">
        <f>Wochen!J39</f>
        <v>3</v>
      </c>
      <c r="N43" s="22">
        <f>Wochen!K39</f>
        <v>3</v>
      </c>
      <c r="O43" s="21">
        <f>Wochen!J49</f>
        <v>3</v>
      </c>
      <c r="P43" s="22">
        <f>Wochen!K49</f>
        <v>3</v>
      </c>
      <c r="Q43" s="21">
        <f>Wochen!J59</f>
        <v>2</v>
      </c>
      <c r="R43" s="22">
        <f>Wochen!K59</f>
        <v>3</v>
      </c>
      <c r="S43" s="21">
        <f>Wochen!J69</f>
        <v>2</v>
      </c>
      <c r="T43" s="22">
        <f>Wochen!K69</f>
        <v>2</v>
      </c>
      <c r="U43" s="21">
        <f>Wochen!J79</f>
        <v>3</v>
      </c>
      <c r="V43" s="22">
        <f>Wochen!K79</f>
        <v>3</v>
      </c>
    </row>
    <row r="44" spans="2:22">
      <c r="B44" s="9" t="s">
        <v>11</v>
      </c>
      <c r="C44" s="4"/>
      <c r="D44" s="14">
        <f t="shared" si="3"/>
        <v>2.3333333333333335</v>
      </c>
      <c r="E44" s="14">
        <f t="shared" si="3"/>
        <v>2.8333333333333335</v>
      </c>
      <c r="F44" s="4"/>
      <c r="G44" s="21"/>
      <c r="H44" s="22"/>
      <c r="I44" s="21"/>
      <c r="J44" s="22"/>
      <c r="K44" s="21">
        <f>Wochen!J30</f>
        <v>3</v>
      </c>
      <c r="L44" s="22">
        <f>Wochen!K30</f>
        <v>3</v>
      </c>
      <c r="M44" s="21">
        <f>Wochen!J40</f>
        <v>2</v>
      </c>
      <c r="N44" s="22">
        <f>Wochen!K40</f>
        <v>3</v>
      </c>
      <c r="O44" s="21">
        <f>Wochen!J50</f>
        <v>2</v>
      </c>
      <c r="P44" s="22">
        <f>Wochen!K50</f>
        <v>3</v>
      </c>
      <c r="Q44" s="21">
        <f>Wochen!J60</f>
        <v>2</v>
      </c>
      <c r="R44" s="22">
        <f>Wochen!K60</f>
        <v>2</v>
      </c>
      <c r="S44" s="21">
        <f>Wochen!J70</f>
        <v>3</v>
      </c>
      <c r="T44" s="22">
        <f>Wochen!K70</f>
        <v>3</v>
      </c>
      <c r="U44" s="21">
        <f>Wochen!J80</f>
        <v>2</v>
      </c>
      <c r="V44" s="22">
        <f>Wochen!K80</f>
        <v>3</v>
      </c>
    </row>
    <row r="45" spans="2:22">
      <c r="B45" s="9" t="s">
        <v>12</v>
      </c>
      <c r="C45" s="4"/>
      <c r="D45" s="14">
        <f t="shared" si="3"/>
        <v>2.6</v>
      </c>
      <c r="E45" s="14">
        <f t="shared" si="3"/>
        <v>2.4</v>
      </c>
      <c r="F45" s="4"/>
      <c r="G45" s="21"/>
      <c r="H45" s="22"/>
      <c r="I45" s="21"/>
      <c r="J45" s="22"/>
      <c r="K45" s="21"/>
      <c r="L45" s="22"/>
      <c r="M45" s="21">
        <f>Wochen!J41</f>
        <v>3</v>
      </c>
      <c r="N45" s="22">
        <f>Wochen!K41</f>
        <v>2</v>
      </c>
      <c r="O45" s="21">
        <f>Wochen!J51</f>
        <v>2</v>
      </c>
      <c r="P45" s="22">
        <f>Wochen!K51</f>
        <v>2</v>
      </c>
      <c r="Q45" s="21">
        <f>Wochen!J61</f>
        <v>3</v>
      </c>
      <c r="R45" s="22">
        <f>Wochen!K61</f>
        <v>3</v>
      </c>
      <c r="S45" s="21">
        <f>Wochen!J71</f>
        <v>2</v>
      </c>
      <c r="T45" s="22">
        <f>Wochen!K71</f>
        <v>3</v>
      </c>
      <c r="U45" s="21">
        <f>Wochen!J81</f>
        <v>3</v>
      </c>
      <c r="V45" s="22">
        <f>Wochen!K81</f>
        <v>2</v>
      </c>
    </row>
  </sheetData>
  <mergeCells count="43">
    <mergeCell ref="O26:P26"/>
    <mergeCell ref="Q26:R26"/>
    <mergeCell ref="S26:T26"/>
    <mergeCell ref="U26:V26"/>
    <mergeCell ref="O37:P37"/>
    <mergeCell ref="Q37:R37"/>
    <mergeCell ref="S37:T37"/>
    <mergeCell ref="U37:V37"/>
    <mergeCell ref="U1:V1"/>
    <mergeCell ref="O4:P4"/>
    <mergeCell ref="Q4:R4"/>
    <mergeCell ref="S4:T4"/>
    <mergeCell ref="U4:V4"/>
    <mergeCell ref="O15:P15"/>
    <mergeCell ref="Q15:R15"/>
    <mergeCell ref="S15:T15"/>
    <mergeCell ref="U15:V15"/>
    <mergeCell ref="M1:N1"/>
    <mergeCell ref="G4:H4"/>
    <mergeCell ref="I4:J4"/>
    <mergeCell ref="K4:L4"/>
    <mergeCell ref="M4:N4"/>
    <mergeCell ref="B3:E3"/>
    <mergeCell ref="B1:E1"/>
    <mergeCell ref="D4:E4"/>
    <mergeCell ref="D15:E15"/>
    <mergeCell ref="G15:H15"/>
    <mergeCell ref="I15:J15"/>
    <mergeCell ref="K15:L15"/>
    <mergeCell ref="M15:N15"/>
    <mergeCell ref="B14:E14"/>
    <mergeCell ref="D26:E26"/>
    <mergeCell ref="G26:H26"/>
    <mergeCell ref="I26:J26"/>
    <mergeCell ref="K26:L26"/>
    <mergeCell ref="M26:N26"/>
    <mergeCell ref="B25:E25"/>
    <mergeCell ref="D37:E37"/>
    <mergeCell ref="G37:H37"/>
    <mergeCell ref="I37:J37"/>
    <mergeCell ref="K37:L37"/>
    <mergeCell ref="M37:N37"/>
    <mergeCell ref="B36:E36"/>
  </mergeCells>
  <conditionalFormatting sqref="D7:E12">
    <cfRule type="cellIs" dxfId="22" priority="27" operator="lessThan">
      <formula>1</formula>
    </cfRule>
    <cfRule type="colorScale" priority="30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G7:V12">
    <cfRule type="cellIs" dxfId="21" priority="22" stopIfTrue="1" operator="lessThan">
      <formula>1</formula>
    </cfRule>
    <cfRule type="colorScale" priority="24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G18:V23">
    <cfRule type="cellIs" dxfId="20" priority="20" stopIfTrue="1" operator="lessThan">
      <formula>1</formula>
    </cfRule>
    <cfRule type="colorScale" priority="21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G29:V34">
    <cfRule type="cellIs" dxfId="19" priority="18" stopIfTrue="1" operator="lessThan">
      <formula>1</formula>
    </cfRule>
    <cfRule type="colorScale" priority="19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G40:V45">
    <cfRule type="cellIs" dxfId="18" priority="16" stopIfTrue="1" operator="lessThan">
      <formula>1</formula>
    </cfRule>
    <cfRule type="colorScale" priority="17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18:E23">
    <cfRule type="cellIs" dxfId="17" priority="14" operator="lessThan">
      <formula>1</formula>
    </cfRule>
    <cfRule type="colorScale" priority="15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29:E34">
    <cfRule type="cellIs" dxfId="16" priority="12" operator="lessThan">
      <formula>1</formula>
    </cfRule>
    <cfRule type="colorScale" priority="13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40:E45">
    <cfRule type="cellIs" dxfId="15" priority="10" operator="lessThan">
      <formula>1</formula>
    </cfRule>
    <cfRule type="colorScale" priority="11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18:E18">
    <cfRule type="cellIs" dxfId="14" priority="8" operator="lessThan">
      <formula>1</formula>
    </cfRule>
    <cfRule type="colorScale" priority="9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29:E29">
    <cfRule type="cellIs" dxfId="13" priority="6" operator="lessThan">
      <formula>1</formula>
    </cfRule>
    <cfRule type="colorScale" priority="7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40:E40">
    <cfRule type="cellIs" dxfId="12" priority="4" operator="lessThan">
      <formula>1</formula>
    </cfRule>
    <cfRule type="colorScale" priority="5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AC23">
    <cfRule type="colorScale" priority="1">
      <colorScale>
        <cfvo type="num" val="1"/>
        <cfvo type="num" val="5"/>
        <cfvo type="num" val="10"/>
        <color rgb="FFC00000"/>
        <color rgb="FFFFFF00"/>
        <color rgb="FF63BE7B"/>
      </colorScale>
    </cfRule>
  </conditionalFormatting>
  <pageMargins left="0.70866141732283472" right="0.70866141732283472" top="0.78740157480314965" bottom="0.78740157480314965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Wochen</vt:lpstr>
      <vt:lpstr>All</vt:lpstr>
    </vt:vector>
  </TitlesOfParts>
  <Company>SPOL AG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Frühindikatoren</dc:title>
  <dc:creator>Hanspeter Jakob</dc:creator>
  <cp:lastModifiedBy>Marko Zotschew</cp:lastModifiedBy>
  <cp:lastPrinted>2009-12-31T10:14:06Z</cp:lastPrinted>
  <dcterms:created xsi:type="dcterms:W3CDTF">2009-12-10T08:46:48Z</dcterms:created>
  <dcterms:modified xsi:type="dcterms:W3CDTF">2010-02-24T15:34:58Z</dcterms:modified>
</cp:coreProperties>
</file>